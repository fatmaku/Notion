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nnahmen" sheetId="1" state="visible" r:id="rId3"/>
    <sheet name="Monat 1–36" sheetId="2" state="visible" r:id="rId4"/>
    <sheet name="Monat 37–60" sheetId="3" state="visible" r:id="rId5"/>
    <sheet name="5 Jahre" sheetId="4" state="visible" r:id="rId6"/>
    <sheet name="Break-even" sheetId="5" state="visible" r:id="rId7"/>
    <sheet name="Sensitivitä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<sst xmlns="http://schemas.openxmlformats.org/spreadsheetml/2006/main" count="759" uniqueCount="403">
  <si>
    <t xml:space="preserve">LADEKLAR – Finanzmodell: Annahmen</t>
  </si>
  <si>
    <t xml:space="preserve">Alle Beträge netto in Euro (zzgl. 19 % USt.). Blaue Schrift auf gelbem Grund = Eingabe/Annahme; schwarze Zellen = Formel. Monat 1 = Startmonat (siehe unten). Stand 16.10.2026.</t>
  </si>
  <si>
    <t xml:space="preserve">Legende:</t>
  </si>
  <si>
    <t xml:space="preserve">Eingabe</t>
  </si>
  <si>
    <t xml:space="preserve">Formel</t>
  </si>
  <si>
    <t xml:space="preserve">A  Allgemein</t>
  </si>
  <si>
    <t xml:space="preserve">Wert</t>
  </si>
  <si>
    <t xml:space="preserve">Einheit</t>
  </si>
  <si>
    <t xml:space="preserve">Quelle / Begründung</t>
  </si>
  <si>
    <t xml:space="preserve">Startmonat des Modells (Monat 1)</t>
  </si>
  <si>
    <t xml:space="preserve">Datum</t>
  </si>
  <si>
    <t xml:space="preserve">Annahme: Pilotphase Nov./Dez. 2026, regulärer Verkaufsstart Januar 2027</t>
  </si>
  <si>
    <t xml:space="preserve">Zahlende Pilotkunden zum Start</t>
  </si>
  <si>
    <t xml:space="preserve">Kunden</t>
  </si>
  <si>
    <t xml:space="preserve">Annahme: 5 Pilotbetriebe aus der Testphase Q4/2026 wandeln zum 01.01.2027 um</t>
  </si>
  <si>
    <t xml:space="preserve">B  Preise (lt. PLAN.md, netto je Monat)</t>
  </si>
  <si>
    <t xml:space="preserve">Tarif Start</t>
  </si>
  <si>
    <t xml:space="preserve">€/Monat</t>
  </si>
  <si>
    <t xml:space="preserve">PLAN.md Kap. 6: 3 Fahrer, 6 Fahrzeuge, 1 Disponent</t>
  </si>
  <si>
    <t xml:space="preserve">Tarif Flotte</t>
  </si>
  <si>
    <t xml:space="preserve">PLAN.md Kap. 6: 15 Fahrer, 40 Fahrzeuge, 5 Disponenten</t>
  </si>
  <si>
    <t xml:space="preserve">Tarif Premium</t>
  </si>
  <si>
    <t xml:space="preserve">PLAN.md Kap. 6: 40 Fahrer, unbegrenzt Fahrzeuge/Disponenten, API, SLA</t>
  </si>
  <si>
    <t xml:space="preserve">Zusatzfahrer Flotte</t>
  </si>
  <si>
    <t xml:space="preserve">€/Fahrer/Monat</t>
  </si>
  <si>
    <t xml:space="preserve">PLAN.md Kap. 6</t>
  </si>
  <si>
    <t xml:space="preserve">Zusatzfahrer Premium</t>
  </si>
  <si>
    <t xml:space="preserve">White-Label-Store-App: Einrichtung</t>
  </si>
  <si>
    <t xml:space="preserve">€ einmalig</t>
  </si>
  <si>
    <t xml:space="preserve">PLAN.md Kap. 6 (Premium-Zusatz)</t>
  </si>
  <si>
    <t xml:space="preserve">White-Label-Store-App: laufend</t>
  </si>
  <si>
    <t xml:space="preserve">C  Tarifmix der Neukunden und Nutzung</t>
  </si>
  <si>
    <t xml:space="preserve">Anteil Start an Neukunden</t>
  </si>
  <si>
    <t xml:space="preserve">%</t>
  </si>
  <si>
    <t xml:space="preserve">Annahme; 53 % der Betriebe haben 1–3 Fahrzeuge (BAG-Strukturbericht), digitale Tools werden von größeren Betrieben eher gekauft</t>
  </si>
  <si>
    <t xml:space="preserve">Anteil Flotte an Neukunden</t>
  </si>
  <si>
    <t xml:space="preserve">Annahme; 30 % der Betriebe haben 4–10 Fahrzeuge (BAG-Strukturbericht)</t>
  </si>
  <si>
    <t xml:space="preserve">Anteil Premium an Neukunden</t>
  </si>
  <si>
    <t xml:space="preserve">Rest auf 100 %</t>
  </si>
  <si>
    <t xml:space="preserve">Ø Zusatzfahrer je Flotte-Kunde</t>
  </si>
  <si>
    <t xml:space="preserve">Fahrer</t>
  </si>
  <si>
    <t xml:space="preserve">Annahme (Flotte enthält 15 Fahrer; nur ein Teil der Kunden liegt darüber)</t>
  </si>
  <si>
    <t xml:space="preserve">Ø Zusatzfahrer je Premium-Kunde</t>
  </si>
  <si>
    <t xml:space="preserve">Annahme (Premium enthält 40 Fahrer)</t>
  </si>
  <si>
    <t xml:space="preserve">Store-App-Quote (Anteil neuer Premium-Kunden)</t>
  </si>
  <si>
    <t xml:space="preserve">Annahme</t>
  </si>
  <si>
    <t xml:space="preserve">Anteil Jahreszahler</t>
  </si>
  <si>
    <t xml:space="preserve">Annahme; Jahreszahlung = 2 Monate geschenkt (PLAN.md)</t>
  </si>
  <si>
    <t xml:space="preserve">Geschenkte Monate bei Jahreszahlung</t>
  </si>
  <si>
    <t xml:space="preserve">Monate</t>
  </si>
  <si>
    <t xml:space="preserve">Effektiver Rabatt auf den MRR</t>
  </si>
  <si>
    <t xml:space="preserve">Formel: Anteil Jahreszahler × 2/12. Vorauszahlungen der Jahreszahler werden konservativ NICHT als Liquiditätsvorteil gerechnet</t>
  </si>
  <si>
    <t xml:space="preserve">Umwandlung Test (30 Tage) → zahlend</t>
  </si>
  <si>
    <t xml:space="preserve">Annahme; nur zur Berechnung der nötigen Testzugänge</t>
  </si>
  <si>
    <t xml:space="preserve">D  Kündigungen (Churn) je Monat</t>
  </si>
  <si>
    <t xml:space="preserve">Churn Start</t>
  </si>
  <si>
    <t xml:space="preserve">% je Monat</t>
  </si>
  <si>
    <t xml:space="preserve">Annahme; SMB-SaaS 3–7 % je Monat (Vena Solutions 2025), entspricht ca. 31 % p. a.</t>
  </si>
  <si>
    <t xml:space="preserve">Churn Flotte</t>
  </si>
  <si>
    <t xml:space="preserve">Annahme; ca. 22 % p. a.</t>
  </si>
  <si>
    <t xml:space="preserve">Churn Premium</t>
  </si>
  <si>
    <t xml:space="preserve">Annahme; ca. 13 % p. a.</t>
  </si>
  <si>
    <t xml:space="preserve">E  Neue zahlende Kunden je Monat (nach 30-Tage-Test)</t>
  </si>
  <si>
    <t xml:space="preserve">Jahr 1 (2027), Quartal 1: Neukunden je Monat</t>
  </si>
  <si>
    <t xml:space="preserve">Kunden/Monat</t>
  </si>
  <si>
    <t xml:space="preserve">Annahme; Jahr 1 gründergetriebener Vertrieb, ab Jahr 2 Partner und Vertriebsteam</t>
  </si>
  <si>
    <t xml:space="preserve">Jahr 1 (2027), Quartal 2: Neukunden je Monat</t>
  </si>
  <si>
    <t xml:space="preserve">Jahr 1 (2027), Quartal 3: Neukunden je Monat</t>
  </si>
  <si>
    <t xml:space="preserve">Jahr 1 (2027), Quartal 4: Neukunden je Monat</t>
  </si>
  <si>
    <t xml:space="preserve">Jahr 2 (2028), Quartal 1: Neukunden je Monat</t>
  </si>
  <si>
    <t xml:space="preserve">Jahr 2 (2028), Quartal 2: Neukunden je Monat</t>
  </si>
  <si>
    <t xml:space="preserve">Jahr 2 (2028), Quartal 3: Neukunden je Monat</t>
  </si>
  <si>
    <t xml:space="preserve">Jahr 2 (2028), Quartal 4: Neukunden je Monat</t>
  </si>
  <si>
    <t xml:space="preserve">Jahr 3 (2029), Quartal 1: Neukunden je Monat</t>
  </si>
  <si>
    <t xml:space="preserve">Jahr 3 (2029), Quartal 2: Neukunden je Monat</t>
  </si>
  <si>
    <t xml:space="preserve">Jahr 3 (2029), Quartal 3: Neukunden je Monat</t>
  </si>
  <si>
    <t xml:space="preserve">Jahr 3 (2029), Quartal 4: Neukunden je Monat</t>
  </si>
  <si>
    <t xml:space="preserve">Jahr 4 (2030): Neukunden je Monat</t>
  </si>
  <si>
    <t xml:space="preserve">Jahr 5 (2031): Neukunden je Monat</t>
  </si>
  <si>
    <t xml:space="preserve">F  Variable Kosten</t>
  </si>
  <si>
    <t xml:space="preserve">Hosting/Speicher je Start-Kunde</t>
  </si>
  <si>
    <t xml:space="preserve">€/Kunde/Monat</t>
  </si>
  <si>
    <t xml:space="preserve">Annahme; Hosting in Deutschland, 5 GB Lieferschein-Speicher</t>
  </si>
  <si>
    <t xml:space="preserve">Hosting/Speicher je Flotte-Kunde</t>
  </si>
  <si>
    <t xml:space="preserve">Annahme; 50 GB Speicher</t>
  </si>
  <si>
    <t xml:space="preserve">Hosting/Speicher je Premium-Kunde</t>
  </si>
  <si>
    <t xml:space="preserve">Annahme; 250 GB Speicher, SLA 99,5 %</t>
  </si>
  <si>
    <t xml:space="preserve">Zahlungs-/Rechnungsgebühren in % vom Umsatz</t>
  </si>
  <si>
    <t xml:space="preserve">Annahme auf Basis Stripe Invoicing 0,4 % + Puffer (meetergo, Stand 10/2026)</t>
  </si>
  <si>
    <t xml:space="preserve">Zahlungsgebühr je Kunde und Monat (SEPA-Lastschrift)</t>
  </si>
  <si>
    <t xml:space="preserve">Stripe SEPA 0,35 € je Transaktion (qualimero / ki-syndikat, 2026)</t>
  </si>
  <si>
    <t xml:space="preserve">Partnerprovision (Reseller, Verbände, Telematik-Händler)</t>
  </si>
  <si>
    <t xml:space="preserve">% vom Partnerumsatz</t>
  </si>
  <si>
    <t xml:space="preserve">PLAN.md: 20–30 % Provision</t>
  </si>
  <si>
    <t xml:space="preserve">Anteil Umsatz über Partner (Jahr 1–5)</t>
  </si>
  <si>
    <t xml:space="preserve">% · Annahme</t>
  </si>
  <si>
    <t xml:space="preserve">Fremdkosten je Store-App-Einrichtung</t>
  </si>
  <si>
    <t xml:space="preserve">€ je Einrichtung</t>
  </si>
  <si>
    <t xml:space="preserve">Annahme (Icons, Store-Texte, Testgeräte); Arbeitszeit steckt im Personal</t>
  </si>
  <si>
    <t xml:space="preserve">G  Fixkosten je Monat nach Jahr</t>
  </si>
  <si>
    <t xml:space="preserve">Jahr 1</t>
  </si>
  <si>
    <t xml:space="preserve">Jahr 2</t>
  </si>
  <si>
    <t xml:space="preserve">Jahr 3</t>
  </si>
  <si>
    <t xml:space="preserve">Jahr 4</t>
  </si>
  <si>
    <t xml:space="preserve">Jahr 5</t>
  </si>
  <si>
    <t xml:space="preserve">Hosting-Grundkosten (Server DE, Backup, Monitoring, E-Mail)</t>
  </si>
  <si>
    <t xml:space="preserve">€/Monat · Annahme; Hetzner hat 2026 zweimal erhöht (+30–40 % bei CX), daher Puffer</t>
  </si>
  <si>
    <t xml:space="preserve">Marketing laufend (Google Ads, Social, Fachpresse, Druck)</t>
  </si>
  <si>
    <t xml:space="preserve">€/Monat · Annahme; Aufteilung siehe BUSINESSPLAN.md Kap. 7</t>
  </si>
  <si>
    <t xml:space="preserve">Miete / Coworking</t>
  </si>
  <si>
    <t xml:space="preserve">€/Monat · Annahme</t>
  </si>
  <si>
    <t xml:space="preserve">Versicherungen (Cyber-/IT-Haftpflicht, D&amp;O, Inhalt)</t>
  </si>
  <si>
    <t xml:space="preserve">Steuerberatung und Buchhaltung</t>
  </si>
  <si>
    <t xml:space="preserve">Recht und Datenschutz (Anwalt, externer DSB)</t>
  </si>
  <si>
    <t xml:space="preserve">Reisekosten, Fahrzeug, Kundenbesuche</t>
  </si>
  <si>
    <t xml:space="preserve">Sonstiges (Telefon, Bank, IHK, Büromaterial)</t>
  </si>
  <si>
    <t xml:space="preserve">Software-Werkzeuge Grundbetrag</t>
  </si>
  <si>
    <t xml:space="preserve">Annahme (CRM, Buchhaltung, Telefonie, Office)</t>
  </si>
  <si>
    <t xml:space="preserve">Software-Werkzeuge je Kopf</t>
  </si>
  <si>
    <t xml:space="preserve">€/Kopf/Monat</t>
  </si>
  <si>
    <t xml:space="preserve">Ausstattung je Neueinstellung (Laptop, Handy)</t>
  </si>
  <si>
    <t xml:space="preserve">Annahme; sofort als Aufwand (Nutzungsdauer 1 Jahr lt. BMF)</t>
  </si>
  <si>
    <t xml:space="preserve">Einmalkosten Gründung in Monat 1</t>
  </si>
  <si>
    <t xml:space="preserve">Annahme: Notar/Handelsregister, Marke DPMA/EUIPO, anwaltliche Prüfung AGB/AVV, Gestaltung</t>
  </si>
  <si>
    <t xml:space="preserve">H  Messen und Veranstaltungen</t>
  </si>
  <si>
    <t xml:space="preserve">Monat-Nr.</t>
  </si>
  <si>
    <t xml:space="preserve">Kosten €</t>
  </si>
  <si>
    <t xml:space="preserve">Termin / Begründung</t>
  </si>
  <si>
    <t xml:space="preserve">LogiMAT 2027 Stuttgart (Besuch)</t>
  </si>
  <si>
    <t xml:space="preserve">16.–18.03.2027 (Veranstalter-Broschüre)</t>
  </si>
  <si>
    <t xml:space="preserve">transport logistic 2027 München (Start-up-/Gemeinschaftsstand)</t>
  </si>
  <si>
    <t xml:space="preserve">26.–29.04.2027 (Messe München); Kosten Annahme</t>
  </si>
  <si>
    <t xml:space="preserve">Verbandstage / Unternehmerabende Herbst 2027</t>
  </si>
  <si>
    <t xml:space="preserve">Annahme: 3–4 Landesverbands-Termine</t>
  </si>
  <si>
    <t xml:space="preserve">LogiMAT 2028 Stuttgart (Kleinstand)</t>
  </si>
  <si>
    <t xml:space="preserve">März 2028, Termin noch nicht veröffentlicht – Annahme</t>
  </si>
  <si>
    <t xml:space="preserve">IAA Transportation 2028 Hannover (Stand)</t>
  </si>
  <si>
    <t xml:space="preserve">19.–24.09.2028 (VDA); Kosten Annahme</t>
  </si>
  <si>
    <t xml:space="preserve">Verbandstage Herbst 2028</t>
  </si>
  <si>
    <t xml:space="preserve">transport logistic 2029 München (Stand)</t>
  </si>
  <si>
    <t xml:space="preserve">Zweijahresrhythmus; Termin 2029 noch offen – Annahme April 2029</t>
  </si>
  <si>
    <t xml:space="preserve">Verbandstage Herbst 2029</t>
  </si>
  <si>
    <t xml:space="preserve">LogiMAT 2030 Stuttgart (Stand)</t>
  </si>
  <si>
    <t xml:space="preserve">Annahme März 2030</t>
  </si>
  <si>
    <t xml:space="preserve">IAA Transportation 2030 Hannover (Stand)</t>
  </si>
  <si>
    <t xml:space="preserve">Zweijahresrhythmus – Annahme Sept. 2030</t>
  </si>
  <si>
    <t xml:space="preserve">transport logistic 2031 München (Stand)</t>
  </si>
  <si>
    <t xml:space="preserve">Annahme April 2031</t>
  </si>
  <si>
    <t xml:space="preserve">Verbandstage Herbst 2031</t>
  </si>
  <si>
    <t xml:space="preserve">I  Personal</t>
  </si>
  <si>
    <t xml:space="preserve">Kategorie</t>
  </si>
  <si>
    <t xml:space="preserve">Start Monat</t>
  </si>
  <si>
    <t xml:space="preserve">Brutto €/Monat</t>
  </si>
  <si>
    <t xml:space="preserve">AG-Faktor</t>
  </si>
  <si>
    <t xml:space="preserve">Begründung</t>
  </si>
  <si>
    <t xml:space="preserve">Gründer/Geschäftsführer: Gehalt je Monat (Jahr 1–5)</t>
  </si>
  <si>
    <t xml:space="preserve">€/Monat · Annahme; Gesellschafter-Geschäftsführer, i. d. R. sozialversicherungsfrei (Statusprüfung!)</t>
  </si>
  <si>
    <t xml:space="preserve">Gründer: Kostenfaktor</t>
  </si>
  <si>
    <t xml:space="preserve">Faktor</t>
  </si>
  <si>
    <t xml:space="preserve">Annahme: keine AG-Anteile; Kranken-/Rentenvorsorge privat</t>
  </si>
  <si>
    <t xml:space="preserve">Gehaltssteigerung je Modelljahr</t>
  </si>
  <si>
    <t xml:space="preserve">% p. a.</t>
  </si>
  <si>
    <t xml:space="preserve">Angestellte (Rolle)</t>
  </si>
  <si>
    <t xml:space="preserve">Vertrieb &amp; Kundenerfolg 1 (mehrsprachig, Ex-Disposition)</t>
  </si>
  <si>
    <t xml:space="preserve">Vertrieb</t>
  </si>
  <si>
    <t xml:space="preserve">Gehalt Annahme (Marktwerte: Disponent Median 3.710 €, gehalt.de; Senior Full-Stack 54.700–75.264 € p. a., StepStone/Indeed); AG-Faktor 1,21 = Brutto + ca. 21 % SV-Arbeitgeberanteil</t>
  </si>
  <si>
    <t xml:space="preserve">Softwareentwicklung 1 (Full-Stack)</t>
  </si>
  <si>
    <t xml:space="preserve">Technik</t>
  </si>
  <si>
    <t xml:space="preserve">Vertrieb 2 / Partnermanagement</t>
  </si>
  <si>
    <t xml:space="preserve">Support Teilzeit (PL/RO/TR)</t>
  </si>
  <si>
    <t xml:space="preserve">Support</t>
  </si>
  <si>
    <t xml:space="preserve">Softwareentwicklung 2</t>
  </si>
  <si>
    <t xml:space="preserve">Kundenerfolg 2</t>
  </si>
  <si>
    <t xml:space="preserve">Marketing</t>
  </si>
  <si>
    <t xml:space="preserve">Softwareentwicklung 3</t>
  </si>
  <si>
    <t xml:space="preserve">Vertrieb 3</t>
  </si>
  <si>
    <t xml:space="preserve">Kundenerfolg 3</t>
  </si>
  <si>
    <t xml:space="preserve">Vertrieb 4</t>
  </si>
  <si>
    <t xml:space="preserve">Support 2 (Vollzeit)</t>
  </si>
  <si>
    <t xml:space="preserve">J  Finanzierung</t>
  </si>
  <si>
    <t xml:space="preserve">Eigenkapital Gründer (Stammkapital GmbH)</t>
  </si>
  <si>
    <t xml:space="preserve">€</t>
  </si>
  <si>
    <t xml:space="preserve">Annahme; Einzahlung Monat 1</t>
  </si>
  <si>
    <t xml:space="preserve">Eigenkapital: Monat</t>
  </si>
  <si>
    <t xml:space="preserve">Monat</t>
  </si>
  <si>
    <t xml:space="preserve">KfW ERP-Gründerkredit StartGeld</t>
  </si>
  <si>
    <t xml:space="preserve">Höchstbetrag lt. Handwerksblatt auf 200.000 € erhöht – bei KfW/Hausbank prüfen; 80 % Haftungsfreistellung</t>
  </si>
  <si>
    <t xml:space="preserve">KfW-Kredit: Auszahlung im Monat</t>
  </si>
  <si>
    <t xml:space="preserve">KfW-Kredit: Zinssatz</t>
  </si>
  <si>
    <t xml:space="preserve">Annahme; ab 3,49 % eff. lt. Gründerplattform (Stand 01/2026)</t>
  </si>
  <si>
    <t xml:space="preserve">KfW-Kredit: tilgungsfreie Monate</t>
  </si>
  <si>
    <t xml:space="preserve">bis zu 2 Jahre tilgungsfrei (Gründerplattform)</t>
  </si>
  <si>
    <t xml:space="preserve">KfW-Kredit: Laufzeit gesamt</t>
  </si>
  <si>
    <t xml:space="preserve">bis zu 10 Jahre (Gründerplattform)</t>
  </si>
  <si>
    <t xml:space="preserve">Business Angel / Pre-Seed (Eigenkapital)</t>
  </si>
  <si>
    <t xml:space="preserve">Annahme; Ziel: Abschluss nach Pilot-Traktion</t>
  </si>
  <si>
    <t xml:space="preserve">Business Angel: Monat</t>
  </si>
  <si>
    <t xml:space="preserve">Annahme: Oktober 2027</t>
  </si>
  <si>
    <t xml:space="preserve">Gründungszuschuss Phase 1 (Monat 1–6)</t>
  </si>
  <si>
    <t xml:space="preserve">Nur wenn ALG-I-Anspruch ≥ 150 Tage (§ 93 SGB III), Ermessensleistung – im Basisfall 0</t>
  </si>
  <si>
    <t xml:space="preserve">Gründungszuschuss Phase 2 (Monat 7–15)</t>
  </si>
  <si>
    <t xml:space="preserve">300 €/Monat, Ermessensleistung – im Basisfall 0</t>
  </si>
  <si>
    <t xml:space="preserve">Sicherheitspuffer für Kapitalbedarf</t>
  </si>
  <si>
    <t xml:space="preserve">Annahme: ca. 1 Monat Fixkosten im Jahr 3</t>
  </si>
  <si>
    <t xml:space="preserve">K  Steuern (GmbH)</t>
  </si>
  <si>
    <t xml:space="preserve">Körperschaftsteuersatz</t>
  </si>
  <si>
    <t xml:space="preserve">% · 15 %, ab 2028 jährlich −1 Punkt bis 10 % in 2032 (Steuerliches Investitionssofortprogramm)</t>
  </si>
  <si>
    <t xml:space="preserve">Solidaritätszuschlag auf KSt</t>
  </si>
  <si>
    <t xml:space="preserve">Gewerbesteuer-Hebesatz</t>
  </si>
  <si>
    <t xml:space="preserve">Annahme 400 % (abhängig von der Gemeinde)</t>
  </si>
  <si>
    <t xml:space="preserve">Gewerbesteuer-Messzahl</t>
  </si>
  <si>
    <t xml:space="preserve">§ 11 GewStG</t>
  </si>
  <si>
    <t xml:space="preserve">Steuerzahlung vereinfacht: Steuer des Vorjahres wird im Juni des Folgejahres gezahlt; Verlustvortrag ohne Mindestbesteuerung (Sockel 1 Mio. € wird nicht erreicht); USt durchlaufend.</t>
  </si>
  <si>
    <t xml:space="preserve">LADEKLAR – Monatsplan Monat 1–36</t>
  </si>
  <si>
    <t xml:space="preserve">Anfang</t>
  </si>
  <si>
    <t xml:space="preserve">Modelljahr</t>
  </si>
  <si>
    <t xml:space="preserve">Neukunden zahlend</t>
  </si>
  <si>
    <t xml:space="preserve">  davon Start</t>
  </si>
  <si>
    <t xml:space="preserve">  davon Flotte</t>
  </si>
  <si>
    <t xml:space="preserve">  davon Premium</t>
  </si>
  <si>
    <t xml:space="preserve">Kunden Start (Monatsende)</t>
  </si>
  <si>
    <t xml:space="preserve">Kunden Flotte (Monatsende)</t>
  </si>
  <si>
    <t xml:space="preserve">Kunden Premium (Monatsende)</t>
  </si>
  <si>
    <t xml:space="preserve">Kunden gesamt</t>
  </si>
  <si>
    <t xml:space="preserve">Kündigungen im Monat</t>
  </si>
  <si>
    <t xml:space="preserve">Neue Store-Apps</t>
  </si>
  <si>
    <t xml:space="preserve">Store-Apps aktiv</t>
  </si>
  <si>
    <t xml:space="preserve">Nötige Testzugänge (Info)</t>
  </si>
  <si>
    <t xml:space="preserve">Umsatz</t>
  </si>
  <si>
    <t xml:space="preserve">MRR Start</t>
  </si>
  <si>
    <t xml:space="preserve">MRR Flotte inkl. Zusatzfahrer</t>
  </si>
  <si>
    <t xml:space="preserve">MRR Premium inkl. Zusatzfahrer</t>
  </si>
  <si>
    <t xml:space="preserve">MRR Store-App</t>
  </si>
  <si>
    <t xml:space="preserve">MRR gesamt (Listenpreis)</t>
  </si>
  <si>
    <t xml:space="preserve">Rabatt Jahreszahler</t>
  </si>
  <si>
    <t xml:space="preserve">Einrichtung Store-App (einmalig)</t>
  </si>
  <si>
    <t xml:space="preserve">Umsatz gesamt</t>
  </si>
  <si>
    <t xml:space="preserve">ARR (MRR × 12)</t>
  </si>
  <si>
    <t xml:space="preserve">ARPA (MRR je Kunde)</t>
  </si>
  <si>
    <t xml:space="preserve">Variable Kosten</t>
  </si>
  <si>
    <t xml:space="preserve">Hosting/Speicher variabel</t>
  </si>
  <si>
    <t xml:space="preserve">Zahlungsgebühren</t>
  </si>
  <si>
    <t xml:space="preserve">Partnerprovision</t>
  </si>
  <si>
    <t xml:space="preserve">Fremdkosten Store-App-Einrichtung</t>
  </si>
  <si>
    <t xml:space="preserve">Variable Kosten gesamt</t>
  </si>
  <si>
    <t xml:space="preserve">Deckungsbeitrag</t>
  </si>
  <si>
    <t xml:space="preserve">Personal</t>
  </si>
  <si>
    <t xml:space="preserve">Gründer/Geschäftsführer</t>
  </si>
  <si>
    <t xml:space="preserve">Personal gesamt</t>
  </si>
  <si>
    <t xml:space="preserve">  davon Vertrieb &amp; Marketing</t>
  </si>
  <si>
    <t xml:space="preserve">Köpfe (inkl. Gründer)</t>
  </si>
  <si>
    <t xml:space="preserve">Fixkosten</t>
  </si>
  <si>
    <t xml:space="preserve">Marketing laufend</t>
  </si>
  <si>
    <t xml:space="preserve">Messen &amp; Veranstaltungen</t>
  </si>
  <si>
    <t xml:space="preserve">Hosting-Grundkosten</t>
  </si>
  <si>
    <t xml:space="preserve">Versicherungen</t>
  </si>
  <si>
    <t xml:space="preserve">Steuerberatung/Buchhaltung</t>
  </si>
  <si>
    <t xml:space="preserve">Recht &amp; Datenschutz</t>
  </si>
  <si>
    <t xml:space="preserve">Reisekosten/Fahrzeug</t>
  </si>
  <si>
    <t xml:space="preserve">Sonstiges</t>
  </si>
  <si>
    <t xml:space="preserve">Software-Werkzeuge</t>
  </si>
  <si>
    <t xml:space="preserve">Ausstattung Neueinstellungen</t>
  </si>
  <si>
    <t xml:space="preserve">Einmalkosten Gründung</t>
  </si>
  <si>
    <t xml:space="preserve">Fixkosten ohne Personal</t>
  </si>
  <si>
    <t xml:space="preserve">Fixkosten gesamt (inkl. Personal)</t>
  </si>
  <si>
    <t xml:space="preserve">Ergebnis</t>
  </si>
  <si>
    <t xml:space="preserve">Kosten gesamt</t>
  </si>
  <si>
    <t xml:space="preserve">EBITDA</t>
  </si>
  <si>
    <t xml:space="preserve">Finanzierung und Liquidität</t>
  </si>
  <si>
    <t xml:space="preserve">Einzahlung Eigenkapital</t>
  </si>
  <si>
    <t xml:space="preserve">Auszahlung KfW-Kredit</t>
  </si>
  <si>
    <t xml:space="preserve">Business Angel / Pre-Seed</t>
  </si>
  <si>
    <t xml:space="preserve">Gründungszuschuss / Förderung</t>
  </si>
  <si>
    <t xml:space="preserve">Zinsen KfW-Kredit</t>
  </si>
  <si>
    <t xml:space="preserve">Tilgung KfW-Kredit</t>
  </si>
  <si>
    <t xml:space="preserve">KfW-Restschuld (Monatsende)</t>
  </si>
  <si>
    <t xml:space="preserve">Ergebnis vor Steuern (EBITDA − Zinsen)</t>
  </si>
  <si>
    <t xml:space="preserve">Steuerzahlung (Vorjahressteuer im Juni)</t>
  </si>
  <si>
    <t xml:space="preserve">Cashflow gesamt</t>
  </si>
  <si>
    <t xml:space="preserve">Kasse (Monatsende)</t>
  </si>
  <si>
    <t xml:space="preserve">Kumulierter Cashflow ohne Finanzierung</t>
  </si>
  <si>
    <t xml:space="preserve">Hilfszeile: Monat mit EBITDA ≥ 0 (sonst 999)</t>
  </si>
  <si>
    <t xml:space="preserve">Hilfszeile: Monat mit EBITDA &lt; 0 (sonst 0)</t>
  </si>
  <si>
    <t xml:space="preserve">Hilfszeile: kum. Cashflow ≥ 0 nach Tiefpunkt (sonst 999)</t>
  </si>
  <si>
    <t xml:space="preserve">LADEKLAR – Monatsplan Monat 37–60</t>
  </si>
  <si>
    <t xml:space="preserve">LADEKLAR – GuV-Übersicht 5 Jahre</t>
  </si>
  <si>
    <t xml:space="preserve">Kennzahl</t>
  </si>
  <si>
    <t xml:space="preserve">Kalenderjahr</t>
  </si>
  <si>
    <t xml:space="preserve">Kunden Start (Jahresende)</t>
  </si>
  <si>
    <t xml:space="preserve">Kunden Flotte (Jahresende)</t>
  </si>
  <si>
    <t xml:space="preserve">Kunden Premium (Jahresende)</t>
  </si>
  <si>
    <t xml:space="preserve">Kunden gesamt (Jahresende)</t>
  </si>
  <si>
    <t xml:space="preserve">Neukunden im Jahr</t>
  </si>
  <si>
    <t xml:space="preserve">Kündigungen im Jahr</t>
  </si>
  <si>
    <t xml:space="preserve">Jahres-Churn (Kündigungen / Ø Kunden)</t>
  </si>
  <si>
    <t xml:space="preserve">Store-Apps aktiv (Jahresende)</t>
  </si>
  <si>
    <t xml:space="preserve">Nötige Testzugänge im Jahr</t>
  </si>
  <si>
    <t xml:space="preserve">MRR im Dezember</t>
  </si>
  <si>
    <t xml:space="preserve">ARR zum Jahresende (MRR Dez. × 12)</t>
  </si>
  <si>
    <t xml:space="preserve">ARPA im Dezember</t>
  </si>
  <si>
    <t xml:space="preserve">Abo-Umsatz (nach Jahreszahler-Rabatt)</t>
  </si>
  <si>
    <t xml:space="preserve">Einrichtung Store-Apps</t>
  </si>
  <si>
    <t xml:space="preserve">Umsatzwachstum ggü. Vorjahr</t>
  </si>
  <si>
    <t xml:space="preserve">Kosten</t>
  </si>
  <si>
    <t xml:space="preserve">Deckungsbeitragsmarge</t>
  </si>
  <si>
    <t xml:space="preserve">Übrige Fixkosten (Hosting, Miete, Beratung, Reisen …)</t>
  </si>
  <si>
    <t xml:space="preserve">Fixkosten gesamt</t>
  </si>
  <si>
    <t xml:space="preserve">EBITDA-Marge</t>
  </si>
  <si>
    <t xml:space="preserve">Abschreibungen</t>
  </si>
  <si>
    <t xml:space="preserve">keine wesentlichen Investitionen; Hardware sofort Aufwand</t>
  </si>
  <si>
    <t xml:space="preserve">Zinsen</t>
  </si>
  <si>
    <t xml:space="preserve">Ergebnis vor Steuern (EBT)</t>
  </si>
  <si>
    <t xml:space="preserve">Verlustvortrag Jahresanfang</t>
  </si>
  <si>
    <t xml:space="preserve">Zu versteuerndes Einkommen</t>
  </si>
  <si>
    <t xml:space="preserve">Verlustvortrag Jahresende</t>
  </si>
  <si>
    <t xml:space="preserve">Körperschaftsteuer + Soli</t>
  </si>
  <si>
    <t xml:space="preserve">Gewerbesteuer</t>
  </si>
  <si>
    <t xml:space="preserve">Steuern gesamt</t>
  </si>
  <si>
    <t xml:space="preserve">Jahresergebnis nach Steuern</t>
  </si>
  <si>
    <t xml:space="preserve">Liquidität und Kennzahlen</t>
  </si>
  <si>
    <t xml:space="preserve">Kasse zum Jahresende</t>
  </si>
  <si>
    <t xml:space="preserve">KfW-Restschuld zum Jahresende</t>
  </si>
  <si>
    <t xml:space="preserve">Köpfe zum Jahresende (inkl. Gründer)</t>
  </si>
  <si>
    <t xml:space="preserve">Umsatz je Kopf</t>
  </si>
  <si>
    <t xml:space="preserve">CAC (Vertrieb+Marketing+Messen+Provision je Neukunde)</t>
  </si>
  <si>
    <t xml:space="preserve">LTV (ARPA × DB-Marge / Monats-Churn)</t>
  </si>
  <si>
    <t xml:space="preserve">LTV / CAC</t>
  </si>
  <si>
    <t xml:space="preserve">CAC-Amortisation in Monaten (CAC / (ARPA × DB-Marge))</t>
  </si>
  <si>
    <t xml:space="preserve">LADEKLAR – Break-even und Kapitalbedarf</t>
  </si>
  <si>
    <t xml:space="preserve">EBITDA-Break-even</t>
  </si>
  <si>
    <t xml:space="preserve">Erster Monat mit EBITDA ≥ 0 (Monat-Nr.)</t>
  </si>
  <si>
    <t xml:space="preserve">… als Kalendermonat</t>
  </si>
  <si>
    <t xml:space="preserve">Dauerhaft positives EBITDA ab Monat-Nr.</t>
  </si>
  <si>
    <t xml:space="preserve">Monat nach dem letzten Monat mit negativem EBITDA</t>
  </si>
  <si>
    <t xml:space="preserve">Kunden im ersten Break-even-Monat</t>
  </si>
  <si>
    <t xml:space="preserve">MRR im ersten Break-even-Monat</t>
  </si>
  <si>
    <t xml:space="preserve">Liquidität und Kapitalbedarf</t>
  </si>
  <si>
    <t xml:space="preserve">Tiefster kumulierter Cashflow ohne Finanzierung</t>
  </si>
  <si>
    <t xml:space="preserve">entspricht dem Finanzierungsbedarf vor Puffer</t>
  </si>
  <si>
    <t xml:space="preserve">… erreicht im Monat-Nr.</t>
  </si>
  <si>
    <t xml:space="preserve">Sicherheitspuffer</t>
  </si>
  <si>
    <t xml:space="preserve">Kapitalbedarf (inkl. Puffer)</t>
  </si>
  <si>
    <t xml:space="preserve">Geplante Finanzierung (EK + KfW + Angel + Förderung)</t>
  </si>
  <si>
    <t xml:space="preserve">Über-/Unterdeckung</t>
  </si>
  <si>
    <t xml:space="preserve">Tiefster Kassenstand (mit Finanzierung)</t>
  </si>
  <si>
    <t xml:space="preserve">Kumulierter Cashflow wieder ≥ 0 ab Monat-Nr.</t>
  </si>
  <si>
    <t xml:space="preserve">999 = innerhalb von 60 Monaten nicht erreicht</t>
  </si>
  <si>
    <t xml:space="preserve">Break-even-Kunden (Fixkosten / Deckungsbeitrag je Kunde)</t>
  </si>
  <si>
    <t xml:space="preserve">Monat 12</t>
  </si>
  <si>
    <t xml:space="preserve">Monat 24</t>
  </si>
  <si>
    <t xml:space="preserve">Monat 36</t>
  </si>
  <si>
    <t xml:space="preserve">Monat 48</t>
  </si>
  <si>
    <t xml:space="preserve">Monat 60</t>
  </si>
  <si>
    <t xml:space="preserve">Fixkosten im Monat</t>
  </si>
  <si>
    <t xml:space="preserve">Umsatz im Monat</t>
  </si>
  <si>
    <t xml:space="preserve">Variable Kosten im Monat</t>
  </si>
  <si>
    <t xml:space="preserve">Deckungsbeitrag je Kunde und Monat</t>
  </si>
  <si>
    <t xml:space="preserve">Nötige Kunden für EBITDA = 0</t>
  </si>
  <si>
    <t xml:space="preserve">Abstand tatsächliche zu nötigen Kunden</t>
  </si>
  <si>
    <t xml:space="preserve">Hinweis: Der Break-even je Kunde steigt mit dem Team. Die Fixkosten wachsen stufenweise (Einstellungen), der Deckungsbeitrag je Kunde steigt leicht durch den höheren Anteil Flotte/Premium im Bestand.</t>
  </si>
  <si>
    <t xml:space="preserve">LADEKLAR – Sensitivität (Churn, Preis, Wachstum)</t>
  </si>
  <si>
    <t xml:space="preserve">Jedes Szenario rechnet das Kundenmodell über 60 Monate neu (Rechenblöcke unten). Fixkosten, Zinsen und Tilgung wie im Basisplan; Steuern nicht berücksichtigt (vor Steuern). Faktoren in Blau sind änderbar.</t>
  </si>
  <si>
    <t xml:space="preserve">Nr.</t>
  </si>
  <si>
    <t xml:space="preserve">Szenario</t>
  </si>
  <si>
    <t xml:space="preserve">Churn-Faktor</t>
  </si>
  <si>
    <t xml:space="preserve">Preis-Faktor</t>
  </si>
  <si>
    <t xml:space="preserve">Wachstums-Faktor</t>
  </si>
  <si>
    <t xml:space="preserve">Kunden M36</t>
  </si>
  <si>
    <t xml:space="preserve">ARR M36</t>
  </si>
  <si>
    <t xml:space="preserve">Kunden M60</t>
  </si>
  <si>
    <t xml:space="preserve">ARR M60</t>
  </si>
  <si>
    <t xml:space="preserve">Umsatz J3</t>
  </si>
  <si>
    <t xml:space="preserve">Umsatz J5</t>
  </si>
  <si>
    <t xml:space="preserve">EBITDA J3</t>
  </si>
  <si>
    <t xml:space="preserve">EBITDA J5</t>
  </si>
  <si>
    <t xml:space="preserve">Break-even (Monat)</t>
  </si>
  <si>
    <t xml:space="preserve">Finanzbedarf vor Puffer</t>
  </si>
  <si>
    <t xml:space="preserve">Δ Finanzbedarf ggü. Basis</t>
  </si>
  <si>
    <t xml:space="preserve">Basisplan</t>
  </si>
  <si>
    <t xml:space="preserve">Churn +50 %</t>
  </si>
  <si>
    <t xml:space="preserve">Churn doppelt</t>
  </si>
  <si>
    <t xml:space="preserve">Churn −30 %</t>
  </si>
  <si>
    <t xml:space="preserve">Preise −15 %</t>
  </si>
  <si>
    <t xml:space="preserve">Preise +10 %</t>
  </si>
  <si>
    <t xml:space="preserve">Wachstum −30 %</t>
  </si>
  <si>
    <t xml:space="preserve">Wachstum −50 %</t>
  </si>
  <si>
    <t xml:space="preserve">Wachstum +30 %</t>
  </si>
  <si>
    <t xml:space="preserve">Pessimistisch (Churn ×1,5, Preis ×0,9, Wachstum ×0,7)</t>
  </si>
  <si>
    <t xml:space="preserve">Optimistisch (Churn ×0,8, Preis ×1,0, Wachstum ×1,2)</t>
  </si>
  <si>
    <t xml:space="preserve">Kontrolle: EBITDA J5 Basis − Hauptmodell (muss 0 sein)</t>
  </si>
  <si>
    <t xml:space="preserve">Basisdaten aus dem Monatsplan</t>
  </si>
  <si>
    <t xml:space="preserve">Neukunden Basis</t>
  </si>
  <si>
    <t xml:space="preserve">Fixkosten Basis</t>
  </si>
  <si>
    <t xml:space="preserve">Zinsen Basis</t>
  </si>
  <si>
    <t xml:space="preserve">Tilgung Basis</t>
  </si>
  <si>
    <t xml:space="preserve">EBITDA Basis (Kontrolle)</t>
  </si>
  <si>
    <t xml:space="preserve">Kunden Start</t>
  </si>
  <si>
    <t xml:space="preserve">Kunden Flotte</t>
  </si>
  <si>
    <t xml:space="preserve">Kunden Premium</t>
  </si>
  <si>
    <t xml:space="preserve">Store-Apps</t>
  </si>
  <si>
    <t xml:space="preserve">MRR</t>
  </si>
  <si>
    <t xml:space="preserve">Kum. Cashflow vor Steuern</t>
  </si>
  <si>
    <t xml:space="preserve">Hilfszeile Break-even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</si>
</sst>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dd\.mm\.yyyy"/>
    <numFmt numFmtId="166" formatCode="#,##0;[RED]\-#,##0"/>
    <numFmt numFmtId="167" formatCode="#,##0&quot; €&quot;;[RED]\-#,##0&quot; €&quot;"/>
    <numFmt numFmtId="168" formatCode="0.0%"/>
    <numFmt numFmtId="169" formatCode="#,##0.0;[RED]\-#,##0.0"/>
    <numFmt numFmtId="170" formatCode="#,##0.00&quot; €&quot;;[RED]\-#,##0.00&quot; €&quot;"/>
    <numFmt numFmtId="171" formatCode="0.00%"/>
    <numFmt numFmtId="172" formatCode="0.00"/>
    <numFmt numFmtId="173" formatCode="0%"/>
    <numFmt numFmtId="174" formatCode="mmm\ yy"/>
    <numFmt numFmtId="175" formatCode="0"/>
    <numFmt numFmtId="176" formatCode="0.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4"/>
    <col collapsed="false" customWidth="true" hidden="false" outlineLevel="0" max="7" min="7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s">
        <v>3</v>
      </c>
      <c r="C3" s="5" t="s">
        <v>4</v>
      </c>
    </row>
    <row r="5" customFormat="false" ht="15" hidden="false" customHeight="false" outlineLevel="0" collapsed="false">
      <c r="A5" s="6" t="s">
        <v>5</v>
      </c>
      <c r="B5" s="6" t="s">
        <v>6</v>
      </c>
      <c r="C5" s="6" t="s">
        <v>7</v>
      </c>
      <c r="D5" s="6"/>
      <c r="E5" s="6"/>
      <c r="F5" s="6"/>
      <c r="G5" s="6" t="s">
        <v>8</v>
      </c>
    </row>
    <row r="6" customFormat="false" ht="15" hidden="false" customHeight="false" outlineLevel="0" collapsed="false">
      <c r="A6" s="5" t="s">
        <v>9</v>
      </c>
      <c r="B6" s="7" t="n">
        <v>46388</v>
      </c>
      <c r="C6" s="5" t="s">
        <v>10</v>
      </c>
      <c r="G6" s="2" t="s">
        <v>11</v>
      </c>
    </row>
    <row r="7" customFormat="false" ht="15" hidden="false" customHeight="false" outlineLevel="0" collapsed="false">
      <c r="A7" s="5" t="s">
        <v>12</v>
      </c>
      <c r="B7" s="8" t="n">
        <v>5</v>
      </c>
      <c r="C7" s="5" t="s">
        <v>13</v>
      </c>
      <c r="G7" s="2" t="s">
        <v>14</v>
      </c>
    </row>
    <row r="9" customFormat="false" ht="15" hidden="false" customHeight="false" outlineLevel="0" collapsed="false">
      <c r="A9" s="6" t="s">
        <v>15</v>
      </c>
      <c r="B9" s="6" t="s">
        <v>6</v>
      </c>
      <c r="C9" s="6" t="s">
        <v>7</v>
      </c>
      <c r="D9" s="6"/>
      <c r="E9" s="6"/>
      <c r="F9" s="6"/>
      <c r="G9" s="6" t="s">
        <v>8</v>
      </c>
    </row>
    <row r="10" customFormat="false" ht="15" hidden="false" customHeight="false" outlineLevel="0" collapsed="false">
      <c r="A10" s="5" t="s">
        <v>16</v>
      </c>
      <c r="B10" s="9" t="n">
        <v>49</v>
      </c>
      <c r="C10" s="5" t="s">
        <v>17</v>
      </c>
      <c r="G10" s="2" t="s">
        <v>18</v>
      </c>
    </row>
    <row r="11" customFormat="false" ht="15" hidden="false" customHeight="false" outlineLevel="0" collapsed="false">
      <c r="A11" s="5" t="s">
        <v>19</v>
      </c>
      <c r="B11" s="9" t="n">
        <v>129</v>
      </c>
      <c r="C11" s="5" t="s">
        <v>17</v>
      </c>
      <c r="G11" s="2" t="s">
        <v>20</v>
      </c>
    </row>
    <row r="12" customFormat="false" ht="15" hidden="false" customHeight="false" outlineLevel="0" collapsed="false">
      <c r="A12" s="5" t="s">
        <v>21</v>
      </c>
      <c r="B12" s="9" t="n">
        <v>299</v>
      </c>
      <c r="C12" s="5" t="s">
        <v>17</v>
      </c>
      <c r="G12" s="2" t="s">
        <v>22</v>
      </c>
    </row>
    <row r="13" customFormat="false" ht="15" hidden="false" customHeight="false" outlineLevel="0" collapsed="false">
      <c r="A13" s="5" t="s">
        <v>23</v>
      </c>
      <c r="B13" s="9" t="n">
        <v>7</v>
      </c>
      <c r="C13" s="5" t="s">
        <v>24</v>
      </c>
      <c r="G13" s="2" t="s">
        <v>25</v>
      </c>
    </row>
    <row r="14" customFormat="false" ht="15" hidden="false" customHeight="false" outlineLevel="0" collapsed="false">
      <c r="A14" s="5" t="s">
        <v>26</v>
      </c>
      <c r="B14" s="9" t="n">
        <v>6</v>
      </c>
      <c r="C14" s="5" t="s">
        <v>24</v>
      </c>
      <c r="G14" s="2" t="s">
        <v>25</v>
      </c>
    </row>
    <row r="15" customFormat="false" ht="15" hidden="false" customHeight="false" outlineLevel="0" collapsed="false">
      <c r="A15" s="5" t="s">
        <v>27</v>
      </c>
      <c r="B15" s="9" t="n">
        <v>1990</v>
      </c>
      <c r="C15" s="5" t="s">
        <v>28</v>
      </c>
      <c r="G15" s="2" t="s">
        <v>29</v>
      </c>
    </row>
    <row r="16" customFormat="false" ht="15" hidden="false" customHeight="false" outlineLevel="0" collapsed="false">
      <c r="A16" s="5" t="s">
        <v>30</v>
      </c>
      <c r="B16" s="9" t="n">
        <v>99</v>
      </c>
      <c r="C16" s="5" t="s">
        <v>17</v>
      </c>
      <c r="G16" s="2" t="s">
        <v>29</v>
      </c>
    </row>
    <row r="18" customFormat="false" ht="15" hidden="false" customHeight="false" outlineLevel="0" collapsed="false">
      <c r="A18" s="6" t="s">
        <v>31</v>
      </c>
      <c r="B18" s="6" t="s">
        <v>6</v>
      </c>
      <c r="C18" s="6" t="s">
        <v>7</v>
      </c>
      <c r="D18" s="6"/>
      <c r="E18" s="6"/>
      <c r="F18" s="6"/>
      <c r="G18" s="6" t="s">
        <v>8</v>
      </c>
    </row>
    <row r="19" customFormat="false" ht="15" hidden="false" customHeight="false" outlineLevel="0" collapsed="false">
      <c r="A19" s="5" t="s">
        <v>32</v>
      </c>
      <c r="B19" s="10" t="n">
        <v>0.5</v>
      </c>
      <c r="C19" s="5" t="s">
        <v>33</v>
      </c>
      <c r="G19" s="2" t="s">
        <v>34</v>
      </c>
    </row>
    <row r="20" customFormat="false" ht="15" hidden="false" customHeight="false" outlineLevel="0" collapsed="false">
      <c r="A20" s="5" t="s">
        <v>35</v>
      </c>
      <c r="B20" s="10" t="n">
        <v>0.38</v>
      </c>
      <c r="C20" s="5" t="s">
        <v>33</v>
      </c>
      <c r="G20" s="2" t="s">
        <v>36</v>
      </c>
    </row>
    <row r="21" customFormat="false" ht="15" hidden="false" customHeight="false" outlineLevel="0" collapsed="false">
      <c r="A21" s="5" t="s">
        <v>37</v>
      </c>
      <c r="B21" s="11" t="n">
        <f aca="false">1-B19-B20</f>
        <v>0.12</v>
      </c>
      <c r="C21" s="5" t="s">
        <v>33</v>
      </c>
      <c r="G21" s="2" t="s">
        <v>38</v>
      </c>
    </row>
    <row r="22" customFormat="false" ht="15" hidden="false" customHeight="false" outlineLevel="0" collapsed="false">
      <c r="A22" s="5" t="s">
        <v>39</v>
      </c>
      <c r="B22" s="12" t="n">
        <v>1.5</v>
      </c>
      <c r="C22" s="5" t="s">
        <v>40</v>
      </c>
      <c r="G22" s="2" t="s">
        <v>41</v>
      </c>
    </row>
    <row r="23" customFormat="false" ht="15" hidden="false" customHeight="false" outlineLevel="0" collapsed="false">
      <c r="A23" s="5" t="s">
        <v>42</v>
      </c>
      <c r="B23" s="12" t="n">
        <v>5</v>
      </c>
      <c r="C23" s="5" t="s">
        <v>40</v>
      </c>
      <c r="G23" s="2" t="s">
        <v>43</v>
      </c>
    </row>
    <row r="24" customFormat="false" ht="15" hidden="false" customHeight="false" outlineLevel="0" collapsed="false">
      <c r="A24" s="5" t="s">
        <v>44</v>
      </c>
      <c r="B24" s="10" t="n">
        <v>0.2</v>
      </c>
      <c r="C24" s="5" t="s">
        <v>33</v>
      </c>
      <c r="G24" s="2" t="s">
        <v>45</v>
      </c>
    </row>
    <row r="25" customFormat="false" ht="15" hidden="false" customHeight="false" outlineLevel="0" collapsed="false">
      <c r="A25" s="5" t="s">
        <v>46</v>
      </c>
      <c r="B25" s="10" t="n">
        <v>0.3</v>
      </c>
      <c r="C25" s="5" t="s">
        <v>33</v>
      </c>
      <c r="G25" s="2" t="s">
        <v>47</v>
      </c>
    </row>
    <row r="26" customFormat="false" ht="15" hidden="false" customHeight="false" outlineLevel="0" collapsed="false">
      <c r="A26" s="5" t="s">
        <v>48</v>
      </c>
      <c r="B26" s="8" t="n">
        <v>2</v>
      </c>
      <c r="C26" s="5" t="s">
        <v>49</v>
      </c>
      <c r="G26" s="2" t="s">
        <v>25</v>
      </c>
    </row>
    <row r="27" customFormat="false" ht="15" hidden="false" customHeight="false" outlineLevel="0" collapsed="false">
      <c r="A27" s="5" t="s">
        <v>50</v>
      </c>
      <c r="B27" s="11" t="n">
        <f aca="false">B25*B26/12</f>
        <v>0.05</v>
      </c>
      <c r="C27" s="5" t="s">
        <v>33</v>
      </c>
      <c r="G27" s="2" t="s">
        <v>51</v>
      </c>
    </row>
    <row r="28" customFormat="false" ht="15" hidden="false" customHeight="false" outlineLevel="0" collapsed="false">
      <c r="A28" s="5" t="s">
        <v>52</v>
      </c>
      <c r="B28" s="10" t="n">
        <v>0.35</v>
      </c>
      <c r="C28" s="5" t="s">
        <v>33</v>
      </c>
      <c r="G28" s="2" t="s">
        <v>53</v>
      </c>
    </row>
    <row r="30" customFormat="false" ht="15" hidden="false" customHeight="false" outlineLevel="0" collapsed="false">
      <c r="A30" s="6" t="s">
        <v>54</v>
      </c>
      <c r="B30" s="6" t="s">
        <v>6</v>
      </c>
      <c r="C30" s="6" t="s">
        <v>7</v>
      </c>
      <c r="D30" s="6"/>
      <c r="E30" s="6"/>
      <c r="F30" s="6"/>
      <c r="G30" s="6" t="s">
        <v>8</v>
      </c>
    </row>
    <row r="31" customFormat="false" ht="15" hidden="false" customHeight="false" outlineLevel="0" collapsed="false">
      <c r="A31" s="5" t="s">
        <v>55</v>
      </c>
      <c r="B31" s="10" t="n">
        <v>0.03</v>
      </c>
      <c r="C31" s="5" t="s">
        <v>56</v>
      </c>
      <c r="G31" s="2" t="s">
        <v>57</v>
      </c>
    </row>
    <row r="32" customFormat="false" ht="15" hidden="false" customHeight="false" outlineLevel="0" collapsed="false">
      <c r="A32" s="5" t="s">
        <v>58</v>
      </c>
      <c r="B32" s="10" t="n">
        <v>0.02</v>
      </c>
      <c r="C32" s="5" t="s">
        <v>56</v>
      </c>
      <c r="G32" s="2" t="s">
        <v>59</v>
      </c>
    </row>
    <row r="33" customFormat="false" ht="15" hidden="false" customHeight="false" outlineLevel="0" collapsed="false">
      <c r="A33" s="5" t="s">
        <v>60</v>
      </c>
      <c r="B33" s="10" t="n">
        <v>0.012</v>
      </c>
      <c r="C33" s="5" t="s">
        <v>56</v>
      </c>
      <c r="G33" s="2" t="s">
        <v>61</v>
      </c>
    </row>
    <row r="35" customFormat="false" ht="15" hidden="false" customHeight="false" outlineLevel="0" collapsed="false">
      <c r="A35" s="6" t="s">
        <v>62</v>
      </c>
      <c r="B35" s="6" t="s">
        <v>6</v>
      </c>
      <c r="C35" s="6" t="s">
        <v>7</v>
      </c>
      <c r="D35" s="6"/>
      <c r="E35" s="6"/>
      <c r="F35" s="6"/>
      <c r="G35" s="6" t="s">
        <v>8</v>
      </c>
    </row>
    <row r="36" customFormat="false" ht="15" hidden="false" customHeight="false" outlineLevel="0" collapsed="false">
      <c r="A36" s="5" t="s">
        <v>63</v>
      </c>
      <c r="B36" s="8" t="n">
        <v>3</v>
      </c>
      <c r="C36" s="5" t="s">
        <v>64</v>
      </c>
      <c r="G36" s="2" t="s">
        <v>65</v>
      </c>
    </row>
    <row r="37" customFormat="false" ht="15" hidden="false" customHeight="false" outlineLevel="0" collapsed="false">
      <c r="A37" s="5" t="s">
        <v>66</v>
      </c>
      <c r="B37" s="8" t="n">
        <v>6</v>
      </c>
      <c r="C37" s="5" t="s">
        <v>64</v>
      </c>
      <c r="G37" s="2" t="s">
        <v>45</v>
      </c>
    </row>
    <row r="38" customFormat="false" ht="15" hidden="false" customHeight="false" outlineLevel="0" collapsed="false">
      <c r="A38" s="5" t="s">
        <v>67</v>
      </c>
      <c r="B38" s="8" t="n">
        <v>9</v>
      </c>
      <c r="C38" s="5" t="s">
        <v>64</v>
      </c>
      <c r="G38" s="2" t="s">
        <v>45</v>
      </c>
    </row>
    <row r="39" customFormat="false" ht="15" hidden="false" customHeight="false" outlineLevel="0" collapsed="false">
      <c r="A39" s="5" t="s">
        <v>68</v>
      </c>
      <c r="B39" s="8" t="n">
        <v>12</v>
      </c>
      <c r="C39" s="5" t="s">
        <v>64</v>
      </c>
      <c r="G39" s="2" t="s">
        <v>45</v>
      </c>
    </row>
    <row r="40" customFormat="false" ht="15" hidden="false" customHeight="false" outlineLevel="0" collapsed="false">
      <c r="A40" s="5" t="s">
        <v>69</v>
      </c>
      <c r="B40" s="8" t="n">
        <v>16</v>
      </c>
      <c r="C40" s="5" t="s">
        <v>64</v>
      </c>
      <c r="G40" s="2" t="s">
        <v>45</v>
      </c>
    </row>
    <row r="41" customFormat="false" ht="15" hidden="false" customHeight="false" outlineLevel="0" collapsed="false">
      <c r="A41" s="5" t="s">
        <v>70</v>
      </c>
      <c r="B41" s="8" t="n">
        <v>20</v>
      </c>
      <c r="C41" s="5" t="s">
        <v>64</v>
      </c>
      <c r="G41" s="2" t="s">
        <v>45</v>
      </c>
    </row>
    <row r="42" customFormat="false" ht="15" hidden="false" customHeight="false" outlineLevel="0" collapsed="false">
      <c r="A42" s="5" t="s">
        <v>71</v>
      </c>
      <c r="B42" s="8" t="n">
        <v>24</v>
      </c>
      <c r="C42" s="5" t="s">
        <v>64</v>
      </c>
      <c r="G42" s="2" t="s">
        <v>45</v>
      </c>
    </row>
    <row r="43" customFormat="false" ht="15" hidden="false" customHeight="false" outlineLevel="0" collapsed="false">
      <c r="A43" s="5" t="s">
        <v>72</v>
      </c>
      <c r="B43" s="8" t="n">
        <v>28</v>
      </c>
      <c r="C43" s="5" t="s">
        <v>64</v>
      </c>
      <c r="G43" s="2" t="s">
        <v>45</v>
      </c>
    </row>
    <row r="44" customFormat="false" ht="15" hidden="false" customHeight="false" outlineLevel="0" collapsed="false">
      <c r="A44" s="5" t="s">
        <v>73</v>
      </c>
      <c r="B44" s="8" t="n">
        <v>30</v>
      </c>
      <c r="C44" s="5" t="s">
        <v>64</v>
      </c>
      <c r="G44" s="2" t="s">
        <v>45</v>
      </c>
    </row>
    <row r="45" customFormat="false" ht="15" hidden="false" customHeight="false" outlineLevel="0" collapsed="false">
      <c r="A45" s="5" t="s">
        <v>74</v>
      </c>
      <c r="B45" s="8" t="n">
        <v>33</v>
      </c>
      <c r="C45" s="5" t="s">
        <v>64</v>
      </c>
      <c r="G45" s="2" t="s">
        <v>45</v>
      </c>
    </row>
    <row r="46" customFormat="false" ht="15" hidden="false" customHeight="false" outlineLevel="0" collapsed="false">
      <c r="A46" s="5" t="s">
        <v>75</v>
      </c>
      <c r="B46" s="8" t="n">
        <v>36</v>
      </c>
      <c r="C46" s="5" t="s">
        <v>64</v>
      </c>
      <c r="G46" s="2" t="s">
        <v>45</v>
      </c>
    </row>
    <row r="47" customFormat="false" ht="15" hidden="false" customHeight="false" outlineLevel="0" collapsed="false">
      <c r="A47" s="5" t="s">
        <v>76</v>
      </c>
      <c r="B47" s="8" t="n">
        <v>40</v>
      </c>
      <c r="C47" s="5" t="s">
        <v>64</v>
      </c>
      <c r="G47" s="2" t="s">
        <v>45</v>
      </c>
    </row>
    <row r="48" customFormat="false" ht="15" hidden="false" customHeight="false" outlineLevel="0" collapsed="false">
      <c r="A48" s="5" t="s">
        <v>77</v>
      </c>
      <c r="B48" s="8" t="n">
        <v>45</v>
      </c>
      <c r="C48" s="5" t="s">
        <v>64</v>
      </c>
      <c r="G48" s="2" t="s">
        <v>45</v>
      </c>
    </row>
    <row r="49" customFormat="false" ht="15" hidden="false" customHeight="false" outlineLevel="0" collapsed="false">
      <c r="A49" s="5" t="s">
        <v>78</v>
      </c>
      <c r="B49" s="8" t="n">
        <v>55</v>
      </c>
      <c r="C49" s="5" t="s">
        <v>64</v>
      </c>
      <c r="G49" s="2" t="s">
        <v>45</v>
      </c>
    </row>
    <row r="51" customFormat="false" ht="15" hidden="false" customHeight="false" outlineLevel="0" collapsed="false">
      <c r="A51" s="6" t="s">
        <v>79</v>
      </c>
      <c r="B51" s="6" t="s">
        <v>6</v>
      </c>
      <c r="C51" s="6" t="s">
        <v>7</v>
      </c>
      <c r="D51" s="6"/>
      <c r="E51" s="6"/>
      <c r="F51" s="6"/>
      <c r="G51" s="6" t="s">
        <v>8</v>
      </c>
    </row>
    <row r="52" customFormat="false" ht="15" hidden="false" customHeight="false" outlineLevel="0" collapsed="false">
      <c r="A52" s="5" t="s">
        <v>80</v>
      </c>
      <c r="B52" s="13" t="n">
        <v>0.8</v>
      </c>
      <c r="C52" s="5" t="s">
        <v>81</v>
      </c>
      <c r="G52" s="2" t="s">
        <v>82</v>
      </c>
    </row>
    <row r="53" customFormat="false" ht="15" hidden="false" customHeight="false" outlineLevel="0" collapsed="false">
      <c r="A53" s="5" t="s">
        <v>83</v>
      </c>
      <c r="B53" s="13" t="n">
        <v>2</v>
      </c>
      <c r="C53" s="5" t="s">
        <v>81</v>
      </c>
      <c r="G53" s="2" t="s">
        <v>84</v>
      </c>
    </row>
    <row r="54" customFormat="false" ht="15" hidden="false" customHeight="false" outlineLevel="0" collapsed="false">
      <c r="A54" s="5" t="s">
        <v>85</v>
      </c>
      <c r="B54" s="13" t="n">
        <v>5</v>
      </c>
      <c r="C54" s="5" t="s">
        <v>81</v>
      </c>
      <c r="G54" s="2" t="s">
        <v>86</v>
      </c>
    </row>
    <row r="55" customFormat="false" ht="15" hidden="false" customHeight="false" outlineLevel="0" collapsed="false">
      <c r="A55" s="5" t="s">
        <v>87</v>
      </c>
      <c r="B55" s="14" t="n">
        <v>0.008</v>
      </c>
      <c r="C55" s="5" t="s">
        <v>33</v>
      </c>
      <c r="G55" s="2" t="s">
        <v>88</v>
      </c>
    </row>
    <row r="56" customFormat="false" ht="15" hidden="false" customHeight="false" outlineLevel="0" collapsed="false">
      <c r="A56" s="5" t="s">
        <v>89</v>
      </c>
      <c r="B56" s="13" t="n">
        <v>0.35</v>
      </c>
      <c r="C56" s="5" t="s">
        <v>81</v>
      </c>
      <c r="G56" s="2" t="s">
        <v>90</v>
      </c>
    </row>
    <row r="57" customFormat="false" ht="15" hidden="false" customHeight="false" outlineLevel="0" collapsed="false">
      <c r="A57" s="5" t="s">
        <v>91</v>
      </c>
      <c r="B57" s="10" t="n">
        <v>0.25</v>
      </c>
      <c r="C57" s="5" t="s">
        <v>92</v>
      </c>
      <c r="G57" s="2" t="s">
        <v>93</v>
      </c>
    </row>
    <row r="58" customFormat="false" ht="15" hidden="false" customHeight="false" outlineLevel="0" collapsed="false">
      <c r="A58" s="5" t="s">
        <v>94</v>
      </c>
      <c r="B58" s="10" t="n">
        <v>0</v>
      </c>
      <c r="C58" s="10" t="n">
        <v>0.1</v>
      </c>
      <c r="D58" s="10" t="n">
        <v>0.2</v>
      </c>
      <c r="E58" s="10" t="n">
        <v>0.25</v>
      </c>
      <c r="F58" s="10" t="n">
        <v>0.3</v>
      </c>
      <c r="G58" s="2" t="s">
        <v>95</v>
      </c>
    </row>
    <row r="59" customFormat="false" ht="15" hidden="false" customHeight="false" outlineLevel="0" collapsed="false">
      <c r="A59" s="5" t="s">
        <v>96</v>
      </c>
      <c r="B59" s="9" t="n">
        <v>150</v>
      </c>
      <c r="C59" s="5" t="s">
        <v>97</v>
      </c>
      <c r="G59" s="2" t="s">
        <v>98</v>
      </c>
    </row>
    <row r="61" customFormat="false" ht="15" hidden="false" customHeight="false" outlineLevel="0" collapsed="false">
      <c r="A61" s="6" t="s">
        <v>99</v>
      </c>
      <c r="B61" s="6" t="s">
        <v>100</v>
      </c>
      <c r="C61" s="6" t="s">
        <v>101</v>
      </c>
      <c r="D61" s="6" t="s">
        <v>102</v>
      </c>
      <c r="E61" s="6" t="s">
        <v>103</v>
      </c>
      <c r="F61" s="6" t="s">
        <v>104</v>
      </c>
      <c r="G61" s="6" t="s">
        <v>8</v>
      </c>
    </row>
    <row r="62" customFormat="false" ht="15" hidden="false" customHeight="false" outlineLevel="0" collapsed="false">
      <c r="A62" s="5" t="s">
        <v>105</v>
      </c>
      <c r="B62" s="9" t="n">
        <v>300</v>
      </c>
      <c r="C62" s="9" t="n">
        <v>400</v>
      </c>
      <c r="D62" s="9" t="n">
        <v>600</v>
      </c>
      <c r="E62" s="9" t="n">
        <v>800</v>
      </c>
      <c r="F62" s="9" t="n">
        <v>1000</v>
      </c>
      <c r="G62" s="2" t="s">
        <v>106</v>
      </c>
    </row>
    <row r="63" customFormat="false" ht="15" hidden="false" customHeight="false" outlineLevel="0" collapsed="false">
      <c r="A63" s="5" t="s">
        <v>107</v>
      </c>
      <c r="B63" s="9" t="n">
        <v>2500</v>
      </c>
      <c r="C63" s="9" t="n">
        <v>4000</v>
      </c>
      <c r="D63" s="9" t="n">
        <v>6000</v>
      </c>
      <c r="E63" s="9" t="n">
        <v>8000</v>
      </c>
      <c r="F63" s="9" t="n">
        <v>10000</v>
      </c>
      <c r="G63" s="2" t="s">
        <v>108</v>
      </c>
    </row>
    <row r="64" customFormat="false" ht="15" hidden="false" customHeight="false" outlineLevel="0" collapsed="false">
      <c r="A64" s="5" t="s">
        <v>109</v>
      </c>
      <c r="B64" s="9" t="n">
        <v>250</v>
      </c>
      <c r="C64" s="9" t="n">
        <v>600</v>
      </c>
      <c r="D64" s="9" t="n">
        <v>1500</v>
      </c>
      <c r="E64" s="9" t="n">
        <v>2200</v>
      </c>
      <c r="F64" s="9" t="n">
        <v>2800</v>
      </c>
      <c r="G64" s="2" t="s">
        <v>110</v>
      </c>
    </row>
    <row r="65" customFormat="false" ht="15" hidden="false" customHeight="false" outlineLevel="0" collapsed="false">
      <c r="A65" s="5" t="s">
        <v>111</v>
      </c>
      <c r="B65" s="9" t="n">
        <v>120</v>
      </c>
      <c r="C65" s="9" t="n">
        <v>150</v>
      </c>
      <c r="D65" s="9" t="n">
        <v>220</v>
      </c>
      <c r="E65" s="9" t="n">
        <v>300</v>
      </c>
      <c r="F65" s="9" t="n">
        <v>380</v>
      </c>
      <c r="G65" s="2" t="s">
        <v>110</v>
      </c>
    </row>
    <row r="66" customFormat="false" ht="15" hidden="false" customHeight="false" outlineLevel="0" collapsed="false">
      <c r="A66" s="5" t="s">
        <v>112</v>
      </c>
      <c r="B66" s="9" t="n">
        <v>350</v>
      </c>
      <c r="C66" s="9" t="n">
        <v>500</v>
      </c>
      <c r="D66" s="9" t="n">
        <v>800</v>
      </c>
      <c r="E66" s="9" t="n">
        <v>1000</v>
      </c>
      <c r="F66" s="9" t="n">
        <v>1200</v>
      </c>
      <c r="G66" s="2" t="s">
        <v>110</v>
      </c>
    </row>
    <row r="67" customFormat="false" ht="15" hidden="false" customHeight="false" outlineLevel="0" collapsed="false">
      <c r="A67" s="5" t="s">
        <v>113</v>
      </c>
      <c r="B67" s="9" t="n">
        <v>300</v>
      </c>
      <c r="C67" s="9" t="n">
        <v>350</v>
      </c>
      <c r="D67" s="9" t="n">
        <v>450</v>
      </c>
      <c r="E67" s="9" t="n">
        <v>550</v>
      </c>
      <c r="F67" s="9" t="n">
        <v>600</v>
      </c>
      <c r="G67" s="2" t="s">
        <v>110</v>
      </c>
    </row>
    <row r="68" customFormat="false" ht="15" hidden="false" customHeight="false" outlineLevel="0" collapsed="false">
      <c r="A68" s="5" t="s">
        <v>114</v>
      </c>
      <c r="B68" s="9" t="n">
        <v>500</v>
      </c>
      <c r="C68" s="9" t="n">
        <v>800</v>
      </c>
      <c r="D68" s="9" t="n">
        <v>1200</v>
      </c>
      <c r="E68" s="9" t="n">
        <v>1600</v>
      </c>
      <c r="F68" s="9" t="n">
        <v>2000</v>
      </c>
      <c r="G68" s="2" t="s">
        <v>110</v>
      </c>
    </row>
    <row r="69" customFormat="false" ht="15" hidden="false" customHeight="false" outlineLevel="0" collapsed="false">
      <c r="A69" s="5" t="s">
        <v>115</v>
      </c>
      <c r="B69" s="9" t="n">
        <v>150</v>
      </c>
      <c r="C69" s="9" t="n">
        <v>200</v>
      </c>
      <c r="D69" s="9" t="n">
        <v>300</v>
      </c>
      <c r="E69" s="9" t="n">
        <v>400</v>
      </c>
      <c r="F69" s="9" t="n">
        <v>500</v>
      </c>
      <c r="G69" s="2" t="s">
        <v>110</v>
      </c>
    </row>
    <row r="70" customFormat="false" ht="15" hidden="false" customHeight="false" outlineLevel="0" collapsed="false">
      <c r="A70" s="5" t="s">
        <v>116</v>
      </c>
      <c r="B70" s="9" t="n">
        <v>150</v>
      </c>
      <c r="C70" s="5" t="s">
        <v>17</v>
      </c>
      <c r="G70" s="2" t="s">
        <v>117</v>
      </c>
    </row>
    <row r="71" customFormat="false" ht="15" hidden="false" customHeight="false" outlineLevel="0" collapsed="false">
      <c r="A71" s="5" t="s">
        <v>118</v>
      </c>
      <c r="B71" s="9" t="n">
        <v>40</v>
      </c>
      <c r="C71" s="5" t="s">
        <v>119</v>
      </c>
      <c r="G71" s="2" t="s">
        <v>45</v>
      </c>
    </row>
    <row r="72" customFormat="false" ht="15" hidden="false" customHeight="false" outlineLevel="0" collapsed="false">
      <c r="A72" s="5" t="s">
        <v>120</v>
      </c>
      <c r="B72" s="9" t="n">
        <v>1800</v>
      </c>
      <c r="C72" s="5" t="s">
        <v>28</v>
      </c>
      <c r="G72" s="2" t="s">
        <v>121</v>
      </c>
    </row>
    <row r="73" customFormat="false" ht="15" hidden="false" customHeight="false" outlineLevel="0" collapsed="false">
      <c r="A73" s="5" t="s">
        <v>122</v>
      </c>
      <c r="B73" s="9" t="n">
        <v>8000</v>
      </c>
      <c r="C73" s="5" t="s">
        <v>28</v>
      </c>
      <c r="G73" s="2" t="s">
        <v>123</v>
      </c>
    </row>
    <row r="75" customFormat="false" ht="15" hidden="false" customHeight="false" outlineLevel="0" collapsed="false">
      <c r="A75" s="6" t="s">
        <v>124</v>
      </c>
      <c r="B75" s="6" t="s">
        <v>125</v>
      </c>
      <c r="C75" s="6" t="s">
        <v>126</v>
      </c>
      <c r="D75" s="6"/>
      <c r="E75" s="6"/>
      <c r="F75" s="6"/>
      <c r="G75" s="6" t="s">
        <v>127</v>
      </c>
    </row>
    <row r="76" customFormat="false" ht="15" hidden="false" customHeight="false" outlineLevel="0" collapsed="false">
      <c r="A76" s="5" t="s">
        <v>128</v>
      </c>
      <c r="B76" s="8" t="n">
        <v>3</v>
      </c>
      <c r="C76" s="9" t="n">
        <v>800</v>
      </c>
      <c r="G76" s="2" t="s">
        <v>129</v>
      </c>
    </row>
    <row r="77" customFormat="false" ht="15" hidden="false" customHeight="false" outlineLevel="0" collapsed="false">
      <c r="A77" s="5" t="s">
        <v>130</v>
      </c>
      <c r="B77" s="8" t="n">
        <v>4</v>
      </c>
      <c r="C77" s="9" t="n">
        <v>9000</v>
      </c>
      <c r="G77" s="2" t="s">
        <v>131</v>
      </c>
    </row>
    <row r="78" customFormat="false" ht="15" hidden="false" customHeight="false" outlineLevel="0" collapsed="false">
      <c r="A78" s="5" t="s">
        <v>132</v>
      </c>
      <c r="B78" s="8" t="n">
        <v>10</v>
      </c>
      <c r="C78" s="9" t="n">
        <v>2500</v>
      </c>
      <c r="G78" s="2" t="s">
        <v>133</v>
      </c>
    </row>
    <row r="79" customFormat="false" ht="15" hidden="false" customHeight="false" outlineLevel="0" collapsed="false">
      <c r="A79" s="5" t="s">
        <v>134</v>
      </c>
      <c r="B79" s="8" t="n">
        <v>15</v>
      </c>
      <c r="C79" s="9" t="n">
        <v>7000</v>
      </c>
      <c r="G79" s="2" t="s">
        <v>135</v>
      </c>
    </row>
    <row r="80" customFormat="false" ht="15" hidden="false" customHeight="false" outlineLevel="0" collapsed="false">
      <c r="A80" s="5" t="s">
        <v>136</v>
      </c>
      <c r="B80" s="8" t="n">
        <v>21</v>
      </c>
      <c r="C80" s="9" t="n">
        <v>14000</v>
      </c>
      <c r="G80" s="2" t="s">
        <v>137</v>
      </c>
    </row>
    <row r="81" customFormat="false" ht="15" hidden="false" customHeight="false" outlineLevel="0" collapsed="false">
      <c r="A81" s="5" t="s">
        <v>138</v>
      </c>
      <c r="B81" s="8" t="n">
        <v>22</v>
      </c>
      <c r="C81" s="9" t="n">
        <v>3000</v>
      </c>
      <c r="G81" s="2" t="s">
        <v>45</v>
      </c>
    </row>
    <row r="82" customFormat="false" ht="15" hidden="false" customHeight="false" outlineLevel="0" collapsed="false">
      <c r="A82" s="5" t="s">
        <v>139</v>
      </c>
      <c r="B82" s="8" t="n">
        <v>28</v>
      </c>
      <c r="C82" s="9" t="n">
        <v>15000</v>
      </c>
      <c r="G82" s="2" t="s">
        <v>140</v>
      </c>
    </row>
    <row r="83" customFormat="false" ht="15" hidden="false" customHeight="false" outlineLevel="0" collapsed="false">
      <c r="A83" s="5" t="s">
        <v>141</v>
      </c>
      <c r="B83" s="8" t="n">
        <v>34</v>
      </c>
      <c r="C83" s="9" t="n">
        <v>4000</v>
      </c>
      <c r="G83" s="2" t="s">
        <v>45</v>
      </c>
    </row>
    <row r="84" customFormat="false" ht="15" hidden="false" customHeight="false" outlineLevel="0" collapsed="false">
      <c r="A84" s="5" t="s">
        <v>142</v>
      </c>
      <c r="B84" s="8" t="n">
        <v>39</v>
      </c>
      <c r="C84" s="9" t="n">
        <v>10000</v>
      </c>
      <c r="G84" s="2" t="s">
        <v>143</v>
      </c>
    </row>
    <row r="85" customFormat="false" ht="15" hidden="false" customHeight="false" outlineLevel="0" collapsed="false">
      <c r="A85" s="5" t="s">
        <v>144</v>
      </c>
      <c r="B85" s="8" t="n">
        <v>45</v>
      </c>
      <c r="C85" s="9" t="n">
        <v>18000</v>
      </c>
      <c r="G85" s="2" t="s">
        <v>145</v>
      </c>
    </row>
    <row r="86" customFormat="false" ht="15" hidden="false" customHeight="false" outlineLevel="0" collapsed="false">
      <c r="A86" s="5" t="s">
        <v>146</v>
      </c>
      <c r="B86" s="8" t="n">
        <v>52</v>
      </c>
      <c r="C86" s="9" t="n">
        <v>18000</v>
      </c>
      <c r="G86" s="2" t="s">
        <v>147</v>
      </c>
    </row>
    <row r="87" customFormat="false" ht="15" hidden="false" customHeight="false" outlineLevel="0" collapsed="false">
      <c r="A87" s="5" t="s">
        <v>148</v>
      </c>
      <c r="B87" s="8" t="n">
        <v>58</v>
      </c>
      <c r="C87" s="9" t="n">
        <v>5000</v>
      </c>
      <c r="G87" s="2" t="s">
        <v>45</v>
      </c>
    </row>
    <row r="89" customFormat="false" ht="15" hidden="false" customHeight="false" outlineLevel="0" collapsed="false">
      <c r="A89" s="6" t="s">
        <v>149</v>
      </c>
      <c r="B89" s="6" t="s">
        <v>150</v>
      </c>
      <c r="C89" s="6" t="s">
        <v>151</v>
      </c>
      <c r="D89" s="6" t="s">
        <v>152</v>
      </c>
      <c r="E89" s="6" t="s">
        <v>153</v>
      </c>
      <c r="F89" s="6"/>
      <c r="G89" s="6" t="s">
        <v>154</v>
      </c>
    </row>
    <row r="90" customFormat="false" ht="15" hidden="false" customHeight="false" outlineLevel="0" collapsed="false">
      <c r="A90" s="5" t="s">
        <v>155</v>
      </c>
      <c r="B90" s="9" t="n">
        <v>2500</v>
      </c>
      <c r="C90" s="9" t="n">
        <v>4000</v>
      </c>
      <c r="D90" s="9" t="n">
        <v>5500</v>
      </c>
      <c r="E90" s="9" t="n">
        <v>6500</v>
      </c>
      <c r="F90" s="9" t="n">
        <v>7000</v>
      </c>
      <c r="G90" s="2" t="s">
        <v>156</v>
      </c>
    </row>
    <row r="91" customFormat="false" ht="15" hidden="false" customHeight="false" outlineLevel="0" collapsed="false">
      <c r="A91" s="5" t="s">
        <v>157</v>
      </c>
      <c r="B91" s="15" t="n">
        <v>1</v>
      </c>
      <c r="C91" s="5" t="s">
        <v>158</v>
      </c>
      <c r="G91" s="2" t="s">
        <v>159</v>
      </c>
    </row>
    <row r="92" customFormat="false" ht="15" hidden="false" customHeight="false" outlineLevel="0" collapsed="false">
      <c r="A92" s="5" t="s">
        <v>160</v>
      </c>
      <c r="B92" s="10" t="n">
        <v>0.03</v>
      </c>
      <c r="C92" s="5" t="s">
        <v>161</v>
      </c>
      <c r="G92" s="2" t="s">
        <v>45</v>
      </c>
    </row>
    <row r="93" customFormat="false" ht="15" hidden="false" customHeight="false" outlineLevel="0" collapsed="false">
      <c r="A93" s="3" t="s">
        <v>162</v>
      </c>
    </row>
    <row r="94" customFormat="false" ht="15" hidden="false" customHeight="false" outlineLevel="0" collapsed="false">
      <c r="A94" s="5" t="s">
        <v>163</v>
      </c>
      <c r="B94" s="4" t="s">
        <v>164</v>
      </c>
      <c r="C94" s="8" t="n">
        <v>7</v>
      </c>
      <c r="D94" s="9" t="n">
        <v>3800</v>
      </c>
      <c r="E94" s="15" t="n">
        <v>1.21</v>
      </c>
      <c r="G94" s="2" t="s">
        <v>165</v>
      </c>
    </row>
    <row r="95" customFormat="false" ht="15" hidden="false" customHeight="false" outlineLevel="0" collapsed="false">
      <c r="A95" s="5" t="s">
        <v>166</v>
      </c>
      <c r="B95" s="4" t="s">
        <v>167</v>
      </c>
      <c r="C95" s="8" t="n">
        <v>10</v>
      </c>
      <c r="D95" s="9" t="n">
        <v>5200</v>
      </c>
      <c r="E95" s="15" t="n">
        <v>1.21</v>
      </c>
      <c r="G95" s="2" t="s">
        <v>165</v>
      </c>
    </row>
    <row r="96" customFormat="false" ht="15" hidden="false" customHeight="false" outlineLevel="0" collapsed="false">
      <c r="A96" s="5" t="s">
        <v>168</v>
      </c>
      <c r="B96" s="4" t="s">
        <v>164</v>
      </c>
      <c r="C96" s="8" t="n">
        <v>13</v>
      </c>
      <c r="D96" s="9" t="n">
        <v>4200</v>
      </c>
      <c r="E96" s="15" t="n">
        <v>1.21</v>
      </c>
      <c r="G96" s="2" t="s">
        <v>165</v>
      </c>
    </row>
    <row r="97" customFormat="false" ht="15" hidden="false" customHeight="false" outlineLevel="0" collapsed="false">
      <c r="A97" s="5" t="s">
        <v>169</v>
      </c>
      <c r="B97" s="4" t="s">
        <v>170</v>
      </c>
      <c r="C97" s="8" t="n">
        <v>13</v>
      </c>
      <c r="D97" s="9" t="n">
        <v>1600</v>
      </c>
      <c r="E97" s="15" t="n">
        <v>1.21</v>
      </c>
      <c r="G97" s="2" t="s">
        <v>165</v>
      </c>
    </row>
    <row r="98" customFormat="false" ht="15" hidden="false" customHeight="false" outlineLevel="0" collapsed="false">
      <c r="A98" s="5" t="s">
        <v>171</v>
      </c>
      <c r="B98" s="4" t="s">
        <v>167</v>
      </c>
      <c r="C98" s="8" t="n">
        <v>22</v>
      </c>
      <c r="D98" s="9" t="n">
        <v>5200</v>
      </c>
      <c r="E98" s="15" t="n">
        <v>1.21</v>
      </c>
      <c r="G98" s="2" t="s">
        <v>165</v>
      </c>
    </row>
    <row r="99" customFormat="false" ht="15" hidden="false" customHeight="false" outlineLevel="0" collapsed="false">
      <c r="A99" s="5" t="s">
        <v>172</v>
      </c>
      <c r="B99" s="4" t="s">
        <v>170</v>
      </c>
      <c r="C99" s="8" t="n">
        <v>28</v>
      </c>
      <c r="D99" s="9" t="n">
        <v>3800</v>
      </c>
      <c r="E99" s="15" t="n">
        <v>1.21</v>
      </c>
      <c r="G99" s="2" t="s">
        <v>165</v>
      </c>
    </row>
    <row r="100" customFormat="false" ht="15" hidden="false" customHeight="false" outlineLevel="0" collapsed="false">
      <c r="A100" s="5" t="s">
        <v>173</v>
      </c>
      <c r="B100" s="4" t="s">
        <v>173</v>
      </c>
      <c r="C100" s="8" t="n">
        <v>31</v>
      </c>
      <c r="D100" s="9" t="n">
        <v>4000</v>
      </c>
      <c r="E100" s="15" t="n">
        <v>1.21</v>
      </c>
      <c r="G100" s="2" t="s">
        <v>165</v>
      </c>
    </row>
    <row r="101" customFormat="false" ht="15" hidden="false" customHeight="false" outlineLevel="0" collapsed="false">
      <c r="A101" s="5" t="s">
        <v>174</v>
      </c>
      <c r="B101" s="4" t="s">
        <v>167</v>
      </c>
      <c r="C101" s="8" t="n">
        <v>37</v>
      </c>
      <c r="D101" s="9" t="n">
        <v>5400</v>
      </c>
      <c r="E101" s="15" t="n">
        <v>1.21</v>
      </c>
      <c r="G101" s="2" t="s">
        <v>165</v>
      </c>
    </row>
    <row r="102" customFormat="false" ht="15" hidden="false" customHeight="false" outlineLevel="0" collapsed="false">
      <c r="A102" s="5" t="s">
        <v>175</v>
      </c>
      <c r="B102" s="4" t="s">
        <v>164</v>
      </c>
      <c r="C102" s="8" t="n">
        <v>37</v>
      </c>
      <c r="D102" s="9" t="n">
        <v>4200</v>
      </c>
      <c r="E102" s="15" t="n">
        <v>1.21</v>
      </c>
      <c r="G102" s="2" t="s">
        <v>165</v>
      </c>
    </row>
    <row r="103" customFormat="false" ht="15" hidden="false" customHeight="false" outlineLevel="0" collapsed="false">
      <c r="A103" s="5" t="s">
        <v>176</v>
      </c>
      <c r="B103" s="4" t="s">
        <v>170</v>
      </c>
      <c r="C103" s="8" t="n">
        <v>43</v>
      </c>
      <c r="D103" s="9" t="n">
        <v>3800</v>
      </c>
      <c r="E103" s="15" t="n">
        <v>1.21</v>
      </c>
      <c r="G103" s="2" t="s">
        <v>165</v>
      </c>
    </row>
    <row r="104" customFormat="false" ht="15" hidden="false" customHeight="false" outlineLevel="0" collapsed="false">
      <c r="A104" s="5" t="s">
        <v>177</v>
      </c>
      <c r="B104" s="4" t="s">
        <v>164</v>
      </c>
      <c r="C104" s="8" t="n">
        <v>49</v>
      </c>
      <c r="D104" s="9" t="n">
        <v>4200</v>
      </c>
      <c r="E104" s="15" t="n">
        <v>1.21</v>
      </c>
      <c r="G104" s="2" t="s">
        <v>165</v>
      </c>
    </row>
    <row r="105" customFormat="false" ht="15" hidden="false" customHeight="false" outlineLevel="0" collapsed="false">
      <c r="A105" s="5" t="s">
        <v>178</v>
      </c>
      <c r="B105" s="4" t="s">
        <v>170</v>
      </c>
      <c r="C105" s="8" t="n">
        <v>49</v>
      </c>
      <c r="D105" s="9" t="n">
        <v>3000</v>
      </c>
      <c r="E105" s="15" t="n">
        <v>1.21</v>
      </c>
      <c r="G105" s="2" t="s">
        <v>165</v>
      </c>
    </row>
    <row r="107" customFormat="false" ht="15" hidden="false" customHeight="false" outlineLevel="0" collapsed="false">
      <c r="A107" s="6" t="s">
        <v>179</v>
      </c>
      <c r="B107" s="6" t="s">
        <v>6</v>
      </c>
      <c r="C107" s="6" t="s">
        <v>7</v>
      </c>
      <c r="D107" s="6"/>
      <c r="E107" s="6"/>
      <c r="F107" s="6"/>
      <c r="G107" s="6" t="s">
        <v>8</v>
      </c>
    </row>
    <row r="108" customFormat="false" ht="15" hidden="false" customHeight="false" outlineLevel="0" collapsed="false">
      <c r="A108" s="5" t="s">
        <v>180</v>
      </c>
      <c r="B108" s="9" t="n">
        <v>25000</v>
      </c>
      <c r="C108" s="5" t="s">
        <v>181</v>
      </c>
      <c r="G108" s="2" t="s">
        <v>182</v>
      </c>
    </row>
    <row r="109" customFormat="false" ht="15" hidden="false" customHeight="false" outlineLevel="0" collapsed="false">
      <c r="A109" s="5" t="s">
        <v>183</v>
      </c>
      <c r="B109" s="8" t="n">
        <v>1</v>
      </c>
      <c r="C109" s="5" t="s">
        <v>184</v>
      </c>
      <c r="G109" s="2"/>
    </row>
    <row r="110" customFormat="false" ht="15" hidden="false" customHeight="false" outlineLevel="0" collapsed="false">
      <c r="A110" s="5" t="s">
        <v>185</v>
      </c>
      <c r="B110" s="9" t="n">
        <v>125000</v>
      </c>
      <c r="C110" s="5" t="s">
        <v>181</v>
      </c>
      <c r="G110" s="2" t="s">
        <v>186</v>
      </c>
    </row>
    <row r="111" customFormat="false" ht="15" hidden="false" customHeight="false" outlineLevel="0" collapsed="false">
      <c r="A111" s="5" t="s">
        <v>187</v>
      </c>
      <c r="B111" s="8" t="n">
        <v>1</v>
      </c>
      <c r="C111" s="5" t="s">
        <v>184</v>
      </c>
      <c r="G111" s="2"/>
    </row>
    <row r="112" customFormat="false" ht="15" hidden="false" customHeight="false" outlineLevel="0" collapsed="false">
      <c r="A112" s="5" t="s">
        <v>188</v>
      </c>
      <c r="B112" s="14" t="n">
        <v>0.04</v>
      </c>
      <c r="C112" s="5" t="s">
        <v>161</v>
      </c>
      <c r="G112" s="2" t="s">
        <v>189</v>
      </c>
    </row>
    <row r="113" customFormat="false" ht="15" hidden="false" customHeight="false" outlineLevel="0" collapsed="false">
      <c r="A113" s="5" t="s">
        <v>190</v>
      </c>
      <c r="B113" s="8" t="n">
        <v>24</v>
      </c>
      <c r="C113" s="5" t="s">
        <v>49</v>
      </c>
      <c r="G113" s="2" t="s">
        <v>191</v>
      </c>
    </row>
    <row r="114" customFormat="false" ht="15" hidden="false" customHeight="false" outlineLevel="0" collapsed="false">
      <c r="A114" s="5" t="s">
        <v>192</v>
      </c>
      <c r="B114" s="8" t="n">
        <v>120</v>
      </c>
      <c r="C114" s="5" t="s">
        <v>49</v>
      </c>
      <c r="G114" s="2" t="s">
        <v>193</v>
      </c>
    </row>
    <row r="115" customFormat="false" ht="15" hidden="false" customHeight="false" outlineLevel="0" collapsed="false">
      <c r="A115" s="5" t="s">
        <v>194</v>
      </c>
      <c r="B115" s="9" t="n">
        <v>200000</v>
      </c>
      <c r="C115" s="5" t="s">
        <v>181</v>
      </c>
      <c r="G115" s="2" t="s">
        <v>195</v>
      </c>
    </row>
    <row r="116" customFormat="false" ht="15" hidden="false" customHeight="false" outlineLevel="0" collapsed="false">
      <c r="A116" s="5" t="s">
        <v>196</v>
      </c>
      <c r="B116" s="8" t="n">
        <v>10</v>
      </c>
      <c r="C116" s="5" t="s">
        <v>184</v>
      </c>
      <c r="G116" s="2" t="s">
        <v>197</v>
      </c>
    </row>
    <row r="117" customFormat="false" ht="15" hidden="false" customHeight="false" outlineLevel="0" collapsed="false">
      <c r="A117" s="5" t="s">
        <v>198</v>
      </c>
      <c r="B117" s="9" t="n">
        <v>0</v>
      </c>
      <c r="C117" s="5" t="s">
        <v>17</v>
      </c>
      <c r="G117" s="2" t="s">
        <v>199</v>
      </c>
    </row>
    <row r="118" customFormat="false" ht="15" hidden="false" customHeight="false" outlineLevel="0" collapsed="false">
      <c r="A118" s="5" t="s">
        <v>200</v>
      </c>
      <c r="B118" s="9" t="n">
        <v>0</v>
      </c>
      <c r="C118" s="5" t="s">
        <v>17</v>
      </c>
      <c r="G118" s="2" t="s">
        <v>201</v>
      </c>
    </row>
    <row r="119" customFormat="false" ht="15" hidden="false" customHeight="false" outlineLevel="0" collapsed="false">
      <c r="A119" s="5" t="s">
        <v>202</v>
      </c>
      <c r="B119" s="9" t="n">
        <v>50000</v>
      </c>
      <c r="C119" s="5" t="s">
        <v>181</v>
      </c>
      <c r="G119" s="2" t="s">
        <v>203</v>
      </c>
    </row>
    <row r="121" customFormat="false" ht="15" hidden="false" customHeight="false" outlineLevel="0" collapsed="false">
      <c r="A121" s="6" t="s">
        <v>204</v>
      </c>
      <c r="B121" s="6" t="s">
        <v>100</v>
      </c>
      <c r="C121" s="6" t="s">
        <v>101</v>
      </c>
      <c r="D121" s="6" t="s">
        <v>102</v>
      </c>
      <c r="E121" s="6" t="s">
        <v>103</v>
      </c>
      <c r="F121" s="6" t="s">
        <v>104</v>
      </c>
      <c r="G121" s="6" t="s">
        <v>8</v>
      </c>
    </row>
    <row r="122" customFormat="false" ht="15" hidden="false" customHeight="false" outlineLevel="0" collapsed="false">
      <c r="A122" s="5" t="s">
        <v>205</v>
      </c>
      <c r="B122" s="10" t="n">
        <v>0.15</v>
      </c>
      <c r="C122" s="10" t="n">
        <v>0.14</v>
      </c>
      <c r="D122" s="10" t="n">
        <v>0.13</v>
      </c>
      <c r="E122" s="10" t="n">
        <v>0.12</v>
      </c>
      <c r="F122" s="10" t="n">
        <v>0.11</v>
      </c>
      <c r="G122" s="2" t="s">
        <v>206</v>
      </c>
    </row>
    <row r="123" customFormat="false" ht="15" hidden="false" customHeight="false" outlineLevel="0" collapsed="false">
      <c r="A123" s="5" t="s">
        <v>207</v>
      </c>
      <c r="B123" s="10" t="n">
        <v>0.055</v>
      </c>
      <c r="C123" s="5" t="s">
        <v>33</v>
      </c>
      <c r="G123" s="2"/>
    </row>
    <row r="124" customFormat="false" ht="15" hidden="false" customHeight="false" outlineLevel="0" collapsed="false">
      <c r="A124" s="5" t="s">
        <v>208</v>
      </c>
      <c r="B124" s="16" t="n">
        <v>4</v>
      </c>
      <c r="C124" s="5" t="s">
        <v>33</v>
      </c>
      <c r="G124" s="2" t="s">
        <v>209</v>
      </c>
    </row>
    <row r="125" customFormat="false" ht="15" hidden="false" customHeight="false" outlineLevel="0" collapsed="false">
      <c r="A125" s="5" t="s">
        <v>210</v>
      </c>
      <c r="B125" s="10" t="n">
        <v>0.035</v>
      </c>
      <c r="C125" s="5" t="s">
        <v>33</v>
      </c>
      <c r="G125" s="2" t="s">
        <v>211</v>
      </c>
    </row>
    <row r="126" customFormat="false" ht="15" hidden="false" customHeight="false" outlineLevel="0" collapsed="false">
      <c r="A126" s="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8" min="3" style="0" width="11"/>
  </cols>
  <sheetData>
    <row r="1" customFormat="false" ht="17.35" hidden="false" customHeight="false" outlineLevel="0" collapsed="false">
      <c r="A1" s="1" t="s">
        <v>213</v>
      </c>
      <c r="B1" s="3" t="s">
        <v>214</v>
      </c>
    </row>
    <row r="2" customFormat="false" ht="15" hidden="false" customHeight="false" outlineLevel="0" collapsed="false">
      <c r="A2" s="6" t="s">
        <v>125</v>
      </c>
      <c r="B2" s="17" t="n">
        <v>0</v>
      </c>
      <c r="C2" s="17" t="n">
        <f aca="false">B2+1</f>
        <v>1</v>
      </c>
      <c r="D2" s="17" t="n">
        <f aca="false">C2+1</f>
        <v>2</v>
      </c>
      <c r="E2" s="17" t="n">
        <f aca="false">D2+1</f>
        <v>3</v>
      </c>
      <c r="F2" s="17" t="n">
        <f aca="false">E2+1</f>
        <v>4</v>
      </c>
      <c r="G2" s="17" t="n">
        <f aca="false">F2+1</f>
        <v>5</v>
      </c>
      <c r="H2" s="17" t="n">
        <f aca="false">G2+1</f>
        <v>6</v>
      </c>
      <c r="I2" s="17" t="n">
        <f aca="false">H2+1</f>
        <v>7</v>
      </c>
      <c r="J2" s="17" t="n">
        <f aca="false">I2+1</f>
        <v>8</v>
      </c>
      <c r="K2" s="17" t="n">
        <f aca="false">J2+1</f>
        <v>9</v>
      </c>
      <c r="L2" s="17" t="n">
        <f aca="false">K2+1</f>
        <v>10</v>
      </c>
      <c r="M2" s="17" t="n">
        <f aca="false">L2+1</f>
        <v>11</v>
      </c>
      <c r="N2" s="17" t="n">
        <f aca="false">M2+1</f>
        <v>12</v>
      </c>
      <c r="O2" s="17" t="n">
        <f aca="false">N2+1</f>
        <v>13</v>
      </c>
      <c r="P2" s="17" t="n">
        <f aca="false">O2+1</f>
        <v>14</v>
      </c>
      <c r="Q2" s="17" t="n">
        <f aca="false">P2+1</f>
        <v>15</v>
      </c>
      <c r="R2" s="17" t="n">
        <f aca="false">Q2+1</f>
        <v>16</v>
      </c>
      <c r="S2" s="17" t="n">
        <f aca="false">R2+1</f>
        <v>17</v>
      </c>
      <c r="T2" s="17" t="n">
        <f aca="false">S2+1</f>
        <v>18</v>
      </c>
      <c r="U2" s="17" t="n">
        <f aca="false">T2+1</f>
        <v>19</v>
      </c>
      <c r="V2" s="17" t="n">
        <f aca="false">U2+1</f>
        <v>20</v>
      </c>
      <c r="W2" s="17" t="n">
        <f aca="false">V2+1</f>
        <v>21</v>
      </c>
      <c r="X2" s="17" t="n">
        <f aca="false">W2+1</f>
        <v>22</v>
      </c>
      <c r="Y2" s="17" t="n">
        <f aca="false">X2+1</f>
        <v>23</v>
      </c>
      <c r="Z2" s="17" t="n">
        <f aca="false">Y2+1</f>
        <v>24</v>
      </c>
      <c r="AA2" s="17" t="n">
        <f aca="false">Z2+1</f>
        <v>25</v>
      </c>
      <c r="AB2" s="17" t="n">
        <f aca="false">AA2+1</f>
        <v>26</v>
      </c>
      <c r="AC2" s="17" t="n">
        <f aca="false">AB2+1</f>
        <v>27</v>
      </c>
      <c r="AD2" s="17" t="n">
        <f aca="false">AC2+1</f>
        <v>28</v>
      </c>
      <c r="AE2" s="17" t="n">
        <f aca="false">AD2+1</f>
        <v>29</v>
      </c>
      <c r="AF2" s="17" t="n">
        <f aca="false">AE2+1</f>
        <v>30</v>
      </c>
      <c r="AG2" s="17" t="n">
        <f aca="false">AF2+1</f>
        <v>31</v>
      </c>
      <c r="AH2" s="17" t="n">
        <f aca="false">AG2+1</f>
        <v>32</v>
      </c>
      <c r="AI2" s="17" t="n">
        <f aca="false">AH2+1</f>
        <v>33</v>
      </c>
      <c r="AJ2" s="17" t="n">
        <f aca="false">AI2+1</f>
        <v>34</v>
      </c>
      <c r="AK2" s="17" t="n">
        <f aca="false">AJ2+1</f>
        <v>35</v>
      </c>
      <c r="AL2" s="17" t="n">
        <f aca="false">AK2+1</f>
        <v>36</v>
      </c>
    </row>
    <row r="3" customFormat="false" ht="15" hidden="false" customHeight="false" outlineLevel="0" collapsed="false">
      <c r="A3" s="6" t="s">
        <v>184</v>
      </c>
      <c r="B3" s="6"/>
      <c r="C3" s="18" t="n">
        <f aca="false">EDATE(Annahmen!$B$6,C$2-1)</f>
        <v>46388</v>
      </c>
      <c r="D3" s="18" t="n">
        <f aca="false">EDATE(Annahmen!$B$6,D$2-1)</f>
        <v>46419</v>
      </c>
      <c r="E3" s="18" t="n">
        <f aca="false">EDATE(Annahmen!$B$6,E$2-1)</f>
        <v>46447</v>
      </c>
      <c r="F3" s="18" t="n">
        <f aca="false">EDATE(Annahmen!$B$6,F$2-1)</f>
        <v>46478</v>
      </c>
      <c r="G3" s="18" t="n">
        <f aca="false">EDATE(Annahmen!$B$6,G$2-1)</f>
        <v>46508</v>
      </c>
      <c r="H3" s="18" t="n">
        <f aca="false">EDATE(Annahmen!$B$6,H$2-1)</f>
        <v>46539</v>
      </c>
      <c r="I3" s="18" t="n">
        <f aca="false">EDATE(Annahmen!$B$6,I$2-1)</f>
        <v>46569</v>
      </c>
      <c r="J3" s="18" t="n">
        <f aca="false">EDATE(Annahmen!$B$6,J$2-1)</f>
        <v>46600</v>
      </c>
      <c r="K3" s="18" t="n">
        <f aca="false">EDATE(Annahmen!$B$6,K$2-1)</f>
        <v>46631</v>
      </c>
      <c r="L3" s="18" t="n">
        <f aca="false">EDATE(Annahmen!$B$6,L$2-1)</f>
        <v>46661</v>
      </c>
      <c r="M3" s="18" t="n">
        <f aca="false">EDATE(Annahmen!$B$6,M$2-1)</f>
        <v>46692</v>
      </c>
      <c r="N3" s="18" t="n">
        <f aca="false">EDATE(Annahmen!$B$6,N$2-1)</f>
        <v>46722</v>
      </c>
      <c r="O3" s="18" t="n">
        <f aca="false">EDATE(Annahmen!$B$6,O$2-1)</f>
        <v>46753</v>
      </c>
      <c r="P3" s="18" t="n">
        <f aca="false">EDATE(Annahmen!$B$6,P$2-1)</f>
        <v>46784</v>
      </c>
      <c r="Q3" s="18" t="n">
        <f aca="false">EDATE(Annahmen!$B$6,Q$2-1)</f>
        <v>46813</v>
      </c>
      <c r="R3" s="18" t="n">
        <f aca="false">EDATE(Annahmen!$B$6,R$2-1)</f>
        <v>46844</v>
      </c>
      <c r="S3" s="18" t="n">
        <f aca="false">EDATE(Annahmen!$B$6,S$2-1)</f>
        <v>46874</v>
      </c>
      <c r="T3" s="18" t="n">
        <f aca="false">EDATE(Annahmen!$B$6,T$2-1)</f>
        <v>46905</v>
      </c>
      <c r="U3" s="18" t="n">
        <f aca="false">EDATE(Annahmen!$B$6,U$2-1)</f>
        <v>46935</v>
      </c>
      <c r="V3" s="18" t="n">
        <f aca="false">EDATE(Annahmen!$B$6,V$2-1)</f>
        <v>46966</v>
      </c>
      <c r="W3" s="18" t="n">
        <f aca="false">EDATE(Annahmen!$B$6,W$2-1)</f>
        <v>46997</v>
      </c>
      <c r="X3" s="18" t="n">
        <f aca="false">EDATE(Annahmen!$B$6,X$2-1)</f>
        <v>47027</v>
      </c>
      <c r="Y3" s="18" t="n">
        <f aca="false">EDATE(Annahmen!$B$6,Y$2-1)</f>
        <v>47058</v>
      </c>
      <c r="Z3" s="18" t="n">
        <f aca="false">EDATE(Annahmen!$B$6,Z$2-1)</f>
        <v>47088</v>
      </c>
      <c r="AA3" s="18" t="n">
        <f aca="false">EDATE(Annahmen!$B$6,AA$2-1)</f>
        <v>47119</v>
      </c>
      <c r="AB3" s="18" t="n">
        <f aca="false">EDATE(Annahmen!$B$6,AB$2-1)</f>
        <v>47150</v>
      </c>
      <c r="AC3" s="18" t="n">
        <f aca="false">EDATE(Annahmen!$B$6,AC$2-1)</f>
        <v>47178</v>
      </c>
      <c r="AD3" s="18" t="n">
        <f aca="false">EDATE(Annahmen!$B$6,AD$2-1)</f>
        <v>47209</v>
      </c>
      <c r="AE3" s="18" t="n">
        <f aca="false">EDATE(Annahmen!$B$6,AE$2-1)</f>
        <v>47239</v>
      </c>
      <c r="AF3" s="18" t="n">
        <f aca="false">EDATE(Annahmen!$B$6,AF$2-1)</f>
        <v>47270</v>
      </c>
      <c r="AG3" s="18" t="n">
        <f aca="false">EDATE(Annahmen!$B$6,AG$2-1)</f>
        <v>47300</v>
      </c>
      <c r="AH3" s="18" t="n">
        <f aca="false">EDATE(Annahmen!$B$6,AH$2-1)</f>
        <v>47331</v>
      </c>
      <c r="AI3" s="18" t="n">
        <f aca="false">EDATE(Annahmen!$B$6,AI$2-1)</f>
        <v>47362</v>
      </c>
      <c r="AJ3" s="18" t="n">
        <f aca="false">EDATE(Annahmen!$B$6,AJ$2-1)</f>
        <v>47392</v>
      </c>
      <c r="AK3" s="18" t="n">
        <f aca="false">EDATE(Annahmen!$B$6,AK$2-1)</f>
        <v>47423</v>
      </c>
      <c r="AL3" s="18" t="n">
        <f aca="false">EDATE(Annahmen!$B$6,AL$2-1)</f>
        <v>47453</v>
      </c>
    </row>
    <row r="4" customFormat="false" ht="15" hidden="false" customHeight="false" outlineLevel="0" collapsed="false">
      <c r="A4" s="6" t="s">
        <v>215</v>
      </c>
      <c r="B4" s="6"/>
      <c r="C4" s="17" t="n">
        <f aca="false">INT((C$2-1)/12)+1</f>
        <v>1</v>
      </c>
      <c r="D4" s="17" t="n">
        <f aca="false">INT((D$2-1)/12)+1</f>
        <v>1</v>
      </c>
      <c r="E4" s="17" t="n">
        <f aca="false">INT((E$2-1)/12)+1</f>
        <v>1</v>
      </c>
      <c r="F4" s="17" t="n">
        <f aca="false">INT((F$2-1)/12)+1</f>
        <v>1</v>
      </c>
      <c r="G4" s="17" t="n">
        <f aca="false">INT((G$2-1)/12)+1</f>
        <v>1</v>
      </c>
      <c r="H4" s="17" t="n">
        <f aca="false">INT((H$2-1)/12)+1</f>
        <v>1</v>
      </c>
      <c r="I4" s="17" t="n">
        <f aca="false">INT((I$2-1)/12)+1</f>
        <v>1</v>
      </c>
      <c r="J4" s="17" t="n">
        <f aca="false">INT((J$2-1)/12)+1</f>
        <v>1</v>
      </c>
      <c r="K4" s="17" t="n">
        <f aca="false">INT((K$2-1)/12)+1</f>
        <v>1</v>
      </c>
      <c r="L4" s="17" t="n">
        <f aca="false">INT((L$2-1)/12)+1</f>
        <v>1</v>
      </c>
      <c r="M4" s="17" t="n">
        <f aca="false">INT((M$2-1)/12)+1</f>
        <v>1</v>
      </c>
      <c r="N4" s="17" t="n">
        <f aca="false">INT((N$2-1)/12)+1</f>
        <v>1</v>
      </c>
      <c r="O4" s="17" t="n">
        <f aca="false">INT((O$2-1)/12)+1</f>
        <v>2</v>
      </c>
      <c r="P4" s="17" t="n">
        <f aca="false">INT((P$2-1)/12)+1</f>
        <v>2</v>
      </c>
      <c r="Q4" s="17" t="n">
        <f aca="false">INT((Q$2-1)/12)+1</f>
        <v>2</v>
      </c>
      <c r="R4" s="17" t="n">
        <f aca="false">INT((R$2-1)/12)+1</f>
        <v>2</v>
      </c>
      <c r="S4" s="17" t="n">
        <f aca="false">INT((S$2-1)/12)+1</f>
        <v>2</v>
      </c>
      <c r="T4" s="17" t="n">
        <f aca="false">INT((T$2-1)/12)+1</f>
        <v>2</v>
      </c>
      <c r="U4" s="17" t="n">
        <f aca="false">INT((U$2-1)/12)+1</f>
        <v>2</v>
      </c>
      <c r="V4" s="17" t="n">
        <f aca="false">INT((V$2-1)/12)+1</f>
        <v>2</v>
      </c>
      <c r="W4" s="17" t="n">
        <f aca="false">INT((W$2-1)/12)+1</f>
        <v>2</v>
      </c>
      <c r="X4" s="17" t="n">
        <f aca="false">INT((X$2-1)/12)+1</f>
        <v>2</v>
      </c>
      <c r="Y4" s="17" t="n">
        <f aca="false">INT((Y$2-1)/12)+1</f>
        <v>2</v>
      </c>
      <c r="Z4" s="17" t="n">
        <f aca="false">INT((Z$2-1)/12)+1</f>
        <v>2</v>
      </c>
      <c r="AA4" s="17" t="n">
        <f aca="false">INT((AA$2-1)/12)+1</f>
        <v>3</v>
      </c>
      <c r="AB4" s="17" t="n">
        <f aca="false">INT((AB$2-1)/12)+1</f>
        <v>3</v>
      </c>
      <c r="AC4" s="17" t="n">
        <f aca="false">INT((AC$2-1)/12)+1</f>
        <v>3</v>
      </c>
      <c r="AD4" s="17" t="n">
        <f aca="false">INT((AD$2-1)/12)+1</f>
        <v>3</v>
      </c>
      <c r="AE4" s="17" t="n">
        <f aca="false">INT((AE$2-1)/12)+1</f>
        <v>3</v>
      </c>
      <c r="AF4" s="17" t="n">
        <f aca="false">INT((AF$2-1)/12)+1</f>
        <v>3</v>
      </c>
      <c r="AG4" s="17" t="n">
        <f aca="false">INT((AG$2-1)/12)+1</f>
        <v>3</v>
      </c>
      <c r="AH4" s="17" t="n">
        <f aca="false">INT((AH$2-1)/12)+1</f>
        <v>3</v>
      </c>
      <c r="AI4" s="17" t="n">
        <f aca="false">INT((AI$2-1)/12)+1</f>
        <v>3</v>
      </c>
      <c r="AJ4" s="17" t="n">
        <f aca="false">INT((AJ$2-1)/12)+1</f>
        <v>3</v>
      </c>
      <c r="AK4" s="17" t="n">
        <f aca="false">INT((AK$2-1)/12)+1</f>
        <v>3</v>
      </c>
      <c r="AL4" s="17" t="n">
        <f aca="false">INT((AL$2-1)/12)+1</f>
        <v>3</v>
      </c>
    </row>
    <row r="5" customFormat="false" ht="15" hidden="false" customHeight="false" outlineLevel="0" collapsed="false">
      <c r="A5" s="19" t="s">
        <v>13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customFormat="false" ht="15" hidden="false" customHeight="false" outlineLevel="0" collapsed="false">
      <c r="A6" s="5" t="s">
        <v>216</v>
      </c>
      <c r="C6" s="21" t="n">
        <f aca="false">IF(C$2&lt;=36,INDEX(Annahmen!$B$36:$B$47,INT((C$2-1)/3)+1,1),IF(C$2&lt;=48,Annahmen!$B$48,Annahmen!$B$49))</f>
        <v>3</v>
      </c>
      <c r="D6" s="21" t="n">
        <f aca="false">IF(D$2&lt;=36,INDEX(Annahmen!$B$36:$B$47,INT((D$2-1)/3)+1,1),IF(D$2&lt;=48,Annahmen!$B$48,Annahmen!$B$49))</f>
        <v>3</v>
      </c>
      <c r="E6" s="21" t="n">
        <f aca="false">IF(E$2&lt;=36,INDEX(Annahmen!$B$36:$B$47,INT((E$2-1)/3)+1,1),IF(E$2&lt;=48,Annahmen!$B$48,Annahmen!$B$49))</f>
        <v>3</v>
      </c>
      <c r="F6" s="21" t="n">
        <f aca="false">IF(F$2&lt;=36,INDEX(Annahmen!$B$36:$B$47,INT((F$2-1)/3)+1,1),IF(F$2&lt;=48,Annahmen!$B$48,Annahmen!$B$49))</f>
        <v>6</v>
      </c>
      <c r="G6" s="21" t="n">
        <f aca="false">IF(G$2&lt;=36,INDEX(Annahmen!$B$36:$B$47,INT((G$2-1)/3)+1,1),IF(G$2&lt;=48,Annahmen!$B$48,Annahmen!$B$49))</f>
        <v>6</v>
      </c>
      <c r="H6" s="21" t="n">
        <f aca="false">IF(H$2&lt;=36,INDEX(Annahmen!$B$36:$B$47,INT((H$2-1)/3)+1,1),IF(H$2&lt;=48,Annahmen!$B$48,Annahmen!$B$49))</f>
        <v>6</v>
      </c>
      <c r="I6" s="21" t="n">
        <f aca="false">IF(I$2&lt;=36,INDEX(Annahmen!$B$36:$B$47,INT((I$2-1)/3)+1,1),IF(I$2&lt;=48,Annahmen!$B$48,Annahmen!$B$49))</f>
        <v>9</v>
      </c>
      <c r="J6" s="21" t="n">
        <f aca="false">IF(J$2&lt;=36,INDEX(Annahmen!$B$36:$B$47,INT((J$2-1)/3)+1,1),IF(J$2&lt;=48,Annahmen!$B$48,Annahmen!$B$49))</f>
        <v>9</v>
      </c>
      <c r="K6" s="21" t="n">
        <f aca="false">IF(K$2&lt;=36,INDEX(Annahmen!$B$36:$B$47,INT((K$2-1)/3)+1,1),IF(K$2&lt;=48,Annahmen!$B$48,Annahmen!$B$49))</f>
        <v>9</v>
      </c>
      <c r="L6" s="21" t="n">
        <f aca="false">IF(L$2&lt;=36,INDEX(Annahmen!$B$36:$B$47,INT((L$2-1)/3)+1,1),IF(L$2&lt;=48,Annahmen!$B$48,Annahmen!$B$49))</f>
        <v>12</v>
      </c>
      <c r="M6" s="21" t="n">
        <f aca="false">IF(M$2&lt;=36,INDEX(Annahmen!$B$36:$B$47,INT((M$2-1)/3)+1,1),IF(M$2&lt;=48,Annahmen!$B$48,Annahmen!$B$49))</f>
        <v>12</v>
      </c>
      <c r="N6" s="21" t="n">
        <f aca="false">IF(N$2&lt;=36,INDEX(Annahmen!$B$36:$B$47,INT((N$2-1)/3)+1,1),IF(N$2&lt;=48,Annahmen!$B$48,Annahmen!$B$49))</f>
        <v>12</v>
      </c>
      <c r="O6" s="21" t="n">
        <f aca="false">IF(O$2&lt;=36,INDEX(Annahmen!$B$36:$B$47,INT((O$2-1)/3)+1,1),IF(O$2&lt;=48,Annahmen!$B$48,Annahmen!$B$49))</f>
        <v>16</v>
      </c>
      <c r="P6" s="21" t="n">
        <f aca="false">IF(P$2&lt;=36,INDEX(Annahmen!$B$36:$B$47,INT((P$2-1)/3)+1,1),IF(P$2&lt;=48,Annahmen!$B$48,Annahmen!$B$49))</f>
        <v>16</v>
      </c>
      <c r="Q6" s="21" t="n">
        <f aca="false">IF(Q$2&lt;=36,INDEX(Annahmen!$B$36:$B$47,INT((Q$2-1)/3)+1,1),IF(Q$2&lt;=48,Annahmen!$B$48,Annahmen!$B$49))</f>
        <v>16</v>
      </c>
      <c r="R6" s="21" t="n">
        <f aca="false">IF(R$2&lt;=36,INDEX(Annahmen!$B$36:$B$47,INT((R$2-1)/3)+1,1),IF(R$2&lt;=48,Annahmen!$B$48,Annahmen!$B$49))</f>
        <v>20</v>
      </c>
      <c r="S6" s="21" t="n">
        <f aca="false">IF(S$2&lt;=36,INDEX(Annahmen!$B$36:$B$47,INT((S$2-1)/3)+1,1),IF(S$2&lt;=48,Annahmen!$B$48,Annahmen!$B$49))</f>
        <v>20</v>
      </c>
      <c r="T6" s="21" t="n">
        <f aca="false">IF(T$2&lt;=36,INDEX(Annahmen!$B$36:$B$47,INT((T$2-1)/3)+1,1),IF(T$2&lt;=48,Annahmen!$B$48,Annahmen!$B$49))</f>
        <v>20</v>
      </c>
      <c r="U6" s="21" t="n">
        <f aca="false">IF(U$2&lt;=36,INDEX(Annahmen!$B$36:$B$47,INT((U$2-1)/3)+1,1),IF(U$2&lt;=48,Annahmen!$B$48,Annahmen!$B$49))</f>
        <v>24</v>
      </c>
      <c r="V6" s="21" t="n">
        <f aca="false">IF(V$2&lt;=36,INDEX(Annahmen!$B$36:$B$47,INT((V$2-1)/3)+1,1),IF(V$2&lt;=48,Annahmen!$B$48,Annahmen!$B$49))</f>
        <v>24</v>
      </c>
      <c r="W6" s="21" t="n">
        <f aca="false">IF(W$2&lt;=36,INDEX(Annahmen!$B$36:$B$47,INT((W$2-1)/3)+1,1),IF(W$2&lt;=48,Annahmen!$B$48,Annahmen!$B$49))</f>
        <v>24</v>
      </c>
      <c r="X6" s="21" t="n">
        <f aca="false">IF(X$2&lt;=36,INDEX(Annahmen!$B$36:$B$47,INT((X$2-1)/3)+1,1),IF(X$2&lt;=48,Annahmen!$B$48,Annahmen!$B$49))</f>
        <v>28</v>
      </c>
      <c r="Y6" s="21" t="n">
        <f aca="false">IF(Y$2&lt;=36,INDEX(Annahmen!$B$36:$B$47,INT((Y$2-1)/3)+1,1),IF(Y$2&lt;=48,Annahmen!$B$48,Annahmen!$B$49))</f>
        <v>28</v>
      </c>
      <c r="Z6" s="21" t="n">
        <f aca="false">IF(Z$2&lt;=36,INDEX(Annahmen!$B$36:$B$47,INT((Z$2-1)/3)+1,1),IF(Z$2&lt;=48,Annahmen!$B$48,Annahmen!$B$49))</f>
        <v>28</v>
      </c>
      <c r="AA6" s="21" t="n">
        <f aca="false">IF(AA$2&lt;=36,INDEX(Annahmen!$B$36:$B$47,INT((AA$2-1)/3)+1,1),IF(AA$2&lt;=48,Annahmen!$B$48,Annahmen!$B$49))</f>
        <v>30</v>
      </c>
      <c r="AB6" s="21" t="n">
        <f aca="false">IF(AB$2&lt;=36,INDEX(Annahmen!$B$36:$B$47,INT((AB$2-1)/3)+1,1),IF(AB$2&lt;=48,Annahmen!$B$48,Annahmen!$B$49))</f>
        <v>30</v>
      </c>
      <c r="AC6" s="21" t="n">
        <f aca="false">IF(AC$2&lt;=36,INDEX(Annahmen!$B$36:$B$47,INT((AC$2-1)/3)+1,1),IF(AC$2&lt;=48,Annahmen!$B$48,Annahmen!$B$49))</f>
        <v>30</v>
      </c>
      <c r="AD6" s="21" t="n">
        <f aca="false">IF(AD$2&lt;=36,INDEX(Annahmen!$B$36:$B$47,INT((AD$2-1)/3)+1,1),IF(AD$2&lt;=48,Annahmen!$B$48,Annahmen!$B$49))</f>
        <v>33</v>
      </c>
      <c r="AE6" s="21" t="n">
        <f aca="false">IF(AE$2&lt;=36,INDEX(Annahmen!$B$36:$B$47,INT((AE$2-1)/3)+1,1),IF(AE$2&lt;=48,Annahmen!$B$48,Annahmen!$B$49))</f>
        <v>33</v>
      </c>
      <c r="AF6" s="21" t="n">
        <f aca="false">IF(AF$2&lt;=36,INDEX(Annahmen!$B$36:$B$47,INT((AF$2-1)/3)+1,1),IF(AF$2&lt;=48,Annahmen!$B$48,Annahmen!$B$49))</f>
        <v>33</v>
      </c>
      <c r="AG6" s="21" t="n">
        <f aca="false">IF(AG$2&lt;=36,INDEX(Annahmen!$B$36:$B$47,INT((AG$2-1)/3)+1,1),IF(AG$2&lt;=48,Annahmen!$B$48,Annahmen!$B$49))</f>
        <v>36</v>
      </c>
      <c r="AH6" s="21" t="n">
        <f aca="false">IF(AH$2&lt;=36,INDEX(Annahmen!$B$36:$B$47,INT((AH$2-1)/3)+1,1),IF(AH$2&lt;=48,Annahmen!$B$48,Annahmen!$B$49))</f>
        <v>36</v>
      </c>
      <c r="AI6" s="21" t="n">
        <f aca="false">IF(AI$2&lt;=36,INDEX(Annahmen!$B$36:$B$47,INT((AI$2-1)/3)+1,1),IF(AI$2&lt;=48,Annahmen!$B$48,Annahmen!$B$49))</f>
        <v>36</v>
      </c>
      <c r="AJ6" s="21" t="n">
        <f aca="false">IF(AJ$2&lt;=36,INDEX(Annahmen!$B$36:$B$47,INT((AJ$2-1)/3)+1,1),IF(AJ$2&lt;=48,Annahmen!$B$48,Annahmen!$B$49))</f>
        <v>40</v>
      </c>
      <c r="AK6" s="21" t="n">
        <f aca="false">IF(AK$2&lt;=36,INDEX(Annahmen!$B$36:$B$47,INT((AK$2-1)/3)+1,1),IF(AK$2&lt;=48,Annahmen!$B$48,Annahmen!$B$49))</f>
        <v>40</v>
      </c>
      <c r="AL6" s="21" t="n">
        <f aca="false">IF(AL$2&lt;=36,INDEX(Annahmen!$B$36:$B$47,INT((AL$2-1)/3)+1,1),IF(AL$2&lt;=48,Annahmen!$B$48,Annahmen!$B$49))</f>
        <v>40</v>
      </c>
    </row>
    <row r="7" customFormat="false" ht="15" hidden="false" customHeight="false" outlineLevel="0" collapsed="false">
      <c r="A7" s="5" t="s">
        <v>217</v>
      </c>
      <c r="C7" s="21" t="n">
        <f aca="false">C6*Annahmen!$B$19</f>
        <v>1.5</v>
      </c>
      <c r="D7" s="21" t="n">
        <f aca="false">D6*Annahmen!$B$19</f>
        <v>1.5</v>
      </c>
      <c r="E7" s="21" t="n">
        <f aca="false">E6*Annahmen!$B$19</f>
        <v>1.5</v>
      </c>
      <c r="F7" s="21" t="n">
        <f aca="false">F6*Annahmen!$B$19</f>
        <v>3</v>
      </c>
      <c r="G7" s="21" t="n">
        <f aca="false">G6*Annahmen!$B$19</f>
        <v>3</v>
      </c>
      <c r="H7" s="21" t="n">
        <f aca="false">H6*Annahmen!$B$19</f>
        <v>3</v>
      </c>
      <c r="I7" s="21" t="n">
        <f aca="false">I6*Annahmen!$B$19</f>
        <v>4.5</v>
      </c>
      <c r="J7" s="21" t="n">
        <f aca="false">J6*Annahmen!$B$19</f>
        <v>4.5</v>
      </c>
      <c r="K7" s="21" t="n">
        <f aca="false">K6*Annahmen!$B$19</f>
        <v>4.5</v>
      </c>
      <c r="L7" s="21" t="n">
        <f aca="false">L6*Annahmen!$B$19</f>
        <v>6</v>
      </c>
      <c r="M7" s="21" t="n">
        <f aca="false">M6*Annahmen!$B$19</f>
        <v>6</v>
      </c>
      <c r="N7" s="21" t="n">
        <f aca="false">N6*Annahmen!$B$19</f>
        <v>6</v>
      </c>
      <c r="O7" s="21" t="n">
        <f aca="false">O6*Annahmen!$B$19</f>
        <v>8</v>
      </c>
      <c r="P7" s="21" t="n">
        <f aca="false">P6*Annahmen!$B$19</f>
        <v>8</v>
      </c>
      <c r="Q7" s="21" t="n">
        <f aca="false">Q6*Annahmen!$B$19</f>
        <v>8</v>
      </c>
      <c r="R7" s="21" t="n">
        <f aca="false">R6*Annahmen!$B$19</f>
        <v>10</v>
      </c>
      <c r="S7" s="21" t="n">
        <f aca="false">S6*Annahmen!$B$19</f>
        <v>10</v>
      </c>
      <c r="T7" s="21" t="n">
        <f aca="false">T6*Annahmen!$B$19</f>
        <v>10</v>
      </c>
      <c r="U7" s="21" t="n">
        <f aca="false">U6*Annahmen!$B$19</f>
        <v>12</v>
      </c>
      <c r="V7" s="21" t="n">
        <f aca="false">V6*Annahmen!$B$19</f>
        <v>12</v>
      </c>
      <c r="W7" s="21" t="n">
        <f aca="false">W6*Annahmen!$B$19</f>
        <v>12</v>
      </c>
      <c r="X7" s="21" t="n">
        <f aca="false">X6*Annahmen!$B$19</f>
        <v>14</v>
      </c>
      <c r="Y7" s="21" t="n">
        <f aca="false">Y6*Annahmen!$B$19</f>
        <v>14</v>
      </c>
      <c r="Z7" s="21" t="n">
        <f aca="false">Z6*Annahmen!$B$19</f>
        <v>14</v>
      </c>
      <c r="AA7" s="21" t="n">
        <f aca="false">AA6*Annahmen!$B$19</f>
        <v>15</v>
      </c>
      <c r="AB7" s="21" t="n">
        <f aca="false">AB6*Annahmen!$B$19</f>
        <v>15</v>
      </c>
      <c r="AC7" s="21" t="n">
        <f aca="false">AC6*Annahmen!$B$19</f>
        <v>15</v>
      </c>
      <c r="AD7" s="21" t="n">
        <f aca="false">AD6*Annahmen!$B$19</f>
        <v>16.5</v>
      </c>
      <c r="AE7" s="21" t="n">
        <f aca="false">AE6*Annahmen!$B$19</f>
        <v>16.5</v>
      </c>
      <c r="AF7" s="21" t="n">
        <f aca="false">AF6*Annahmen!$B$19</f>
        <v>16.5</v>
      </c>
      <c r="AG7" s="21" t="n">
        <f aca="false">AG6*Annahmen!$B$19</f>
        <v>18</v>
      </c>
      <c r="AH7" s="21" t="n">
        <f aca="false">AH6*Annahmen!$B$19</f>
        <v>18</v>
      </c>
      <c r="AI7" s="21" t="n">
        <f aca="false">AI6*Annahmen!$B$19</f>
        <v>18</v>
      </c>
      <c r="AJ7" s="21" t="n">
        <f aca="false">AJ6*Annahmen!$B$19</f>
        <v>20</v>
      </c>
      <c r="AK7" s="21" t="n">
        <f aca="false">AK6*Annahmen!$B$19</f>
        <v>20</v>
      </c>
      <c r="AL7" s="21" t="n">
        <f aca="false">AL6*Annahmen!$B$19</f>
        <v>20</v>
      </c>
    </row>
    <row r="8" customFormat="false" ht="15" hidden="false" customHeight="false" outlineLevel="0" collapsed="false">
      <c r="A8" s="5" t="s">
        <v>218</v>
      </c>
      <c r="C8" s="21" t="n">
        <f aca="false">C6*Annahmen!$B$20</f>
        <v>1.14</v>
      </c>
      <c r="D8" s="21" t="n">
        <f aca="false">D6*Annahmen!$B$20</f>
        <v>1.14</v>
      </c>
      <c r="E8" s="21" t="n">
        <f aca="false">E6*Annahmen!$B$20</f>
        <v>1.14</v>
      </c>
      <c r="F8" s="21" t="n">
        <f aca="false">F6*Annahmen!$B$20</f>
        <v>2.28</v>
      </c>
      <c r="G8" s="21" t="n">
        <f aca="false">G6*Annahmen!$B$20</f>
        <v>2.28</v>
      </c>
      <c r="H8" s="21" t="n">
        <f aca="false">H6*Annahmen!$B$20</f>
        <v>2.28</v>
      </c>
      <c r="I8" s="21" t="n">
        <f aca="false">I6*Annahmen!$B$20</f>
        <v>3.42</v>
      </c>
      <c r="J8" s="21" t="n">
        <f aca="false">J6*Annahmen!$B$20</f>
        <v>3.42</v>
      </c>
      <c r="K8" s="21" t="n">
        <f aca="false">K6*Annahmen!$B$20</f>
        <v>3.42</v>
      </c>
      <c r="L8" s="21" t="n">
        <f aca="false">L6*Annahmen!$B$20</f>
        <v>4.56</v>
      </c>
      <c r="M8" s="21" t="n">
        <f aca="false">M6*Annahmen!$B$20</f>
        <v>4.56</v>
      </c>
      <c r="N8" s="21" t="n">
        <f aca="false">N6*Annahmen!$B$20</f>
        <v>4.56</v>
      </c>
      <c r="O8" s="21" t="n">
        <f aca="false">O6*Annahmen!$B$20</f>
        <v>6.08</v>
      </c>
      <c r="P8" s="21" t="n">
        <f aca="false">P6*Annahmen!$B$20</f>
        <v>6.08</v>
      </c>
      <c r="Q8" s="21" t="n">
        <f aca="false">Q6*Annahmen!$B$20</f>
        <v>6.08</v>
      </c>
      <c r="R8" s="21" t="n">
        <f aca="false">R6*Annahmen!$B$20</f>
        <v>7.6</v>
      </c>
      <c r="S8" s="21" t="n">
        <f aca="false">S6*Annahmen!$B$20</f>
        <v>7.6</v>
      </c>
      <c r="T8" s="21" t="n">
        <f aca="false">T6*Annahmen!$B$20</f>
        <v>7.6</v>
      </c>
      <c r="U8" s="21" t="n">
        <f aca="false">U6*Annahmen!$B$20</f>
        <v>9.12</v>
      </c>
      <c r="V8" s="21" t="n">
        <f aca="false">V6*Annahmen!$B$20</f>
        <v>9.12</v>
      </c>
      <c r="W8" s="21" t="n">
        <f aca="false">W6*Annahmen!$B$20</f>
        <v>9.12</v>
      </c>
      <c r="X8" s="21" t="n">
        <f aca="false">X6*Annahmen!$B$20</f>
        <v>10.64</v>
      </c>
      <c r="Y8" s="21" t="n">
        <f aca="false">Y6*Annahmen!$B$20</f>
        <v>10.64</v>
      </c>
      <c r="Z8" s="21" t="n">
        <f aca="false">Z6*Annahmen!$B$20</f>
        <v>10.64</v>
      </c>
      <c r="AA8" s="21" t="n">
        <f aca="false">AA6*Annahmen!$B$20</f>
        <v>11.4</v>
      </c>
      <c r="AB8" s="21" t="n">
        <f aca="false">AB6*Annahmen!$B$20</f>
        <v>11.4</v>
      </c>
      <c r="AC8" s="21" t="n">
        <f aca="false">AC6*Annahmen!$B$20</f>
        <v>11.4</v>
      </c>
      <c r="AD8" s="21" t="n">
        <f aca="false">AD6*Annahmen!$B$20</f>
        <v>12.54</v>
      </c>
      <c r="AE8" s="21" t="n">
        <f aca="false">AE6*Annahmen!$B$20</f>
        <v>12.54</v>
      </c>
      <c r="AF8" s="21" t="n">
        <f aca="false">AF6*Annahmen!$B$20</f>
        <v>12.54</v>
      </c>
      <c r="AG8" s="21" t="n">
        <f aca="false">AG6*Annahmen!$B$20</f>
        <v>13.68</v>
      </c>
      <c r="AH8" s="21" t="n">
        <f aca="false">AH6*Annahmen!$B$20</f>
        <v>13.68</v>
      </c>
      <c r="AI8" s="21" t="n">
        <f aca="false">AI6*Annahmen!$B$20</f>
        <v>13.68</v>
      </c>
      <c r="AJ8" s="21" t="n">
        <f aca="false">AJ6*Annahmen!$B$20</f>
        <v>15.2</v>
      </c>
      <c r="AK8" s="21" t="n">
        <f aca="false">AK6*Annahmen!$B$20</f>
        <v>15.2</v>
      </c>
      <c r="AL8" s="21" t="n">
        <f aca="false">AL6*Annahmen!$B$20</f>
        <v>15.2</v>
      </c>
    </row>
    <row r="9" customFormat="false" ht="15" hidden="false" customHeight="false" outlineLevel="0" collapsed="false">
      <c r="A9" s="5" t="s">
        <v>219</v>
      </c>
      <c r="C9" s="21" t="n">
        <f aca="false">C6*Annahmen!$B$21</f>
        <v>0.36</v>
      </c>
      <c r="D9" s="21" t="n">
        <f aca="false">D6*Annahmen!$B$21</f>
        <v>0.36</v>
      </c>
      <c r="E9" s="21" t="n">
        <f aca="false">E6*Annahmen!$B$21</f>
        <v>0.36</v>
      </c>
      <c r="F9" s="21" t="n">
        <f aca="false">F6*Annahmen!$B$21</f>
        <v>0.72</v>
      </c>
      <c r="G9" s="21" t="n">
        <f aca="false">G6*Annahmen!$B$21</f>
        <v>0.72</v>
      </c>
      <c r="H9" s="21" t="n">
        <f aca="false">H6*Annahmen!$B$21</f>
        <v>0.72</v>
      </c>
      <c r="I9" s="21" t="n">
        <f aca="false">I6*Annahmen!$B$21</f>
        <v>1.08</v>
      </c>
      <c r="J9" s="21" t="n">
        <f aca="false">J6*Annahmen!$B$21</f>
        <v>1.08</v>
      </c>
      <c r="K9" s="21" t="n">
        <f aca="false">K6*Annahmen!$B$21</f>
        <v>1.08</v>
      </c>
      <c r="L9" s="21" t="n">
        <f aca="false">L6*Annahmen!$B$21</f>
        <v>1.44</v>
      </c>
      <c r="M9" s="21" t="n">
        <f aca="false">M6*Annahmen!$B$21</f>
        <v>1.44</v>
      </c>
      <c r="N9" s="21" t="n">
        <f aca="false">N6*Annahmen!$B$21</f>
        <v>1.44</v>
      </c>
      <c r="O9" s="21" t="n">
        <f aca="false">O6*Annahmen!$B$21</f>
        <v>1.92</v>
      </c>
      <c r="P9" s="21" t="n">
        <f aca="false">P6*Annahmen!$B$21</f>
        <v>1.92</v>
      </c>
      <c r="Q9" s="21" t="n">
        <f aca="false">Q6*Annahmen!$B$21</f>
        <v>1.92</v>
      </c>
      <c r="R9" s="21" t="n">
        <f aca="false">R6*Annahmen!$B$21</f>
        <v>2.4</v>
      </c>
      <c r="S9" s="21" t="n">
        <f aca="false">S6*Annahmen!$B$21</f>
        <v>2.4</v>
      </c>
      <c r="T9" s="21" t="n">
        <f aca="false">T6*Annahmen!$B$21</f>
        <v>2.4</v>
      </c>
      <c r="U9" s="21" t="n">
        <f aca="false">U6*Annahmen!$B$21</f>
        <v>2.88</v>
      </c>
      <c r="V9" s="21" t="n">
        <f aca="false">V6*Annahmen!$B$21</f>
        <v>2.88</v>
      </c>
      <c r="W9" s="21" t="n">
        <f aca="false">W6*Annahmen!$B$21</f>
        <v>2.88</v>
      </c>
      <c r="X9" s="21" t="n">
        <f aca="false">X6*Annahmen!$B$21</f>
        <v>3.36</v>
      </c>
      <c r="Y9" s="21" t="n">
        <f aca="false">Y6*Annahmen!$B$21</f>
        <v>3.36</v>
      </c>
      <c r="Z9" s="21" t="n">
        <f aca="false">Z6*Annahmen!$B$21</f>
        <v>3.36</v>
      </c>
      <c r="AA9" s="21" t="n">
        <f aca="false">AA6*Annahmen!$B$21</f>
        <v>3.6</v>
      </c>
      <c r="AB9" s="21" t="n">
        <f aca="false">AB6*Annahmen!$B$21</f>
        <v>3.6</v>
      </c>
      <c r="AC9" s="21" t="n">
        <f aca="false">AC6*Annahmen!$B$21</f>
        <v>3.6</v>
      </c>
      <c r="AD9" s="21" t="n">
        <f aca="false">AD6*Annahmen!$B$21</f>
        <v>3.96</v>
      </c>
      <c r="AE9" s="21" t="n">
        <f aca="false">AE6*Annahmen!$B$21</f>
        <v>3.96</v>
      </c>
      <c r="AF9" s="21" t="n">
        <f aca="false">AF6*Annahmen!$B$21</f>
        <v>3.96</v>
      </c>
      <c r="AG9" s="21" t="n">
        <f aca="false">AG6*Annahmen!$B$21</f>
        <v>4.32</v>
      </c>
      <c r="AH9" s="21" t="n">
        <f aca="false">AH6*Annahmen!$B$21</f>
        <v>4.32</v>
      </c>
      <c r="AI9" s="21" t="n">
        <f aca="false">AI6*Annahmen!$B$21</f>
        <v>4.32</v>
      </c>
      <c r="AJ9" s="21" t="n">
        <f aca="false">AJ6*Annahmen!$B$21</f>
        <v>4.8</v>
      </c>
      <c r="AK9" s="21" t="n">
        <f aca="false">AK6*Annahmen!$B$21</f>
        <v>4.8</v>
      </c>
      <c r="AL9" s="21" t="n">
        <f aca="false">AL6*Annahmen!$B$21</f>
        <v>4.8</v>
      </c>
    </row>
    <row r="10" customFormat="false" ht="15" hidden="false" customHeight="false" outlineLevel="0" collapsed="false">
      <c r="A10" s="5" t="s">
        <v>220</v>
      </c>
      <c r="B10" s="21" t="n">
        <f aca="false">Annahmen!$B$7*Annahmen!$B$19</f>
        <v>2.5</v>
      </c>
      <c r="C10" s="21" t="n">
        <f aca="false">B10*(1-Annahmen!$B$31)+C7</f>
        <v>3.925</v>
      </c>
      <c r="D10" s="21" t="n">
        <f aca="false">C10*(1-Annahmen!$B$31)+D7</f>
        <v>5.30725</v>
      </c>
      <c r="E10" s="21" t="n">
        <f aca="false">D10*(1-Annahmen!$B$31)+E7</f>
        <v>6.6480325</v>
      </c>
      <c r="F10" s="21" t="n">
        <f aca="false">E10*(1-Annahmen!$B$31)+F7</f>
        <v>9.448591525</v>
      </c>
      <c r="G10" s="21" t="n">
        <f aca="false">F10*(1-Annahmen!$B$31)+G7</f>
        <v>12.16513377925</v>
      </c>
      <c r="H10" s="21" t="n">
        <f aca="false">G10*(1-Annahmen!$B$31)+H7</f>
        <v>14.8001797658725</v>
      </c>
      <c r="I10" s="21" t="n">
        <f aca="false">H10*(1-Annahmen!$B$31)+I7</f>
        <v>18.8561743728963</v>
      </c>
      <c r="J10" s="21" t="n">
        <f aca="false">I10*(1-Annahmen!$B$31)+J7</f>
        <v>22.7904891417094</v>
      </c>
      <c r="K10" s="21" t="n">
        <f aca="false">J10*(1-Annahmen!$B$31)+K7</f>
        <v>26.6067744674582</v>
      </c>
      <c r="L10" s="21" t="n">
        <f aca="false">K10*(1-Annahmen!$B$31)+L7</f>
        <v>31.8085712334344</v>
      </c>
      <c r="M10" s="21" t="n">
        <f aca="false">L10*(1-Annahmen!$B$31)+M7</f>
        <v>36.8543140964314</v>
      </c>
      <c r="N10" s="21" t="n">
        <f aca="false">M10*(1-Annahmen!$B$31)+N7</f>
        <v>41.7486846735384</v>
      </c>
      <c r="O10" s="21" t="n">
        <f aca="false">N10*(1-Annahmen!$B$31)+O7</f>
        <v>48.4962241333323</v>
      </c>
      <c r="P10" s="21" t="n">
        <f aca="false">O10*(1-Annahmen!$B$31)+P7</f>
        <v>55.0413374093323</v>
      </c>
      <c r="Q10" s="21" t="n">
        <f aca="false">P10*(1-Annahmen!$B$31)+Q7</f>
        <v>61.3900972870523</v>
      </c>
      <c r="R10" s="21" t="n">
        <f aca="false">Q10*(1-Annahmen!$B$31)+R7</f>
        <v>69.5483943684408</v>
      </c>
      <c r="S10" s="21" t="n">
        <f aca="false">R10*(1-Annahmen!$B$31)+S7</f>
        <v>77.4619425373875</v>
      </c>
      <c r="T10" s="21" t="n">
        <f aca="false">S10*(1-Annahmen!$B$31)+T7</f>
        <v>85.1380842612659</v>
      </c>
      <c r="U10" s="21" t="n">
        <f aca="false">T10*(1-Annahmen!$B$31)+U7</f>
        <v>94.5839417334279</v>
      </c>
      <c r="V10" s="21" t="n">
        <f aca="false">U10*(1-Annahmen!$B$31)+V7</f>
        <v>103.746423481425</v>
      </c>
      <c r="W10" s="21" t="n">
        <f aca="false">V10*(1-Annahmen!$B$31)+W7</f>
        <v>112.634030776982</v>
      </c>
      <c r="X10" s="21" t="n">
        <f aca="false">W10*(1-Annahmen!$B$31)+X7</f>
        <v>123.255009853673</v>
      </c>
      <c r="Y10" s="21" t="n">
        <f aca="false">X10*(1-Annahmen!$B$31)+Y7</f>
        <v>133.557359558063</v>
      </c>
      <c r="Z10" s="21" t="n">
        <f aca="false">Y10*(1-Annahmen!$B$31)+Z7</f>
        <v>143.550638771321</v>
      </c>
      <c r="AA10" s="21" t="n">
        <f aca="false">Z10*(1-Annahmen!$B$31)+AA7</f>
        <v>154.244119608181</v>
      </c>
      <c r="AB10" s="21" t="n">
        <f aca="false">AA10*(1-Annahmen!$B$31)+AB7</f>
        <v>164.616796019936</v>
      </c>
      <c r="AC10" s="21" t="n">
        <f aca="false">AB10*(1-Annahmen!$B$31)+AC7</f>
        <v>174.678292139338</v>
      </c>
      <c r="AD10" s="21" t="n">
        <f aca="false">AC10*(1-Annahmen!$B$31)+AD7</f>
        <v>185.937943375158</v>
      </c>
      <c r="AE10" s="21" t="n">
        <f aca="false">AD10*(1-Annahmen!$B$31)+AE7</f>
        <v>196.859805073903</v>
      </c>
      <c r="AF10" s="21" t="n">
        <f aca="false">AE10*(1-Annahmen!$B$31)+AF7</f>
        <v>207.454010921686</v>
      </c>
      <c r="AG10" s="21" t="n">
        <f aca="false">AF10*(1-Annahmen!$B$31)+AG7</f>
        <v>219.230390594035</v>
      </c>
      <c r="AH10" s="21" t="n">
        <f aca="false">AG10*(1-Annahmen!$B$31)+AH7</f>
        <v>230.653478876214</v>
      </c>
      <c r="AI10" s="21" t="n">
        <f aca="false">AH10*(1-Annahmen!$B$31)+AI7</f>
        <v>241.733874509928</v>
      </c>
      <c r="AJ10" s="21" t="n">
        <f aca="false">AI10*(1-Annahmen!$B$31)+AJ7</f>
        <v>254.48185827463</v>
      </c>
      <c r="AK10" s="21" t="n">
        <f aca="false">AJ10*(1-Annahmen!$B$31)+AK7</f>
        <v>266.847402526391</v>
      </c>
      <c r="AL10" s="21" t="n">
        <f aca="false">AK10*(1-Annahmen!$B$31)+AL7</f>
        <v>278.841980450599</v>
      </c>
    </row>
    <row r="11" customFormat="false" ht="15" hidden="false" customHeight="false" outlineLevel="0" collapsed="false">
      <c r="A11" s="5" t="s">
        <v>221</v>
      </c>
      <c r="B11" s="21" t="n">
        <f aca="false">Annahmen!$B$7*Annahmen!$B$20</f>
        <v>1.9</v>
      </c>
      <c r="C11" s="21" t="n">
        <f aca="false">B11*(1-Annahmen!$B$32)+C8</f>
        <v>3.002</v>
      </c>
      <c r="D11" s="21" t="n">
        <f aca="false">C11*(1-Annahmen!$B$32)+D8</f>
        <v>4.08196</v>
      </c>
      <c r="E11" s="21" t="n">
        <f aca="false">D11*(1-Annahmen!$B$32)+E8</f>
        <v>5.1403208</v>
      </c>
      <c r="F11" s="21" t="n">
        <f aca="false">E11*(1-Annahmen!$B$32)+F8</f>
        <v>7.317514384</v>
      </c>
      <c r="G11" s="21" t="n">
        <f aca="false">F11*(1-Annahmen!$B$32)+G8</f>
        <v>9.45116409632</v>
      </c>
      <c r="H11" s="21" t="n">
        <f aca="false">G11*(1-Annahmen!$B$32)+H8</f>
        <v>11.5421408143936</v>
      </c>
      <c r="I11" s="21" t="n">
        <f aca="false">H11*(1-Annahmen!$B$32)+I8</f>
        <v>14.7312979981057</v>
      </c>
      <c r="J11" s="21" t="n">
        <f aca="false">I11*(1-Annahmen!$B$32)+J8</f>
        <v>17.8566720381436</v>
      </c>
      <c r="K11" s="21" t="n">
        <f aca="false">J11*(1-Annahmen!$B$32)+K8</f>
        <v>20.9195385973807</v>
      </c>
      <c r="L11" s="21" t="n">
        <f aca="false">K11*(1-Annahmen!$B$32)+L8</f>
        <v>25.0611478254331</v>
      </c>
      <c r="M11" s="21" t="n">
        <f aca="false">L11*(1-Annahmen!$B$32)+M8</f>
        <v>29.1199248689245</v>
      </c>
      <c r="N11" s="21" t="n">
        <f aca="false">M11*(1-Annahmen!$B$32)+N8</f>
        <v>33.097526371546</v>
      </c>
      <c r="O11" s="21" t="n">
        <f aca="false">N11*(1-Annahmen!$B$32)+O8</f>
        <v>38.5155758441151</v>
      </c>
      <c r="P11" s="21" t="n">
        <f aca="false">O11*(1-Annahmen!$B$32)+P8</f>
        <v>43.8252643272328</v>
      </c>
      <c r="Q11" s="21" t="n">
        <f aca="false">P11*(1-Annahmen!$B$32)+Q8</f>
        <v>49.0287590406881</v>
      </c>
      <c r="R11" s="21" t="n">
        <f aca="false">Q11*(1-Annahmen!$B$32)+R8</f>
        <v>55.6481838598743</v>
      </c>
      <c r="S11" s="21" t="n">
        <f aca="false">R11*(1-Annahmen!$B$32)+S8</f>
        <v>62.1352201826769</v>
      </c>
      <c r="T11" s="21" t="n">
        <f aca="false">S11*(1-Annahmen!$B$32)+T8</f>
        <v>68.4925157790233</v>
      </c>
      <c r="U11" s="21" t="n">
        <f aca="false">T11*(1-Annahmen!$B$32)+U8</f>
        <v>76.2426654634429</v>
      </c>
      <c r="V11" s="21" t="n">
        <f aca="false">U11*(1-Annahmen!$B$32)+V8</f>
        <v>83.837812154174</v>
      </c>
      <c r="W11" s="21" t="n">
        <f aca="false">V11*(1-Annahmen!$B$32)+W8</f>
        <v>91.2810559110905</v>
      </c>
      <c r="X11" s="21" t="n">
        <f aca="false">W11*(1-Annahmen!$B$32)+X8</f>
        <v>100.095434792869</v>
      </c>
      <c r="Y11" s="21" t="n">
        <f aca="false">X11*(1-Annahmen!$B$32)+Y8</f>
        <v>108.733526097011</v>
      </c>
      <c r="Z11" s="21" t="n">
        <f aca="false">Y11*(1-Annahmen!$B$32)+Z8</f>
        <v>117.198855575071</v>
      </c>
      <c r="AA11" s="21" t="n">
        <f aca="false">Z11*(1-Annahmen!$B$32)+AA8</f>
        <v>126.25487846357</v>
      </c>
      <c r="AB11" s="21" t="n">
        <f aca="false">AA11*(1-Annahmen!$B$32)+AB8</f>
        <v>135.129780894298</v>
      </c>
      <c r="AC11" s="21" t="n">
        <f aca="false">AB11*(1-Annahmen!$B$32)+AC8</f>
        <v>143.827185276412</v>
      </c>
      <c r="AD11" s="21" t="n">
        <f aca="false">AC11*(1-Annahmen!$B$32)+AD8</f>
        <v>153.490641570884</v>
      </c>
      <c r="AE11" s="21" t="n">
        <f aca="false">AD11*(1-Annahmen!$B$32)+AE8</f>
        <v>162.960828739466</v>
      </c>
      <c r="AF11" s="21" t="n">
        <f aca="false">AE11*(1-Annahmen!$B$32)+AF8</f>
        <v>172.241612164677</v>
      </c>
      <c r="AG11" s="21" t="n">
        <f aca="false">AF11*(1-Annahmen!$B$32)+AG8</f>
        <v>182.476779921384</v>
      </c>
      <c r="AH11" s="21" t="n">
        <f aca="false">AG11*(1-Annahmen!$B$32)+AH8</f>
        <v>192.507244322956</v>
      </c>
      <c r="AI11" s="21" t="n">
        <f aca="false">AH11*(1-Annahmen!$B$32)+AI8</f>
        <v>202.337099436497</v>
      </c>
      <c r="AJ11" s="21" t="n">
        <f aca="false">AI11*(1-Annahmen!$B$32)+AJ8</f>
        <v>213.490357447767</v>
      </c>
      <c r="AK11" s="21" t="n">
        <f aca="false">AJ11*(1-Annahmen!$B$32)+AK8</f>
        <v>224.420550298811</v>
      </c>
      <c r="AL11" s="21" t="n">
        <f aca="false">AK11*(1-Annahmen!$B$32)+AL8</f>
        <v>235.132139292835</v>
      </c>
    </row>
    <row r="12" customFormat="false" ht="15" hidden="false" customHeight="false" outlineLevel="0" collapsed="false">
      <c r="A12" s="5" t="s">
        <v>222</v>
      </c>
      <c r="B12" s="21" t="n">
        <f aca="false">Annahmen!$B$7*Annahmen!$B$21</f>
        <v>0.6</v>
      </c>
      <c r="C12" s="21" t="n">
        <f aca="false">B12*(1-Annahmen!$B$33)+C9</f>
        <v>0.9528</v>
      </c>
      <c r="D12" s="21" t="n">
        <f aca="false">C12*(1-Annahmen!$B$33)+D9</f>
        <v>1.3013664</v>
      </c>
      <c r="E12" s="21" t="n">
        <f aca="false">D12*(1-Annahmen!$B$33)+E9</f>
        <v>1.6457500032</v>
      </c>
      <c r="F12" s="21" t="n">
        <f aca="false">E12*(1-Annahmen!$B$33)+F9</f>
        <v>2.3460010031616</v>
      </c>
      <c r="G12" s="21" t="n">
        <f aca="false">F12*(1-Annahmen!$B$33)+G9</f>
        <v>3.03784899112366</v>
      </c>
      <c r="H12" s="21" t="n">
        <f aca="false">G12*(1-Annahmen!$B$33)+H9</f>
        <v>3.72139480323018</v>
      </c>
      <c r="I12" s="21" t="n">
        <f aca="false">H12*(1-Annahmen!$B$33)+I9</f>
        <v>4.75673806559141</v>
      </c>
      <c r="J12" s="21" t="n">
        <f aca="false">I12*(1-Annahmen!$B$33)+J9</f>
        <v>5.77965720880432</v>
      </c>
      <c r="K12" s="21" t="n">
        <f aca="false">J12*(1-Annahmen!$B$33)+K9</f>
        <v>6.79030132229867</v>
      </c>
      <c r="L12" s="21" t="n">
        <f aca="false">K12*(1-Annahmen!$B$33)+L9</f>
        <v>8.14881770643108</v>
      </c>
      <c r="M12" s="21" t="n">
        <f aca="false">L12*(1-Annahmen!$B$33)+M9</f>
        <v>9.49103189395391</v>
      </c>
      <c r="N12" s="21" t="n">
        <f aca="false">M12*(1-Annahmen!$B$33)+N9</f>
        <v>10.8171395112265</v>
      </c>
      <c r="O12" s="21" t="n">
        <f aca="false">N12*(1-Annahmen!$B$33)+O9</f>
        <v>12.6073338370917</v>
      </c>
      <c r="P12" s="21" t="n">
        <f aca="false">O12*(1-Annahmen!$B$33)+P9</f>
        <v>14.3760458310466</v>
      </c>
      <c r="Q12" s="21" t="n">
        <f aca="false">P12*(1-Annahmen!$B$33)+Q9</f>
        <v>16.1235332810741</v>
      </c>
      <c r="R12" s="21" t="n">
        <f aca="false">Q12*(1-Annahmen!$B$33)+R9</f>
        <v>18.3300508817012</v>
      </c>
      <c r="S12" s="21" t="n">
        <f aca="false">R12*(1-Annahmen!$B$33)+S9</f>
        <v>20.5100902711208</v>
      </c>
      <c r="T12" s="21" t="n">
        <f aca="false">S12*(1-Annahmen!$B$33)+T9</f>
        <v>22.6639691878673</v>
      </c>
      <c r="U12" s="21" t="n">
        <f aca="false">T12*(1-Annahmen!$B$33)+U9</f>
        <v>25.2720015576129</v>
      </c>
      <c r="V12" s="21" t="n">
        <f aca="false">U12*(1-Annahmen!$B$33)+V9</f>
        <v>27.8487375389216</v>
      </c>
      <c r="W12" s="21" t="n">
        <f aca="false">V12*(1-Annahmen!$B$33)+W9</f>
        <v>30.3945526884545</v>
      </c>
      <c r="X12" s="21" t="n">
        <f aca="false">W12*(1-Annahmen!$B$33)+X9</f>
        <v>33.389818056193</v>
      </c>
      <c r="Y12" s="21" t="n">
        <f aca="false">X12*(1-Annahmen!$B$33)+Y9</f>
        <v>36.3491402395187</v>
      </c>
      <c r="Z12" s="21" t="n">
        <f aca="false">Y12*(1-Annahmen!$B$33)+Z9</f>
        <v>39.2729505566445</v>
      </c>
      <c r="AA12" s="21" t="n">
        <f aca="false">Z12*(1-Annahmen!$B$33)+AA9</f>
        <v>42.4016751499648</v>
      </c>
      <c r="AB12" s="21" t="n">
        <f aca="false">AA12*(1-Annahmen!$B$33)+AB9</f>
        <v>45.4928550481652</v>
      </c>
      <c r="AC12" s="21" t="n">
        <f aca="false">AB12*(1-Annahmen!$B$33)+AC9</f>
        <v>48.5469407875872</v>
      </c>
      <c r="AD12" s="21" t="n">
        <f aca="false">AC12*(1-Annahmen!$B$33)+AD9</f>
        <v>51.9243774981362</v>
      </c>
      <c r="AE12" s="21" t="n">
        <f aca="false">AD12*(1-Annahmen!$B$33)+AE9</f>
        <v>55.2612849681585</v>
      </c>
      <c r="AF12" s="21" t="n">
        <f aca="false">AE12*(1-Annahmen!$B$33)+AF9</f>
        <v>58.5581495485406</v>
      </c>
      <c r="AG12" s="21" t="n">
        <f aca="false">AF12*(1-Annahmen!$B$33)+AG9</f>
        <v>62.1754517539581</v>
      </c>
      <c r="AH12" s="21" t="n">
        <f aca="false">AG12*(1-Annahmen!$B$33)+AH9</f>
        <v>65.7493463329107</v>
      </c>
      <c r="AI12" s="21" t="n">
        <f aca="false">AH12*(1-Annahmen!$B$33)+AI9</f>
        <v>69.2803541769157</v>
      </c>
      <c r="AJ12" s="21" t="n">
        <f aca="false">AI12*(1-Annahmen!$B$33)+AJ9</f>
        <v>73.2489899267927</v>
      </c>
      <c r="AK12" s="21" t="n">
        <f aca="false">AJ12*(1-Annahmen!$B$33)+AK9</f>
        <v>77.1700020476712</v>
      </c>
      <c r="AL12" s="21" t="n">
        <f aca="false">AK12*(1-Annahmen!$B$33)+AL9</f>
        <v>81.0439620230992</v>
      </c>
    </row>
    <row r="13" customFormat="false" ht="15" hidden="false" customHeight="false" outlineLevel="0" collapsed="false">
      <c r="A13" s="22" t="s">
        <v>223</v>
      </c>
      <c r="B13" s="23" t="n">
        <f aca="false">B10+B11+B12</f>
        <v>5</v>
      </c>
      <c r="C13" s="24" t="n">
        <f aca="false">C10+C11+C12</f>
        <v>7.8798</v>
      </c>
      <c r="D13" s="24" t="n">
        <f aca="false">D10+D11+D12</f>
        <v>10.6905764</v>
      </c>
      <c r="E13" s="24" t="n">
        <f aca="false">E10+E11+E12</f>
        <v>13.4341033032</v>
      </c>
      <c r="F13" s="24" t="n">
        <f aca="false">F10+F11+F12</f>
        <v>19.1121069121616</v>
      </c>
      <c r="G13" s="24" t="n">
        <f aca="false">G10+G11+G12</f>
        <v>24.6541468666937</v>
      </c>
      <c r="H13" s="24" t="n">
        <f aca="false">H10+H11+H12</f>
        <v>30.0637153834963</v>
      </c>
      <c r="I13" s="24" t="n">
        <f aca="false">I10+I11+I12</f>
        <v>38.3442104365935</v>
      </c>
      <c r="J13" s="24" t="n">
        <f aca="false">J10+J11+J12</f>
        <v>46.4268183886574</v>
      </c>
      <c r="K13" s="24" t="n">
        <f aca="false">K10+K11+K12</f>
        <v>54.3166143871376</v>
      </c>
      <c r="L13" s="24" t="n">
        <f aca="false">L10+L11+L12</f>
        <v>65.0185367652986</v>
      </c>
      <c r="M13" s="24" t="n">
        <f aca="false">M10+M11+M12</f>
        <v>75.4652708593097</v>
      </c>
      <c r="N13" s="24" t="n">
        <f aca="false">N10+N11+N12</f>
        <v>85.6633505563109</v>
      </c>
      <c r="O13" s="24" t="n">
        <f aca="false">O10+O11+O12</f>
        <v>99.6191338145391</v>
      </c>
      <c r="P13" s="24" t="n">
        <f aca="false">P10+P11+P12</f>
        <v>113.242647567612</v>
      </c>
      <c r="Q13" s="24" t="n">
        <f aca="false">Q10+Q11+Q12</f>
        <v>126.542389608815</v>
      </c>
      <c r="R13" s="24" t="n">
        <f aca="false">R10+R11+R12</f>
        <v>143.526629110016</v>
      </c>
      <c r="S13" s="24" t="n">
        <f aca="false">S10+S11+S12</f>
        <v>160.107252991185</v>
      </c>
      <c r="T13" s="24" t="n">
        <f aca="false">T10+T11+T12</f>
        <v>176.294569228157</v>
      </c>
      <c r="U13" s="24" t="n">
        <f aca="false">U10+U11+U12</f>
        <v>196.098608754484</v>
      </c>
      <c r="V13" s="24" t="n">
        <f aca="false">V10+V11+V12</f>
        <v>215.432973174521</v>
      </c>
      <c r="W13" s="24" t="n">
        <f aca="false">W10+W11+W12</f>
        <v>234.309639376527</v>
      </c>
      <c r="X13" s="24" t="n">
        <f aca="false">X10+X11+X12</f>
        <v>256.740262702735</v>
      </c>
      <c r="Y13" s="24" t="n">
        <f aca="false">Y10+Y11+Y12</f>
        <v>278.640025894593</v>
      </c>
      <c r="Z13" s="24" t="n">
        <f aca="false">Z10+Z11+Z12</f>
        <v>300.022444903036</v>
      </c>
      <c r="AA13" s="24" t="n">
        <f aca="false">AA10+AA11+AA12</f>
        <v>322.900673221716</v>
      </c>
      <c r="AB13" s="24" t="n">
        <f aca="false">AB10+AB11+AB12</f>
        <v>345.239431962399</v>
      </c>
      <c r="AC13" s="24" t="n">
        <f aca="false">AC10+AC11+AC12</f>
        <v>367.052418203337</v>
      </c>
      <c r="AD13" s="24" t="n">
        <f aca="false">AD10+AD11+AD12</f>
        <v>391.352962444178</v>
      </c>
      <c r="AE13" s="24" t="n">
        <f aca="false">AE10+AE11+AE12</f>
        <v>415.081918781528</v>
      </c>
      <c r="AF13" s="24" t="n">
        <f aca="false">AF10+AF11+AF12</f>
        <v>438.253772634903</v>
      </c>
      <c r="AG13" s="24" t="n">
        <f aca="false">AG10+AG11+AG12</f>
        <v>463.882622269377</v>
      </c>
      <c r="AH13" s="24" t="n">
        <f aca="false">AH10+AH11+AH12</f>
        <v>488.910069532081</v>
      </c>
      <c r="AI13" s="24" t="n">
        <f aca="false">AI10+AI11+AI12</f>
        <v>513.35132812334</v>
      </c>
      <c r="AJ13" s="24" t="n">
        <f aca="false">AJ10+AJ11+AJ12</f>
        <v>541.221205649189</v>
      </c>
      <c r="AK13" s="24" t="n">
        <f aca="false">AK10+AK11+AK12</f>
        <v>568.437954872874</v>
      </c>
      <c r="AL13" s="24" t="n">
        <f aca="false">AL10+AL11+AL12</f>
        <v>595.018081766534</v>
      </c>
    </row>
    <row r="14" customFormat="false" ht="15" hidden="false" customHeight="false" outlineLevel="0" collapsed="false">
      <c r="A14" s="5" t="s">
        <v>224</v>
      </c>
      <c r="C14" s="21" t="n">
        <f aca="false">B10*Annahmen!$B$31+B11*Annahmen!$B$32+B12*Annahmen!$B$33</f>
        <v>0.1202</v>
      </c>
      <c r="D14" s="21" t="n">
        <f aca="false">C10*Annahmen!$B$31+C11*Annahmen!$B$32+C12*Annahmen!$B$33</f>
        <v>0.1892236</v>
      </c>
      <c r="E14" s="21" t="n">
        <f aca="false">D10*Annahmen!$B$31+D11*Annahmen!$B$32+D12*Annahmen!$B$33</f>
        <v>0.2564730968</v>
      </c>
      <c r="F14" s="21" t="n">
        <f aca="false">E10*Annahmen!$B$31+E11*Annahmen!$B$32+E12*Annahmen!$B$33</f>
        <v>0.3219963910384</v>
      </c>
      <c r="G14" s="21" t="n">
        <f aca="false">F10*Annahmen!$B$31+F11*Annahmen!$B$32+F12*Annahmen!$B$33</f>
        <v>0.457960045467939</v>
      </c>
      <c r="H14" s="21" t="n">
        <f aca="false">G10*Annahmen!$B$31+G11*Annahmen!$B$32+G12*Annahmen!$B$33</f>
        <v>0.590431483197384</v>
      </c>
      <c r="I14" s="21" t="n">
        <f aca="false">H10*Annahmen!$B$31+H11*Annahmen!$B$32+H12*Annahmen!$B$33</f>
        <v>0.719504946902809</v>
      </c>
      <c r="J14" s="21" t="n">
        <f aca="false">I10*Annahmen!$B$31+I11*Annahmen!$B$32+I12*Annahmen!$B$33</f>
        <v>0.917392047936101</v>
      </c>
      <c r="K14" s="21" t="n">
        <f aca="false">J10*Annahmen!$B$31+J11*Annahmen!$B$32+J12*Annahmen!$B$33</f>
        <v>1.11020400151981</v>
      </c>
      <c r="L14" s="21" t="n">
        <f aca="false">K10*Annahmen!$B$31+K11*Annahmen!$B$32+K12*Annahmen!$B$33</f>
        <v>1.29807762183894</v>
      </c>
      <c r="M14" s="21" t="n">
        <f aca="false">L10*Annahmen!$B$31+L11*Annahmen!$B$32+L12*Annahmen!$B$33</f>
        <v>1.55326590598887</v>
      </c>
      <c r="N14" s="21" t="n">
        <f aca="false">M10*Annahmen!$B$31+M11*Annahmen!$B$32+M12*Annahmen!$B$33</f>
        <v>1.80192030299888</v>
      </c>
      <c r="O14" s="21" t="n">
        <f aca="false">N10*Annahmen!$B$31+N11*Annahmen!$B$32+N12*Annahmen!$B$33</f>
        <v>2.04421674177179</v>
      </c>
      <c r="P14" s="21" t="n">
        <f aca="false">O10*Annahmen!$B$31+O11*Annahmen!$B$32+O12*Annahmen!$B$33</f>
        <v>2.37648624692737</v>
      </c>
      <c r="Q14" s="21" t="n">
        <f aca="false">P10*Annahmen!$B$31+P11*Annahmen!$B$32+P12*Annahmen!$B$33</f>
        <v>2.70025795879718</v>
      </c>
      <c r="R14" s="21" t="n">
        <f aca="false">Q10*Annahmen!$B$31+Q11*Annahmen!$B$32+Q12*Annahmen!$B$33</f>
        <v>3.01576049879822</v>
      </c>
      <c r="S14" s="21" t="n">
        <f aca="false">R10*Annahmen!$B$31+R11*Annahmen!$B$32+R12*Annahmen!$B$33</f>
        <v>3.41937611883112</v>
      </c>
      <c r="T14" s="21" t="n">
        <f aca="false">S10*Annahmen!$B$31+S11*Annahmen!$B$32+S12*Annahmen!$B$33</f>
        <v>3.81268376302861</v>
      </c>
      <c r="U14" s="21" t="n">
        <f aca="false">T10*Annahmen!$B$31+T11*Annahmen!$B$32+T12*Annahmen!$B$33</f>
        <v>4.19596047367285</v>
      </c>
      <c r="V14" s="21" t="n">
        <f aca="false">U10*Annahmen!$B$31+U11*Annahmen!$B$32+U12*Annahmen!$B$33</f>
        <v>4.66563557996305</v>
      </c>
      <c r="W14" s="21" t="n">
        <f aca="false">V10*Annahmen!$B$31+V11*Annahmen!$B$32+V12*Annahmen!$B$33</f>
        <v>5.12333379799329</v>
      </c>
      <c r="X14" s="21" t="n">
        <f aca="false">W10*Annahmen!$B$31+W11*Annahmen!$B$32+W12*Annahmen!$B$33</f>
        <v>5.56937667379274</v>
      </c>
      <c r="Y14" s="21" t="n">
        <f aca="false">X10*Annahmen!$B$31+X11*Annahmen!$B$32+X12*Annahmen!$B$33</f>
        <v>6.10023680814188</v>
      </c>
      <c r="Z14" s="21" t="n">
        <f aca="false">Y10*Annahmen!$B$31+Y11*Annahmen!$B$32+Y12*Annahmen!$B$33</f>
        <v>6.61758099155633</v>
      </c>
      <c r="AA14" s="21" t="n">
        <f aca="false">Z10*Annahmen!$B$31+Z11*Annahmen!$B$32+Z12*Annahmen!$B$33</f>
        <v>7.12177168132078</v>
      </c>
      <c r="AB14" s="21" t="n">
        <f aca="false">AA10*Annahmen!$B$31+AA11*Annahmen!$B$32+AA12*Annahmen!$B$33</f>
        <v>7.66124125931641</v>
      </c>
      <c r="AC14" s="21" t="n">
        <f aca="false">AB10*Annahmen!$B$31+AB11*Annahmen!$B$32+AB12*Annahmen!$B$33</f>
        <v>8.18701375906202</v>
      </c>
      <c r="AD14" s="21" t="n">
        <f aca="false">AC10*Annahmen!$B$31+AC11*Annahmen!$B$32+AC12*Annahmen!$B$33</f>
        <v>8.69945575915942</v>
      </c>
      <c r="AE14" s="21" t="n">
        <f aca="false">AD10*Annahmen!$B$31+AD11*Annahmen!$B$32+AD12*Annahmen!$B$33</f>
        <v>9.27104366265004</v>
      </c>
      <c r="AF14" s="21" t="n">
        <f aca="false">AE10*Annahmen!$B$31+AE11*Annahmen!$B$32+AE12*Annahmen!$B$33</f>
        <v>9.82814614662431</v>
      </c>
      <c r="AG14" s="21" t="n">
        <f aca="false">AF10*Annahmen!$B$31+AF11*Annahmen!$B$32+AF12*Annahmen!$B$33</f>
        <v>10.3711503655266</v>
      </c>
      <c r="AH14" s="21" t="n">
        <f aca="false">AG10*Annahmen!$B$31+AG11*Annahmen!$B$32+AG12*Annahmen!$B$33</f>
        <v>10.9725527372962</v>
      </c>
      <c r="AI14" s="21" t="n">
        <f aca="false">AH10*Annahmen!$B$31+AH11*Annahmen!$B$32+AH12*Annahmen!$B$33</f>
        <v>11.5587414087405</v>
      </c>
      <c r="AJ14" s="21" t="n">
        <f aca="false">AI10*Annahmen!$B$31+AI11*Annahmen!$B$32+AI12*Annahmen!$B$33</f>
        <v>12.1301224741508</v>
      </c>
      <c r="AK14" s="21" t="n">
        <f aca="false">AJ10*Annahmen!$B$31+AJ11*Annahmen!$B$32+AJ12*Annahmen!$B$33</f>
        <v>12.7832507763157</v>
      </c>
      <c r="AL14" s="21" t="n">
        <f aca="false">AK10*Annahmen!$B$31+AK11*Annahmen!$B$32+AK12*Annahmen!$B$33</f>
        <v>13.41987310634</v>
      </c>
    </row>
    <row r="15" customFormat="false" ht="15" hidden="false" customHeight="false" outlineLevel="0" collapsed="false">
      <c r="A15" s="5" t="s">
        <v>225</v>
      </c>
      <c r="C15" s="21" t="n">
        <f aca="false">C9*Annahmen!$B$24</f>
        <v>0.072</v>
      </c>
      <c r="D15" s="21" t="n">
        <f aca="false">D9*Annahmen!$B$24</f>
        <v>0.072</v>
      </c>
      <c r="E15" s="21" t="n">
        <f aca="false">E9*Annahmen!$B$24</f>
        <v>0.072</v>
      </c>
      <c r="F15" s="21" t="n">
        <f aca="false">F9*Annahmen!$B$24</f>
        <v>0.144</v>
      </c>
      <c r="G15" s="21" t="n">
        <f aca="false">G9*Annahmen!$B$24</f>
        <v>0.144</v>
      </c>
      <c r="H15" s="21" t="n">
        <f aca="false">H9*Annahmen!$B$24</f>
        <v>0.144</v>
      </c>
      <c r="I15" s="21" t="n">
        <f aca="false">I9*Annahmen!$B$24</f>
        <v>0.216</v>
      </c>
      <c r="J15" s="21" t="n">
        <f aca="false">J9*Annahmen!$B$24</f>
        <v>0.216</v>
      </c>
      <c r="K15" s="21" t="n">
        <f aca="false">K9*Annahmen!$B$24</f>
        <v>0.216</v>
      </c>
      <c r="L15" s="21" t="n">
        <f aca="false">L9*Annahmen!$B$24</f>
        <v>0.288</v>
      </c>
      <c r="M15" s="21" t="n">
        <f aca="false">M9*Annahmen!$B$24</f>
        <v>0.288</v>
      </c>
      <c r="N15" s="21" t="n">
        <f aca="false">N9*Annahmen!$B$24</f>
        <v>0.288</v>
      </c>
      <c r="O15" s="21" t="n">
        <f aca="false">O9*Annahmen!$B$24</f>
        <v>0.384</v>
      </c>
      <c r="P15" s="21" t="n">
        <f aca="false">P9*Annahmen!$B$24</f>
        <v>0.384</v>
      </c>
      <c r="Q15" s="21" t="n">
        <f aca="false">Q9*Annahmen!$B$24</f>
        <v>0.384</v>
      </c>
      <c r="R15" s="21" t="n">
        <f aca="false">R9*Annahmen!$B$24</f>
        <v>0.48</v>
      </c>
      <c r="S15" s="21" t="n">
        <f aca="false">S9*Annahmen!$B$24</f>
        <v>0.48</v>
      </c>
      <c r="T15" s="21" t="n">
        <f aca="false">T9*Annahmen!$B$24</f>
        <v>0.48</v>
      </c>
      <c r="U15" s="21" t="n">
        <f aca="false">U9*Annahmen!$B$24</f>
        <v>0.576</v>
      </c>
      <c r="V15" s="21" t="n">
        <f aca="false">V9*Annahmen!$B$24</f>
        <v>0.576</v>
      </c>
      <c r="W15" s="21" t="n">
        <f aca="false">W9*Annahmen!$B$24</f>
        <v>0.576</v>
      </c>
      <c r="X15" s="21" t="n">
        <f aca="false">X9*Annahmen!$B$24</f>
        <v>0.672</v>
      </c>
      <c r="Y15" s="21" t="n">
        <f aca="false">Y9*Annahmen!$B$24</f>
        <v>0.672</v>
      </c>
      <c r="Z15" s="21" t="n">
        <f aca="false">Z9*Annahmen!$B$24</f>
        <v>0.672</v>
      </c>
      <c r="AA15" s="21" t="n">
        <f aca="false">AA9*Annahmen!$B$24</f>
        <v>0.72</v>
      </c>
      <c r="AB15" s="21" t="n">
        <f aca="false">AB9*Annahmen!$B$24</f>
        <v>0.72</v>
      </c>
      <c r="AC15" s="21" t="n">
        <f aca="false">AC9*Annahmen!$B$24</f>
        <v>0.72</v>
      </c>
      <c r="AD15" s="21" t="n">
        <f aca="false">AD9*Annahmen!$B$24</f>
        <v>0.792</v>
      </c>
      <c r="AE15" s="21" t="n">
        <f aca="false">AE9*Annahmen!$B$24</f>
        <v>0.792</v>
      </c>
      <c r="AF15" s="21" t="n">
        <f aca="false">AF9*Annahmen!$B$24</f>
        <v>0.792</v>
      </c>
      <c r="AG15" s="21" t="n">
        <f aca="false">AG9*Annahmen!$B$24</f>
        <v>0.864</v>
      </c>
      <c r="AH15" s="21" t="n">
        <f aca="false">AH9*Annahmen!$B$24</f>
        <v>0.864</v>
      </c>
      <c r="AI15" s="21" t="n">
        <f aca="false">AI9*Annahmen!$B$24</f>
        <v>0.864</v>
      </c>
      <c r="AJ15" s="21" t="n">
        <f aca="false">AJ9*Annahmen!$B$24</f>
        <v>0.96</v>
      </c>
      <c r="AK15" s="21" t="n">
        <f aca="false">AK9*Annahmen!$B$24</f>
        <v>0.96</v>
      </c>
      <c r="AL15" s="21" t="n">
        <f aca="false">AL9*Annahmen!$B$24</f>
        <v>0.96</v>
      </c>
    </row>
    <row r="16" customFormat="false" ht="15" hidden="false" customHeight="false" outlineLevel="0" collapsed="false">
      <c r="A16" s="5" t="s">
        <v>226</v>
      </c>
      <c r="B16" s="21" t="n">
        <f aca="false">Annahmen!$B$7*Annahmen!$B$21*Annahmen!$B$24</f>
        <v>0.12</v>
      </c>
      <c r="C16" s="21" t="n">
        <f aca="false">B16*(1-Annahmen!$B$33)+C15</f>
        <v>0.19056</v>
      </c>
      <c r="D16" s="21" t="n">
        <f aca="false">C16*(1-Annahmen!$B$33)+D15</f>
        <v>0.26027328</v>
      </c>
      <c r="E16" s="21" t="n">
        <f aca="false">D16*(1-Annahmen!$B$33)+E15</f>
        <v>0.32915000064</v>
      </c>
      <c r="F16" s="21" t="n">
        <f aca="false">E16*(1-Annahmen!$B$33)+F15</f>
        <v>0.46920020063232</v>
      </c>
      <c r="G16" s="21" t="n">
        <f aca="false">F16*(1-Annahmen!$B$33)+G15</f>
        <v>0.607569798224732</v>
      </c>
      <c r="H16" s="21" t="n">
        <f aca="false">G16*(1-Annahmen!$B$33)+H15</f>
        <v>0.744278960646035</v>
      </c>
      <c r="I16" s="21" t="n">
        <f aca="false">H16*(1-Annahmen!$B$33)+I15</f>
        <v>0.951347613118283</v>
      </c>
      <c r="J16" s="21" t="n">
        <f aca="false">I16*(1-Annahmen!$B$33)+J15</f>
        <v>1.15593144176086</v>
      </c>
      <c r="K16" s="21" t="n">
        <f aca="false">J16*(1-Annahmen!$B$33)+K15</f>
        <v>1.35806026445973</v>
      </c>
      <c r="L16" s="21" t="n">
        <f aca="false">K16*(1-Annahmen!$B$33)+L15</f>
        <v>1.62976354128622</v>
      </c>
      <c r="M16" s="21" t="n">
        <f aca="false">L16*(1-Annahmen!$B$33)+M15</f>
        <v>1.89820637879078</v>
      </c>
      <c r="N16" s="21" t="n">
        <f aca="false">M16*(1-Annahmen!$B$33)+N15</f>
        <v>2.16342790224529</v>
      </c>
      <c r="O16" s="21" t="n">
        <f aca="false">N16*(1-Annahmen!$B$33)+O15</f>
        <v>2.52146676741835</v>
      </c>
      <c r="P16" s="21" t="n">
        <f aca="false">O16*(1-Annahmen!$B$33)+P15</f>
        <v>2.87520916620933</v>
      </c>
      <c r="Q16" s="21" t="n">
        <f aca="false">P16*(1-Annahmen!$B$33)+Q15</f>
        <v>3.22470665621482</v>
      </c>
      <c r="R16" s="21" t="n">
        <f aca="false">Q16*(1-Annahmen!$B$33)+R15</f>
        <v>3.66601017634024</v>
      </c>
      <c r="S16" s="21" t="n">
        <f aca="false">R16*(1-Annahmen!$B$33)+S15</f>
        <v>4.10201805422416</v>
      </c>
      <c r="T16" s="21" t="n">
        <f aca="false">S16*(1-Annahmen!$B$33)+T15</f>
        <v>4.53279383757347</v>
      </c>
      <c r="U16" s="21" t="n">
        <f aca="false">T16*(1-Annahmen!$B$33)+U15</f>
        <v>5.05440031152259</v>
      </c>
      <c r="V16" s="21" t="n">
        <f aca="false">U16*(1-Annahmen!$B$33)+V15</f>
        <v>5.56974750778431</v>
      </c>
      <c r="W16" s="21" t="n">
        <f aca="false">V16*(1-Annahmen!$B$33)+W15</f>
        <v>6.0789105376909</v>
      </c>
      <c r="X16" s="21" t="n">
        <f aca="false">W16*(1-Annahmen!$B$33)+X15</f>
        <v>6.67796361123861</v>
      </c>
      <c r="Y16" s="21" t="n">
        <f aca="false">X16*(1-Annahmen!$B$33)+Y15</f>
        <v>7.26982804790375</v>
      </c>
      <c r="Z16" s="21" t="n">
        <f aca="false">Y16*(1-Annahmen!$B$33)+Z15</f>
        <v>7.8545901113289</v>
      </c>
      <c r="AA16" s="21" t="n">
        <f aca="false">Z16*(1-Annahmen!$B$33)+AA15</f>
        <v>8.48033502999295</v>
      </c>
      <c r="AB16" s="21" t="n">
        <f aca="false">AA16*(1-Annahmen!$B$33)+AB15</f>
        <v>9.09857100963304</v>
      </c>
      <c r="AC16" s="21" t="n">
        <f aca="false">AB16*(1-Annahmen!$B$33)+AC15</f>
        <v>9.70938815751744</v>
      </c>
      <c r="AD16" s="21" t="n">
        <f aca="false">AC16*(1-Annahmen!$B$33)+AD15</f>
        <v>10.3848754996272</v>
      </c>
      <c r="AE16" s="21" t="n">
        <f aca="false">AD16*(1-Annahmen!$B$33)+AE15</f>
        <v>11.0522569936317</v>
      </c>
      <c r="AF16" s="21" t="n">
        <f aca="false">AE16*(1-Annahmen!$B$33)+AF15</f>
        <v>11.7116299097081</v>
      </c>
      <c r="AG16" s="21" t="n">
        <f aca="false">AF16*(1-Annahmen!$B$33)+AG15</f>
        <v>12.4350903507916</v>
      </c>
      <c r="AH16" s="21" t="n">
        <f aca="false">AG16*(1-Annahmen!$B$33)+AH15</f>
        <v>13.1498692665821</v>
      </c>
      <c r="AI16" s="21" t="n">
        <f aca="false">AH16*(1-Annahmen!$B$33)+AI15</f>
        <v>13.8560708353831</v>
      </c>
      <c r="AJ16" s="21" t="n">
        <f aca="false">AI16*(1-Annahmen!$B$33)+AJ15</f>
        <v>14.6497979853585</v>
      </c>
      <c r="AK16" s="21" t="n">
        <f aca="false">AJ16*(1-Annahmen!$B$33)+AK15</f>
        <v>15.4340004095342</v>
      </c>
      <c r="AL16" s="21" t="n">
        <f aca="false">AK16*(1-Annahmen!$B$33)+AL15</f>
        <v>16.2087924046198</v>
      </c>
    </row>
    <row r="17" customFormat="false" ht="15" hidden="false" customHeight="false" outlineLevel="0" collapsed="false">
      <c r="A17" s="5" t="s">
        <v>227</v>
      </c>
      <c r="C17" s="25" t="n">
        <f aca="false">C6/Annahmen!$B$28</f>
        <v>8.57142857142857</v>
      </c>
      <c r="D17" s="25" t="n">
        <f aca="false">D6/Annahmen!$B$28</f>
        <v>8.57142857142857</v>
      </c>
      <c r="E17" s="25" t="n">
        <f aca="false">E6/Annahmen!$B$28</f>
        <v>8.57142857142857</v>
      </c>
      <c r="F17" s="25" t="n">
        <f aca="false">F6/Annahmen!$B$28</f>
        <v>17.1428571428571</v>
      </c>
      <c r="G17" s="25" t="n">
        <f aca="false">G6/Annahmen!$B$28</f>
        <v>17.1428571428571</v>
      </c>
      <c r="H17" s="25" t="n">
        <f aca="false">H6/Annahmen!$B$28</f>
        <v>17.1428571428571</v>
      </c>
      <c r="I17" s="25" t="n">
        <f aca="false">I6/Annahmen!$B$28</f>
        <v>25.7142857142857</v>
      </c>
      <c r="J17" s="25" t="n">
        <f aca="false">J6/Annahmen!$B$28</f>
        <v>25.7142857142857</v>
      </c>
      <c r="K17" s="25" t="n">
        <f aca="false">K6/Annahmen!$B$28</f>
        <v>25.7142857142857</v>
      </c>
      <c r="L17" s="25" t="n">
        <f aca="false">L6/Annahmen!$B$28</f>
        <v>34.2857142857143</v>
      </c>
      <c r="M17" s="25" t="n">
        <f aca="false">M6/Annahmen!$B$28</f>
        <v>34.2857142857143</v>
      </c>
      <c r="N17" s="25" t="n">
        <f aca="false">N6/Annahmen!$B$28</f>
        <v>34.2857142857143</v>
      </c>
      <c r="O17" s="25" t="n">
        <f aca="false">O6/Annahmen!$B$28</f>
        <v>45.7142857142857</v>
      </c>
      <c r="P17" s="25" t="n">
        <f aca="false">P6/Annahmen!$B$28</f>
        <v>45.7142857142857</v>
      </c>
      <c r="Q17" s="25" t="n">
        <f aca="false">Q6/Annahmen!$B$28</f>
        <v>45.7142857142857</v>
      </c>
      <c r="R17" s="25" t="n">
        <f aca="false">R6/Annahmen!$B$28</f>
        <v>57.1428571428571</v>
      </c>
      <c r="S17" s="25" t="n">
        <f aca="false">S6/Annahmen!$B$28</f>
        <v>57.1428571428571</v>
      </c>
      <c r="T17" s="25" t="n">
        <f aca="false">T6/Annahmen!$B$28</f>
        <v>57.1428571428571</v>
      </c>
      <c r="U17" s="25" t="n">
        <f aca="false">U6/Annahmen!$B$28</f>
        <v>68.5714285714286</v>
      </c>
      <c r="V17" s="25" t="n">
        <f aca="false">V6/Annahmen!$B$28</f>
        <v>68.5714285714286</v>
      </c>
      <c r="W17" s="25" t="n">
        <f aca="false">W6/Annahmen!$B$28</f>
        <v>68.5714285714286</v>
      </c>
      <c r="X17" s="25" t="n">
        <f aca="false">X6/Annahmen!$B$28</f>
        <v>80</v>
      </c>
      <c r="Y17" s="25" t="n">
        <f aca="false">Y6/Annahmen!$B$28</f>
        <v>80</v>
      </c>
      <c r="Z17" s="25" t="n">
        <f aca="false">Z6/Annahmen!$B$28</f>
        <v>80</v>
      </c>
      <c r="AA17" s="25" t="n">
        <f aca="false">AA6/Annahmen!$B$28</f>
        <v>85.7142857142857</v>
      </c>
      <c r="AB17" s="25" t="n">
        <f aca="false">AB6/Annahmen!$B$28</f>
        <v>85.7142857142857</v>
      </c>
      <c r="AC17" s="25" t="n">
        <f aca="false">AC6/Annahmen!$B$28</f>
        <v>85.7142857142857</v>
      </c>
      <c r="AD17" s="25" t="n">
        <f aca="false">AD6/Annahmen!$B$28</f>
        <v>94.2857142857143</v>
      </c>
      <c r="AE17" s="25" t="n">
        <f aca="false">AE6/Annahmen!$B$28</f>
        <v>94.2857142857143</v>
      </c>
      <c r="AF17" s="25" t="n">
        <f aca="false">AF6/Annahmen!$B$28</f>
        <v>94.2857142857143</v>
      </c>
      <c r="AG17" s="25" t="n">
        <f aca="false">AG6/Annahmen!$B$28</f>
        <v>102.857142857143</v>
      </c>
      <c r="AH17" s="25" t="n">
        <f aca="false">AH6/Annahmen!$B$28</f>
        <v>102.857142857143</v>
      </c>
      <c r="AI17" s="25" t="n">
        <f aca="false">AI6/Annahmen!$B$28</f>
        <v>102.857142857143</v>
      </c>
      <c r="AJ17" s="25" t="n">
        <f aca="false">AJ6/Annahmen!$B$28</f>
        <v>114.285714285714</v>
      </c>
      <c r="AK17" s="25" t="n">
        <f aca="false">AK6/Annahmen!$B$28</f>
        <v>114.285714285714</v>
      </c>
      <c r="AL17" s="25" t="n">
        <f aca="false">AL6/Annahmen!$B$28</f>
        <v>114.285714285714</v>
      </c>
    </row>
    <row r="18" customFormat="false" ht="15" hidden="false" customHeight="false" outlineLevel="0" collapsed="false">
      <c r="A18" s="19" t="s">
        <v>228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customFormat="false" ht="15" hidden="false" customHeight="false" outlineLevel="0" collapsed="false">
      <c r="A19" s="5" t="s">
        <v>229</v>
      </c>
      <c r="C19" s="26" t="n">
        <f aca="false">C10*Annahmen!$B$10</f>
        <v>192.325</v>
      </c>
      <c r="D19" s="26" t="n">
        <f aca="false">D10*Annahmen!$B$10</f>
        <v>260.05525</v>
      </c>
      <c r="E19" s="26" t="n">
        <f aca="false">E10*Annahmen!$B$10</f>
        <v>325.7535925</v>
      </c>
      <c r="F19" s="26" t="n">
        <f aca="false">F10*Annahmen!$B$10</f>
        <v>462.980984725</v>
      </c>
      <c r="G19" s="26" t="n">
        <f aca="false">G10*Annahmen!$B$10</f>
        <v>596.09155518325</v>
      </c>
      <c r="H19" s="26" t="n">
        <f aca="false">H10*Annahmen!$B$10</f>
        <v>725.208808527752</v>
      </c>
      <c r="I19" s="26" t="n">
        <f aca="false">I10*Annahmen!$B$10</f>
        <v>923.95254427192</v>
      </c>
      <c r="J19" s="26" t="n">
        <f aca="false">J10*Annahmen!$B$10</f>
        <v>1116.73396794376</v>
      </c>
      <c r="K19" s="26" t="n">
        <f aca="false">K10*Annahmen!$B$10</f>
        <v>1303.73194890545</v>
      </c>
      <c r="L19" s="26" t="n">
        <f aca="false">L10*Annahmen!$B$10</f>
        <v>1558.61999043829</v>
      </c>
      <c r="M19" s="26" t="n">
        <f aca="false">M10*Annahmen!$B$10</f>
        <v>1805.86139072514</v>
      </c>
      <c r="N19" s="26" t="n">
        <f aca="false">N10*Annahmen!$B$10</f>
        <v>2045.68554900338</v>
      </c>
      <c r="O19" s="26" t="n">
        <f aca="false">O10*Annahmen!$B$10</f>
        <v>2376.31498253328</v>
      </c>
      <c r="P19" s="26" t="n">
        <f aca="false">P10*Annahmen!$B$10</f>
        <v>2697.02553305728</v>
      </c>
      <c r="Q19" s="26" t="n">
        <f aca="false">Q10*Annahmen!$B$10</f>
        <v>3008.11476706556</v>
      </c>
      <c r="R19" s="26" t="n">
        <f aca="false">R10*Annahmen!$B$10</f>
        <v>3407.8713240536</v>
      </c>
      <c r="S19" s="26" t="n">
        <f aca="false">S10*Annahmen!$B$10</f>
        <v>3795.63518433199</v>
      </c>
      <c r="T19" s="26" t="n">
        <f aca="false">T10*Annahmen!$B$10</f>
        <v>4171.76612880203</v>
      </c>
      <c r="U19" s="26" t="n">
        <f aca="false">U10*Annahmen!$B$10</f>
        <v>4634.61314493797</v>
      </c>
      <c r="V19" s="26" t="n">
        <f aca="false">V10*Annahmen!$B$10</f>
        <v>5083.57475058983</v>
      </c>
      <c r="W19" s="26" t="n">
        <f aca="false">W10*Annahmen!$B$10</f>
        <v>5519.06750807214</v>
      </c>
      <c r="X19" s="26" t="n">
        <f aca="false">X10*Annahmen!$B$10</f>
        <v>6039.49548282997</v>
      </c>
      <c r="Y19" s="26" t="n">
        <f aca="false">Y10*Annahmen!$B$10</f>
        <v>6544.31061834507</v>
      </c>
      <c r="Z19" s="26" t="n">
        <f aca="false">Z10*Annahmen!$B$10</f>
        <v>7033.98129979472</v>
      </c>
      <c r="AA19" s="26" t="n">
        <f aca="false">AA10*Annahmen!$B$10</f>
        <v>7557.96186080088</v>
      </c>
      <c r="AB19" s="26" t="n">
        <f aca="false">AB10*Annahmen!$B$10</f>
        <v>8066.22300497685</v>
      </c>
      <c r="AC19" s="26" t="n">
        <f aca="false">AC10*Annahmen!$B$10</f>
        <v>8559.23631482755</v>
      </c>
      <c r="AD19" s="26" t="n">
        <f aca="false">AD10*Annahmen!$B$10</f>
        <v>9110.95922538272</v>
      </c>
      <c r="AE19" s="26" t="n">
        <f aca="false">AE10*Annahmen!$B$10</f>
        <v>9646.13044862124</v>
      </c>
      <c r="AF19" s="26" t="n">
        <f aca="false">AF10*Annahmen!$B$10</f>
        <v>10165.2465351626</v>
      </c>
      <c r="AG19" s="26" t="n">
        <f aca="false">AG10*Annahmen!$B$10</f>
        <v>10742.2891391077</v>
      </c>
      <c r="AH19" s="26" t="n">
        <f aca="false">AH10*Annahmen!$B$10</f>
        <v>11302.0204649345</v>
      </c>
      <c r="AI19" s="26" t="n">
        <f aca="false">AI10*Annahmen!$B$10</f>
        <v>11844.9598509865</v>
      </c>
      <c r="AJ19" s="26" t="n">
        <f aca="false">AJ10*Annahmen!$B$10</f>
        <v>12469.6110554569</v>
      </c>
      <c r="AK19" s="26" t="n">
        <f aca="false">AK10*Annahmen!$B$10</f>
        <v>13075.5227237932</v>
      </c>
      <c r="AL19" s="26" t="n">
        <f aca="false">AL10*Annahmen!$B$10</f>
        <v>13663.2570420794</v>
      </c>
    </row>
    <row r="20" customFormat="false" ht="15" hidden="false" customHeight="false" outlineLevel="0" collapsed="false">
      <c r="A20" s="5" t="s">
        <v>230</v>
      </c>
      <c r="C20" s="26" t="n">
        <f aca="false">C11*(Annahmen!$B$11+Annahmen!$B$13*Annahmen!$B$22)</f>
        <v>418.779</v>
      </c>
      <c r="D20" s="26" t="n">
        <f aca="false">D11*(Annahmen!$B$11+Annahmen!$B$13*Annahmen!$B$22)</f>
        <v>569.43342</v>
      </c>
      <c r="E20" s="26" t="n">
        <f aca="false">E11*(Annahmen!$B$11+Annahmen!$B$13*Annahmen!$B$22)</f>
        <v>717.0747516</v>
      </c>
      <c r="F20" s="26" t="n">
        <f aca="false">F11*(Annahmen!$B$11+Annahmen!$B$13*Annahmen!$B$22)</f>
        <v>1020.793256568</v>
      </c>
      <c r="G20" s="26" t="n">
        <f aca="false">G11*(Annahmen!$B$11+Annahmen!$B$13*Annahmen!$B$22)</f>
        <v>1318.43739143664</v>
      </c>
      <c r="H20" s="26" t="n">
        <f aca="false">H11*(Annahmen!$B$11+Annahmen!$B$13*Annahmen!$B$22)</f>
        <v>1610.12864360791</v>
      </c>
      <c r="I20" s="26" t="n">
        <f aca="false">I11*(Annahmen!$B$11+Annahmen!$B$13*Annahmen!$B$22)</f>
        <v>2055.01607073575</v>
      </c>
      <c r="J20" s="26" t="n">
        <f aca="false">J11*(Annahmen!$B$11+Annahmen!$B$13*Annahmen!$B$22)</f>
        <v>2491.00574932103</v>
      </c>
      <c r="K20" s="26" t="n">
        <f aca="false">K11*(Annahmen!$B$11+Annahmen!$B$13*Annahmen!$B$22)</f>
        <v>2918.27563433461</v>
      </c>
      <c r="L20" s="26" t="n">
        <f aca="false">L11*(Annahmen!$B$11+Annahmen!$B$13*Annahmen!$B$22)</f>
        <v>3496.03012164792</v>
      </c>
      <c r="M20" s="26" t="n">
        <f aca="false">M11*(Annahmen!$B$11+Annahmen!$B$13*Annahmen!$B$22)</f>
        <v>4062.22951921496</v>
      </c>
      <c r="N20" s="26" t="n">
        <f aca="false">N11*(Annahmen!$B$11+Annahmen!$B$13*Annahmen!$B$22)</f>
        <v>4617.10492883067</v>
      </c>
      <c r="O20" s="26" t="n">
        <f aca="false">O11*(Annahmen!$B$11+Annahmen!$B$13*Annahmen!$B$22)</f>
        <v>5372.92283025405</v>
      </c>
      <c r="P20" s="26" t="n">
        <f aca="false">P11*(Annahmen!$B$11+Annahmen!$B$13*Annahmen!$B$22)</f>
        <v>6113.62437364897</v>
      </c>
      <c r="Q20" s="26" t="n">
        <f aca="false">Q11*(Annahmen!$B$11+Annahmen!$B$13*Annahmen!$B$22)</f>
        <v>6839.51188617599</v>
      </c>
      <c r="R20" s="26" t="n">
        <f aca="false">R11*(Annahmen!$B$11+Annahmen!$B$13*Annahmen!$B$22)</f>
        <v>7762.92164845247</v>
      </c>
      <c r="S20" s="26" t="n">
        <f aca="false">S11*(Annahmen!$B$11+Annahmen!$B$13*Annahmen!$B$22)</f>
        <v>8667.86321548342</v>
      </c>
      <c r="T20" s="26" t="n">
        <f aca="false">T11*(Annahmen!$B$11+Annahmen!$B$13*Annahmen!$B$22)</f>
        <v>9554.70595117375</v>
      </c>
      <c r="U20" s="26" t="n">
        <f aca="false">U11*(Annahmen!$B$11+Annahmen!$B$13*Annahmen!$B$22)</f>
        <v>10635.8518321503</v>
      </c>
      <c r="V20" s="26" t="n">
        <f aca="false">V11*(Annahmen!$B$11+Annahmen!$B$13*Annahmen!$B$22)</f>
        <v>11695.3747955073</v>
      </c>
      <c r="W20" s="26" t="n">
        <f aca="false">W11*(Annahmen!$B$11+Annahmen!$B$13*Annahmen!$B$22)</f>
        <v>12733.7072995971</v>
      </c>
      <c r="X20" s="26" t="n">
        <f aca="false">X11*(Annahmen!$B$11+Annahmen!$B$13*Annahmen!$B$22)</f>
        <v>13963.3131536052</v>
      </c>
      <c r="Y20" s="26" t="n">
        <f aca="false">Y11*(Annahmen!$B$11+Annahmen!$B$13*Annahmen!$B$22)</f>
        <v>15168.3268905331</v>
      </c>
      <c r="Z20" s="26" t="n">
        <f aca="false">Z11*(Annahmen!$B$11+Annahmen!$B$13*Annahmen!$B$22)</f>
        <v>16349.2403527224</v>
      </c>
      <c r="AA20" s="26" t="n">
        <f aca="false">AA11*(Annahmen!$B$11+Annahmen!$B$13*Annahmen!$B$22)</f>
        <v>17612.555545668</v>
      </c>
      <c r="AB20" s="26" t="n">
        <f aca="false">AB11*(Annahmen!$B$11+Annahmen!$B$13*Annahmen!$B$22)</f>
        <v>18850.6044347546</v>
      </c>
      <c r="AC20" s="26" t="n">
        <f aca="false">AC11*(Annahmen!$B$11+Annahmen!$B$13*Annahmen!$B$22)</f>
        <v>20063.8923460595</v>
      </c>
      <c r="AD20" s="26" t="n">
        <f aca="false">AD11*(Annahmen!$B$11+Annahmen!$B$13*Annahmen!$B$22)</f>
        <v>21411.9444991383</v>
      </c>
      <c r="AE20" s="26" t="n">
        <f aca="false">AE11*(Annahmen!$B$11+Annahmen!$B$13*Annahmen!$B$22)</f>
        <v>22733.0356091556</v>
      </c>
      <c r="AF20" s="26" t="n">
        <f aca="false">AF11*(Annahmen!$B$11+Annahmen!$B$13*Annahmen!$B$22)</f>
        <v>24027.7048969724</v>
      </c>
      <c r="AG20" s="26" t="n">
        <f aca="false">AG11*(Annahmen!$B$11+Annahmen!$B$13*Annahmen!$B$22)</f>
        <v>25455.510799033</v>
      </c>
      <c r="AH20" s="26" t="n">
        <f aca="false">AH11*(Annahmen!$B$11+Annahmen!$B$13*Annahmen!$B$22)</f>
        <v>26854.7605830523</v>
      </c>
      <c r="AI20" s="26" t="n">
        <f aca="false">AI11*(Annahmen!$B$11+Annahmen!$B$13*Annahmen!$B$22)</f>
        <v>28226.0253713913</v>
      </c>
      <c r="AJ20" s="26" t="n">
        <f aca="false">AJ11*(Annahmen!$B$11+Annahmen!$B$13*Annahmen!$B$22)</f>
        <v>29781.9048639635</v>
      </c>
      <c r="AK20" s="26" t="n">
        <f aca="false">AK11*(Annahmen!$B$11+Annahmen!$B$13*Annahmen!$B$22)</f>
        <v>31306.6667666842</v>
      </c>
      <c r="AL20" s="26" t="n">
        <f aca="false">AL11*(Annahmen!$B$11+Annahmen!$B$13*Annahmen!$B$22)</f>
        <v>32800.9334313505</v>
      </c>
    </row>
    <row r="21" customFormat="false" ht="15" hidden="false" customHeight="false" outlineLevel="0" collapsed="false">
      <c r="A21" s="5" t="s">
        <v>231</v>
      </c>
      <c r="C21" s="26" t="n">
        <f aca="false">C12*(Annahmen!$B$12+Annahmen!$B$14*Annahmen!$B$23)</f>
        <v>313.4712</v>
      </c>
      <c r="D21" s="26" t="n">
        <f aca="false">D12*(Annahmen!$B$12+Annahmen!$B$14*Annahmen!$B$23)</f>
        <v>428.1495456</v>
      </c>
      <c r="E21" s="26" t="n">
        <f aca="false">E12*(Annahmen!$B$12+Annahmen!$B$14*Annahmen!$B$23)</f>
        <v>541.4517510528</v>
      </c>
      <c r="F21" s="26" t="n">
        <f aca="false">F12*(Annahmen!$B$12+Annahmen!$B$14*Annahmen!$B$23)</f>
        <v>771.834330040166</v>
      </c>
      <c r="G21" s="26" t="n">
        <f aca="false">G12*(Annahmen!$B$12+Annahmen!$B$14*Annahmen!$B$23)</f>
        <v>999.452318079685</v>
      </c>
      <c r="H21" s="26" t="n">
        <f aca="false">H12*(Annahmen!$B$12+Annahmen!$B$14*Annahmen!$B$23)</f>
        <v>1224.33889026273</v>
      </c>
      <c r="I21" s="26" t="n">
        <f aca="false">I12*(Annahmen!$B$12+Annahmen!$B$14*Annahmen!$B$23)</f>
        <v>1564.96682357958</v>
      </c>
      <c r="J21" s="26" t="n">
        <f aca="false">J12*(Annahmen!$B$12+Annahmen!$B$14*Annahmen!$B$23)</f>
        <v>1901.50722169662</v>
      </c>
      <c r="K21" s="26" t="n">
        <f aca="false">K12*(Annahmen!$B$12+Annahmen!$B$14*Annahmen!$B$23)</f>
        <v>2234.00913503626</v>
      </c>
      <c r="L21" s="26" t="n">
        <f aca="false">L12*(Annahmen!$B$12+Annahmen!$B$14*Annahmen!$B$23)</f>
        <v>2680.96102541583</v>
      </c>
      <c r="M21" s="26" t="n">
        <f aca="false">M12*(Annahmen!$B$12+Annahmen!$B$14*Annahmen!$B$23)</f>
        <v>3122.54949311084</v>
      </c>
      <c r="N21" s="26" t="n">
        <f aca="false">N12*(Annahmen!$B$12+Annahmen!$B$14*Annahmen!$B$23)</f>
        <v>3558.83889919351</v>
      </c>
      <c r="O21" s="26" t="n">
        <f aca="false">O12*(Annahmen!$B$12+Annahmen!$B$14*Annahmen!$B$23)</f>
        <v>4147.81283240318</v>
      </c>
      <c r="P21" s="26" t="n">
        <f aca="false">P12*(Annahmen!$B$12+Annahmen!$B$14*Annahmen!$B$23)</f>
        <v>4729.71907841435</v>
      </c>
      <c r="Q21" s="26" t="n">
        <f aca="false">Q12*(Annahmen!$B$12+Annahmen!$B$14*Annahmen!$B$23)</f>
        <v>5304.64244947337</v>
      </c>
      <c r="R21" s="26" t="n">
        <f aca="false">R12*(Annahmen!$B$12+Annahmen!$B$14*Annahmen!$B$23)</f>
        <v>6030.58674007969</v>
      </c>
      <c r="S21" s="26" t="n">
        <f aca="false">S12*(Annahmen!$B$12+Annahmen!$B$14*Annahmen!$B$23)</f>
        <v>6747.81969919873</v>
      </c>
      <c r="T21" s="26" t="n">
        <f aca="false">T12*(Annahmen!$B$12+Annahmen!$B$14*Annahmen!$B$23)</f>
        <v>7456.44586280835</v>
      </c>
      <c r="U21" s="26" t="n">
        <f aca="false">U12*(Annahmen!$B$12+Annahmen!$B$14*Annahmen!$B$23)</f>
        <v>8314.48851245465</v>
      </c>
      <c r="V21" s="26" t="n">
        <f aca="false">V12*(Annahmen!$B$12+Annahmen!$B$14*Annahmen!$B$23)</f>
        <v>9162.23465030519</v>
      </c>
      <c r="W21" s="26" t="n">
        <f aca="false">W12*(Annahmen!$B$12+Annahmen!$B$14*Annahmen!$B$23)</f>
        <v>9999.80783450153</v>
      </c>
      <c r="X21" s="26" t="n">
        <f aca="false">X12*(Annahmen!$B$12+Annahmen!$B$14*Annahmen!$B$23)</f>
        <v>10985.2501404875</v>
      </c>
      <c r="Y21" s="26" t="n">
        <f aca="false">Y12*(Annahmen!$B$12+Annahmen!$B$14*Annahmen!$B$23)</f>
        <v>11958.8671388017</v>
      </c>
      <c r="Z21" s="26" t="n">
        <f aca="false">Z12*(Annahmen!$B$12+Annahmen!$B$14*Annahmen!$B$23)</f>
        <v>12920.800733136</v>
      </c>
      <c r="AA21" s="26" t="n">
        <f aca="false">AA12*(Annahmen!$B$12+Annahmen!$B$14*Annahmen!$B$23)</f>
        <v>13950.1511243384</v>
      </c>
      <c r="AB21" s="26" t="n">
        <f aca="false">AB12*(Annahmen!$B$12+Annahmen!$B$14*Annahmen!$B$23)</f>
        <v>14967.1493108463</v>
      </c>
      <c r="AC21" s="26" t="n">
        <f aca="false">AC12*(Annahmen!$B$12+Annahmen!$B$14*Annahmen!$B$23)</f>
        <v>15971.9435191162</v>
      </c>
      <c r="AD21" s="26" t="n">
        <f aca="false">AD12*(Annahmen!$B$12+Annahmen!$B$14*Annahmen!$B$23)</f>
        <v>17083.1201968868</v>
      </c>
      <c r="AE21" s="26" t="n">
        <f aca="false">AE12*(Annahmen!$B$12+Annahmen!$B$14*Annahmen!$B$23)</f>
        <v>18180.9627545242</v>
      </c>
      <c r="AF21" s="26" t="n">
        <f aca="false">AF12*(Annahmen!$B$12+Annahmen!$B$14*Annahmen!$B$23)</f>
        <v>19265.6312014699</v>
      </c>
      <c r="AG21" s="26" t="n">
        <f aca="false">AG12*(Annahmen!$B$12+Annahmen!$B$14*Annahmen!$B$23)</f>
        <v>20455.7236270522</v>
      </c>
      <c r="AH21" s="26" t="n">
        <f aca="false">AH12*(Annahmen!$B$12+Annahmen!$B$14*Annahmen!$B$23)</f>
        <v>21631.5349435276</v>
      </c>
      <c r="AI21" s="26" t="n">
        <f aca="false">AI12*(Annahmen!$B$12+Annahmen!$B$14*Annahmen!$B$23)</f>
        <v>22793.2365242053</v>
      </c>
      <c r="AJ21" s="26" t="n">
        <f aca="false">AJ12*(Annahmen!$B$12+Annahmen!$B$14*Annahmen!$B$23)</f>
        <v>24098.9176859148</v>
      </c>
      <c r="AK21" s="26" t="n">
        <f aca="false">AK12*(Annahmen!$B$12+Annahmen!$B$14*Annahmen!$B$23)</f>
        <v>25388.9306736838</v>
      </c>
      <c r="AL21" s="26" t="n">
        <f aca="false">AL12*(Annahmen!$B$12+Annahmen!$B$14*Annahmen!$B$23)</f>
        <v>26663.4635055996</v>
      </c>
    </row>
    <row r="22" customFormat="false" ht="15" hidden="false" customHeight="false" outlineLevel="0" collapsed="false">
      <c r="A22" s="5" t="s">
        <v>232</v>
      </c>
      <c r="C22" s="26" t="n">
        <f aca="false">C16*Annahmen!$B$16</f>
        <v>18.86544</v>
      </c>
      <c r="D22" s="26" t="n">
        <f aca="false">D16*Annahmen!$B$16</f>
        <v>25.76705472</v>
      </c>
      <c r="E22" s="26" t="n">
        <f aca="false">E16*Annahmen!$B$16</f>
        <v>32.58585006336</v>
      </c>
      <c r="F22" s="26" t="n">
        <f aca="false">F16*Annahmen!$B$16</f>
        <v>46.4508198625997</v>
      </c>
      <c r="G22" s="26" t="n">
        <f aca="false">G16*Annahmen!$B$16</f>
        <v>60.1494100242485</v>
      </c>
      <c r="H22" s="26" t="n">
        <f aca="false">H16*Annahmen!$B$16</f>
        <v>73.6836171039575</v>
      </c>
      <c r="I22" s="26" t="n">
        <f aca="false">I16*Annahmen!$B$16</f>
        <v>94.18341369871</v>
      </c>
      <c r="J22" s="26" t="n">
        <f aca="false">J16*Annahmen!$B$16</f>
        <v>114.437212734325</v>
      </c>
      <c r="K22" s="26" t="n">
        <f aca="false">K16*Annahmen!$B$16</f>
        <v>134.447966181514</v>
      </c>
      <c r="L22" s="26" t="n">
        <f aca="false">L16*Annahmen!$B$16</f>
        <v>161.346590587335</v>
      </c>
      <c r="M22" s="26" t="n">
        <f aca="false">M16*Annahmen!$B$16</f>
        <v>187.922431500287</v>
      </c>
      <c r="N22" s="26" t="n">
        <f aca="false">N16*Annahmen!$B$16</f>
        <v>214.179362322284</v>
      </c>
      <c r="O22" s="26" t="n">
        <f aca="false">O16*Annahmen!$B$16</f>
        <v>249.625209974417</v>
      </c>
      <c r="P22" s="26" t="n">
        <f aca="false">P16*Annahmen!$B$16</f>
        <v>284.645707454724</v>
      </c>
      <c r="Q22" s="26" t="n">
        <f aca="false">Q16*Annahmen!$B$16</f>
        <v>319.245958965267</v>
      </c>
      <c r="R22" s="26" t="n">
        <f aca="false">R16*Annahmen!$B$16</f>
        <v>362.935007457684</v>
      </c>
      <c r="S22" s="26" t="n">
        <f aca="false">S16*Annahmen!$B$16</f>
        <v>406.099787368191</v>
      </c>
      <c r="T22" s="26" t="n">
        <f aca="false">T16*Annahmen!$B$16</f>
        <v>448.746589919773</v>
      </c>
      <c r="U22" s="26" t="n">
        <f aca="false">U16*Annahmen!$B$16</f>
        <v>500.385630840736</v>
      </c>
      <c r="V22" s="26" t="n">
        <f aca="false">V16*Annahmen!$B$16</f>
        <v>551.405003270647</v>
      </c>
      <c r="W22" s="26" t="n">
        <f aca="false">W16*Annahmen!$B$16</f>
        <v>601.812143231399</v>
      </c>
      <c r="X22" s="26" t="n">
        <f aca="false">X16*Annahmen!$B$16</f>
        <v>661.118397512622</v>
      </c>
      <c r="Y22" s="26" t="n">
        <f aca="false">Y16*Annahmen!$B$16</f>
        <v>719.712976742471</v>
      </c>
      <c r="Z22" s="26" t="n">
        <f aca="false">Z16*Annahmen!$B$16</f>
        <v>777.604421021561</v>
      </c>
      <c r="AA22" s="26" t="n">
        <f aca="false">AA16*Annahmen!$B$16</f>
        <v>839.553167969302</v>
      </c>
      <c r="AB22" s="26" t="n">
        <f aca="false">AB16*Annahmen!$B$16</f>
        <v>900.758529953671</v>
      </c>
      <c r="AC22" s="26" t="n">
        <f aca="false">AC16*Annahmen!$B$16</f>
        <v>961.229427594227</v>
      </c>
      <c r="AD22" s="26" t="n">
        <f aca="false">AD16*Annahmen!$B$16</f>
        <v>1028.1026744631</v>
      </c>
      <c r="AE22" s="26" t="n">
        <f aca="false">AE16*Annahmen!$B$16</f>
        <v>1094.17344236954</v>
      </c>
      <c r="AF22" s="26" t="n">
        <f aca="false">AF16*Annahmen!$B$16</f>
        <v>1159.4513610611</v>
      </c>
      <c r="AG22" s="26" t="n">
        <f aca="false">AG16*Annahmen!$B$16</f>
        <v>1231.07394472837</v>
      </c>
      <c r="AH22" s="26" t="n">
        <f aca="false">AH16*Annahmen!$B$16</f>
        <v>1301.83705739163</v>
      </c>
      <c r="AI22" s="26" t="n">
        <f aca="false">AI16*Annahmen!$B$16</f>
        <v>1371.75101270293</v>
      </c>
      <c r="AJ22" s="26" t="n">
        <f aca="false">AJ16*Annahmen!$B$16</f>
        <v>1450.3300005505</v>
      </c>
      <c r="AK22" s="26" t="n">
        <f aca="false">AK16*Annahmen!$B$16</f>
        <v>1527.96604054389</v>
      </c>
      <c r="AL22" s="26" t="n">
        <f aca="false">AL16*Annahmen!$B$16</f>
        <v>1604.67044805736</v>
      </c>
    </row>
    <row r="23" customFormat="false" ht="15" hidden="false" customHeight="false" outlineLevel="0" collapsed="false">
      <c r="A23" s="22" t="s">
        <v>233</v>
      </c>
      <c r="B23" s="27"/>
      <c r="C23" s="28" t="n">
        <f aca="false">SUM(C19:C22)</f>
        <v>943.44064</v>
      </c>
      <c r="D23" s="28" t="n">
        <f aca="false">SUM(D19:D22)</f>
        <v>1283.40527032</v>
      </c>
      <c r="E23" s="28" t="n">
        <f aca="false">SUM(E19:E22)</f>
        <v>1616.86594521616</v>
      </c>
      <c r="F23" s="28" t="n">
        <f aca="false">SUM(F19:F22)</f>
        <v>2302.05939119577</v>
      </c>
      <c r="G23" s="28" t="n">
        <f aca="false">SUM(G19:G22)</f>
        <v>2974.13067472382</v>
      </c>
      <c r="H23" s="28" t="n">
        <f aca="false">SUM(H19:H22)</f>
        <v>3633.35995950235</v>
      </c>
      <c r="I23" s="28" t="n">
        <f aca="false">SUM(I19:I22)</f>
        <v>4638.11885228595</v>
      </c>
      <c r="J23" s="28" t="n">
        <f aca="false">SUM(J19:J22)</f>
        <v>5623.68415169574</v>
      </c>
      <c r="K23" s="28" t="n">
        <f aca="false">SUM(K19:K22)</f>
        <v>6590.46468445784</v>
      </c>
      <c r="L23" s="28" t="n">
        <f aca="false">SUM(L19:L22)</f>
        <v>7896.95772808937</v>
      </c>
      <c r="M23" s="28" t="n">
        <f aca="false">SUM(M19:M22)</f>
        <v>9178.56283455122</v>
      </c>
      <c r="N23" s="28" t="n">
        <f aca="false">SUM(N19:N22)</f>
        <v>10435.8087393498</v>
      </c>
      <c r="O23" s="28" t="n">
        <f aca="false">SUM(O19:O22)</f>
        <v>12146.6758551649</v>
      </c>
      <c r="P23" s="28" t="n">
        <f aca="false">SUM(P19:P22)</f>
        <v>13825.0146925753</v>
      </c>
      <c r="Q23" s="28" t="n">
        <f aca="false">SUM(Q19:Q22)</f>
        <v>15471.5150616802</v>
      </c>
      <c r="R23" s="28" t="n">
        <f aca="false">SUM(R19:R22)</f>
        <v>17564.3147200434</v>
      </c>
      <c r="S23" s="28" t="n">
        <f aca="false">SUM(S19:S22)</f>
        <v>19617.4178863823</v>
      </c>
      <c r="T23" s="28" t="n">
        <f aca="false">SUM(T19:T22)</f>
        <v>21631.6645327039</v>
      </c>
      <c r="U23" s="28" t="n">
        <f aca="false">SUM(U19:U22)</f>
        <v>24085.3391203836</v>
      </c>
      <c r="V23" s="28" t="n">
        <f aca="false">SUM(V19:V22)</f>
        <v>26492.5891996729</v>
      </c>
      <c r="W23" s="28" t="n">
        <f aca="false">SUM(W19:W22)</f>
        <v>28854.3947854022</v>
      </c>
      <c r="X23" s="28" t="n">
        <f aca="false">SUM(X19:X22)</f>
        <v>31649.1771744353</v>
      </c>
      <c r="Y23" s="28" t="n">
        <f aca="false">SUM(Y19:Y22)</f>
        <v>34391.2176244223</v>
      </c>
      <c r="Z23" s="28" t="n">
        <f aca="false">SUM(Z19:Z22)</f>
        <v>37081.6268066747</v>
      </c>
      <c r="AA23" s="28" t="n">
        <f aca="false">SUM(AA19:AA22)</f>
        <v>39960.2216987766</v>
      </c>
      <c r="AB23" s="28" t="n">
        <f aca="false">SUM(AB19:AB22)</f>
        <v>42784.7352805315</v>
      </c>
      <c r="AC23" s="28" t="n">
        <f aca="false">SUM(AC19:AC22)</f>
        <v>45556.3016075975</v>
      </c>
      <c r="AD23" s="28" t="n">
        <f aca="false">SUM(AD19:AD22)</f>
        <v>48634.1265958709</v>
      </c>
      <c r="AE23" s="28" t="n">
        <f aca="false">SUM(AE19:AE22)</f>
        <v>51654.3022546705</v>
      </c>
      <c r="AF23" s="28" t="n">
        <f aca="false">SUM(AF19:AF22)</f>
        <v>54618.033994666</v>
      </c>
      <c r="AG23" s="28" t="n">
        <f aca="false">SUM(AG19:AG22)</f>
        <v>57884.5975099213</v>
      </c>
      <c r="AH23" s="28" t="n">
        <f aca="false">SUM(AH19:AH22)</f>
        <v>61090.1530489061</v>
      </c>
      <c r="AI23" s="28" t="n">
        <f aca="false">SUM(AI19:AI22)</f>
        <v>64235.972759286</v>
      </c>
      <c r="AJ23" s="28" t="n">
        <f aca="false">SUM(AJ19:AJ22)</f>
        <v>67800.7636058856</v>
      </c>
      <c r="AK23" s="28" t="n">
        <f aca="false">SUM(AK19:AK22)</f>
        <v>71299.0862047051</v>
      </c>
      <c r="AL23" s="28" t="n">
        <f aca="false">SUM(AL19:AL22)</f>
        <v>74732.3244270869</v>
      </c>
    </row>
    <row r="24" customFormat="false" ht="15" hidden="false" customHeight="false" outlineLevel="0" collapsed="false">
      <c r="A24" s="5" t="s">
        <v>234</v>
      </c>
      <c r="C24" s="26" t="n">
        <f aca="false">-C23*Annahmen!$B$27</f>
        <v>-47.172032</v>
      </c>
      <c r="D24" s="26" t="n">
        <f aca="false">-D23*Annahmen!$B$27</f>
        <v>-64.170263516</v>
      </c>
      <c r="E24" s="26" t="n">
        <f aca="false">-E23*Annahmen!$B$27</f>
        <v>-80.843297260808</v>
      </c>
      <c r="F24" s="26" t="n">
        <f aca="false">-F23*Annahmen!$B$27</f>
        <v>-115.102969559788</v>
      </c>
      <c r="G24" s="26" t="n">
        <f aca="false">-G23*Annahmen!$B$27</f>
        <v>-148.706533736191</v>
      </c>
      <c r="H24" s="26" t="n">
        <f aca="false">-H23*Annahmen!$B$27</f>
        <v>-181.667997975117</v>
      </c>
      <c r="I24" s="26" t="n">
        <f aca="false">-I23*Annahmen!$B$27</f>
        <v>-231.905942614298</v>
      </c>
      <c r="J24" s="26" t="n">
        <f aca="false">-J23*Annahmen!$B$27</f>
        <v>-281.184207584787</v>
      </c>
      <c r="K24" s="26" t="n">
        <f aca="false">-K23*Annahmen!$B$27</f>
        <v>-329.523234222892</v>
      </c>
      <c r="L24" s="26" t="n">
        <f aca="false">-L23*Annahmen!$B$27</f>
        <v>-394.847886404468</v>
      </c>
      <c r="M24" s="26" t="n">
        <f aca="false">-M23*Annahmen!$B$27</f>
        <v>-458.928141727561</v>
      </c>
      <c r="N24" s="26" t="n">
        <f aca="false">-N23*Annahmen!$B$27</f>
        <v>-521.790436967492</v>
      </c>
      <c r="O24" s="26" t="n">
        <f aca="false">-O23*Annahmen!$B$27</f>
        <v>-607.333792758247</v>
      </c>
      <c r="P24" s="26" t="n">
        <f aca="false">-P23*Annahmen!$B$27</f>
        <v>-691.250734628766</v>
      </c>
      <c r="Q24" s="26" t="n">
        <f aca="false">-Q23*Annahmen!$B$27</f>
        <v>-773.57575308401</v>
      </c>
      <c r="R24" s="26" t="n">
        <f aca="false">-R23*Annahmen!$B$27</f>
        <v>-878.215736002172</v>
      </c>
      <c r="S24" s="26" t="n">
        <f aca="false">-S23*Annahmen!$B$27</f>
        <v>-980.870894319117</v>
      </c>
      <c r="T24" s="26" t="n">
        <f aca="false">-T23*Annahmen!$B$27</f>
        <v>-1081.5832266352</v>
      </c>
      <c r="U24" s="26" t="n">
        <f aca="false">-U23*Annahmen!$B$27</f>
        <v>-1204.26695601918</v>
      </c>
      <c r="V24" s="26" t="n">
        <f aca="false">-V23*Annahmen!$B$27</f>
        <v>-1324.62945998365</v>
      </c>
      <c r="W24" s="26" t="n">
        <f aca="false">-W23*Annahmen!$B$27</f>
        <v>-1442.71973927011</v>
      </c>
      <c r="X24" s="26" t="n">
        <f aca="false">-X23*Annahmen!$B$27</f>
        <v>-1582.45885872176</v>
      </c>
      <c r="Y24" s="26" t="n">
        <f aca="false">-Y23*Annahmen!$B$27</f>
        <v>-1719.56088122111</v>
      </c>
      <c r="Z24" s="26" t="n">
        <f aca="false">-Z23*Annahmen!$B$27</f>
        <v>-1854.08134033374</v>
      </c>
      <c r="AA24" s="26" t="n">
        <f aca="false">-AA23*Annahmen!$B$27</f>
        <v>-1998.01108493883</v>
      </c>
      <c r="AB24" s="26" t="n">
        <f aca="false">-AB23*Annahmen!$B$27</f>
        <v>-2139.23676402657</v>
      </c>
      <c r="AC24" s="26" t="n">
        <f aca="false">-AC23*Annahmen!$B$27</f>
        <v>-2277.81508037987</v>
      </c>
      <c r="AD24" s="26" t="n">
        <f aca="false">-AD23*Annahmen!$B$27</f>
        <v>-2431.70632979355</v>
      </c>
      <c r="AE24" s="26" t="n">
        <f aca="false">-AE23*Annahmen!$B$27</f>
        <v>-2582.71511273352</v>
      </c>
      <c r="AF24" s="26" t="n">
        <f aca="false">-AF23*Annahmen!$B$27</f>
        <v>-2730.9016997333</v>
      </c>
      <c r="AG24" s="26" t="n">
        <f aca="false">-AG23*Annahmen!$B$27</f>
        <v>-2894.22987549607</v>
      </c>
      <c r="AH24" s="26" t="n">
        <f aca="false">-AH23*Annahmen!$B$27</f>
        <v>-3054.5076524453</v>
      </c>
      <c r="AI24" s="26" t="n">
        <f aca="false">-AI23*Annahmen!$B$27</f>
        <v>-3211.7986379643</v>
      </c>
      <c r="AJ24" s="26" t="n">
        <f aca="false">-AJ23*Annahmen!$B$27</f>
        <v>-3390.03818029428</v>
      </c>
      <c r="AK24" s="26" t="n">
        <f aca="false">-AK23*Annahmen!$B$27</f>
        <v>-3564.95431023525</v>
      </c>
      <c r="AL24" s="26" t="n">
        <f aca="false">-AL23*Annahmen!$B$27</f>
        <v>-3736.61622135434</v>
      </c>
    </row>
    <row r="25" customFormat="false" ht="15" hidden="false" customHeight="false" outlineLevel="0" collapsed="false">
      <c r="A25" s="5" t="s">
        <v>235</v>
      </c>
      <c r="C25" s="26" t="n">
        <f aca="false">C15*Annahmen!$B$15</f>
        <v>143.28</v>
      </c>
      <c r="D25" s="26" t="n">
        <f aca="false">D15*Annahmen!$B$15</f>
        <v>143.28</v>
      </c>
      <c r="E25" s="26" t="n">
        <f aca="false">E15*Annahmen!$B$15</f>
        <v>143.28</v>
      </c>
      <c r="F25" s="26" t="n">
        <f aca="false">F15*Annahmen!$B$15</f>
        <v>286.56</v>
      </c>
      <c r="G25" s="26" t="n">
        <f aca="false">G15*Annahmen!$B$15</f>
        <v>286.56</v>
      </c>
      <c r="H25" s="26" t="n">
        <f aca="false">H15*Annahmen!$B$15</f>
        <v>286.56</v>
      </c>
      <c r="I25" s="26" t="n">
        <f aca="false">I15*Annahmen!$B$15</f>
        <v>429.84</v>
      </c>
      <c r="J25" s="26" t="n">
        <f aca="false">J15*Annahmen!$B$15</f>
        <v>429.84</v>
      </c>
      <c r="K25" s="26" t="n">
        <f aca="false">K15*Annahmen!$B$15</f>
        <v>429.84</v>
      </c>
      <c r="L25" s="26" t="n">
        <f aca="false">L15*Annahmen!$B$15</f>
        <v>573.12</v>
      </c>
      <c r="M25" s="26" t="n">
        <f aca="false">M15*Annahmen!$B$15</f>
        <v>573.12</v>
      </c>
      <c r="N25" s="26" t="n">
        <f aca="false">N15*Annahmen!$B$15</f>
        <v>573.12</v>
      </c>
      <c r="O25" s="26" t="n">
        <f aca="false">O15*Annahmen!$B$15</f>
        <v>764.16</v>
      </c>
      <c r="P25" s="26" t="n">
        <f aca="false">P15*Annahmen!$B$15</f>
        <v>764.16</v>
      </c>
      <c r="Q25" s="26" t="n">
        <f aca="false">Q15*Annahmen!$B$15</f>
        <v>764.16</v>
      </c>
      <c r="R25" s="26" t="n">
        <f aca="false">R15*Annahmen!$B$15</f>
        <v>955.2</v>
      </c>
      <c r="S25" s="26" t="n">
        <f aca="false">S15*Annahmen!$B$15</f>
        <v>955.2</v>
      </c>
      <c r="T25" s="26" t="n">
        <f aca="false">T15*Annahmen!$B$15</f>
        <v>955.2</v>
      </c>
      <c r="U25" s="26" t="n">
        <f aca="false">U15*Annahmen!$B$15</f>
        <v>1146.24</v>
      </c>
      <c r="V25" s="26" t="n">
        <f aca="false">V15*Annahmen!$B$15</f>
        <v>1146.24</v>
      </c>
      <c r="W25" s="26" t="n">
        <f aca="false">W15*Annahmen!$B$15</f>
        <v>1146.24</v>
      </c>
      <c r="X25" s="26" t="n">
        <f aca="false">X15*Annahmen!$B$15</f>
        <v>1337.28</v>
      </c>
      <c r="Y25" s="26" t="n">
        <f aca="false">Y15*Annahmen!$B$15</f>
        <v>1337.28</v>
      </c>
      <c r="Z25" s="26" t="n">
        <f aca="false">Z15*Annahmen!$B$15</f>
        <v>1337.28</v>
      </c>
      <c r="AA25" s="26" t="n">
        <f aca="false">AA15*Annahmen!$B$15</f>
        <v>1432.8</v>
      </c>
      <c r="AB25" s="26" t="n">
        <f aca="false">AB15*Annahmen!$B$15</f>
        <v>1432.8</v>
      </c>
      <c r="AC25" s="26" t="n">
        <f aca="false">AC15*Annahmen!$B$15</f>
        <v>1432.8</v>
      </c>
      <c r="AD25" s="26" t="n">
        <f aca="false">AD15*Annahmen!$B$15</f>
        <v>1576.08</v>
      </c>
      <c r="AE25" s="26" t="n">
        <f aca="false">AE15*Annahmen!$B$15</f>
        <v>1576.08</v>
      </c>
      <c r="AF25" s="26" t="n">
        <f aca="false">AF15*Annahmen!$B$15</f>
        <v>1576.08</v>
      </c>
      <c r="AG25" s="26" t="n">
        <f aca="false">AG15*Annahmen!$B$15</f>
        <v>1719.36</v>
      </c>
      <c r="AH25" s="26" t="n">
        <f aca="false">AH15*Annahmen!$B$15</f>
        <v>1719.36</v>
      </c>
      <c r="AI25" s="26" t="n">
        <f aca="false">AI15*Annahmen!$B$15</f>
        <v>1719.36</v>
      </c>
      <c r="AJ25" s="26" t="n">
        <f aca="false">AJ15*Annahmen!$B$15</f>
        <v>1910.4</v>
      </c>
      <c r="AK25" s="26" t="n">
        <f aca="false">AK15*Annahmen!$B$15</f>
        <v>1910.4</v>
      </c>
      <c r="AL25" s="26" t="n">
        <f aca="false">AL15*Annahmen!$B$15</f>
        <v>1910.4</v>
      </c>
    </row>
    <row r="26" customFormat="false" ht="15" hidden="false" customHeight="false" outlineLevel="0" collapsed="false">
      <c r="A26" s="22" t="s">
        <v>236</v>
      </c>
      <c r="B26" s="27"/>
      <c r="C26" s="28" t="n">
        <f aca="false">C23+C24+C25</f>
        <v>1039.548608</v>
      </c>
      <c r="D26" s="28" t="n">
        <f aca="false">D23+D24+D25</f>
        <v>1362.515006804</v>
      </c>
      <c r="E26" s="28" t="n">
        <f aca="false">E23+E24+E25</f>
        <v>1679.30264795535</v>
      </c>
      <c r="F26" s="28" t="n">
        <f aca="false">F23+F24+F25</f>
        <v>2473.51642163598</v>
      </c>
      <c r="G26" s="28" t="n">
        <f aca="false">G23+G24+G25</f>
        <v>3111.98414098763</v>
      </c>
      <c r="H26" s="28" t="n">
        <f aca="false">H23+H24+H25</f>
        <v>3738.25196152723</v>
      </c>
      <c r="I26" s="28" t="n">
        <f aca="false">I23+I24+I25</f>
        <v>4836.05290967166</v>
      </c>
      <c r="J26" s="28" t="n">
        <f aca="false">J23+J24+J25</f>
        <v>5772.33994411096</v>
      </c>
      <c r="K26" s="28" t="n">
        <f aca="false">K23+K24+K25</f>
        <v>6690.78145023495</v>
      </c>
      <c r="L26" s="28" t="n">
        <f aca="false">L23+L24+L25</f>
        <v>8075.2298416849</v>
      </c>
      <c r="M26" s="28" t="n">
        <f aca="false">M23+M24+M25</f>
        <v>9292.75469282366</v>
      </c>
      <c r="N26" s="28" t="n">
        <f aca="false">N23+N24+N25</f>
        <v>10487.1383023823</v>
      </c>
      <c r="O26" s="28" t="n">
        <f aca="false">O23+O24+O25</f>
        <v>12303.5020624067</v>
      </c>
      <c r="P26" s="28" t="n">
        <f aca="false">P23+P24+P25</f>
        <v>13897.9239579466</v>
      </c>
      <c r="Q26" s="28" t="n">
        <f aca="false">Q23+Q24+Q25</f>
        <v>15462.0993085962</v>
      </c>
      <c r="R26" s="28" t="n">
        <f aca="false">R23+R24+R25</f>
        <v>17641.2989840413</v>
      </c>
      <c r="S26" s="28" t="n">
        <f aca="false">S23+S24+S25</f>
        <v>19591.7469920632</v>
      </c>
      <c r="T26" s="28" t="n">
        <f aca="false">T23+T24+T25</f>
        <v>21505.2813060687</v>
      </c>
      <c r="U26" s="28" t="n">
        <f aca="false">U23+U24+U25</f>
        <v>24027.3121643645</v>
      </c>
      <c r="V26" s="28" t="n">
        <f aca="false">V23+V24+V25</f>
        <v>26314.1997396893</v>
      </c>
      <c r="W26" s="28" t="n">
        <f aca="false">W23+W24+W25</f>
        <v>28557.9150461321</v>
      </c>
      <c r="X26" s="28" t="n">
        <f aca="false">X23+X24+X25</f>
        <v>31403.9983157135</v>
      </c>
      <c r="Y26" s="28" t="n">
        <f aca="false">Y23+Y24+Y25</f>
        <v>34008.9367432012</v>
      </c>
      <c r="Z26" s="28" t="n">
        <f aca="false">Z23+Z24+Z25</f>
        <v>36564.825466341</v>
      </c>
      <c r="AA26" s="28" t="n">
        <f aca="false">AA23+AA24+AA25</f>
        <v>39395.0106138377</v>
      </c>
      <c r="AB26" s="28" t="n">
        <f aca="false">AB23+AB24+AB25</f>
        <v>42078.2985165049</v>
      </c>
      <c r="AC26" s="28" t="n">
        <f aca="false">AC23+AC24+AC25</f>
        <v>44711.2865272176</v>
      </c>
      <c r="AD26" s="28" t="n">
        <f aca="false">AD23+AD24+AD25</f>
        <v>47778.5002660774</v>
      </c>
      <c r="AE26" s="28" t="n">
        <f aca="false">AE23+AE24+AE25</f>
        <v>50647.667141937</v>
      </c>
      <c r="AF26" s="28" t="n">
        <f aca="false">AF23+AF24+AF25</f>
        <v>53463.2122949327</v>
      </c>
      <c r="AG26" s="28" t="n">
        <f aca="false">AG23+AG24+AG25</f>
        <v>56709.7276344253</v>
      </c>
      <c r="AH26" s="28" t="n">
        <f aca="false">AH23+AH24+AH25</f>
        <v>59755.0053964608</v>
      </c>
      <c r="AI26" s="28" t="n">
        <f aca="false">AI23+AI24+AI25</f>
        <v>62743.5341213217</v>
      </c>
      <c r="AJ26" s="28" t="n">
        <f aca="false">AJ23+AJ24+AJ25</f>
        <v>66321.1254255914</v>
      </c>
      <c r="AK26" s="28" t="n">
        <f aca="false">AK23+AK24+AK25</f>
        <v>69644.5318944698</v>
      </c>
      <c r="AL26" s="28" t="n">
        <f aca="false">AL23+AL24+AL25</f>
        <v>72906.1082057325</v>
      </c>
    </row>
    <row r="27" customFormat="false" ht="15" hidden="false" customHeight="false" outlineLevel="0" collapsed="false">
      <c r="A27" s="5" t="s">
        <v>237</v>
      </c>
      <c r="C27" s="26" t="n">
        <f aca="false">C23*12</f>
        <v>11321.28768</v>
      </c>
      <c r="D27" s="26" t="n">
        <f aca="false">D23*12</f>
        <v>15400.86324384</v>
      </c>
      <c r="E27" s="26" t="n">
        <f aca="false">E23*12</f>
        <v>19402.3913425939</v>
      </c>
      <c r="F27" s="26" t="n">
        <f aca="false">F23*12</f>
        <v>27624.7126943492</v>
      </c>
      <c r="G27" s="26" t="n">
        <f aca="false">G23*12</f>
        <v>35689.5680966859</v>
      </c>
      <c r="H27" s="26" t="n">
        <f aca="false">H23*12</f>
        <v>43600.3195140281</v>
      </c>
      <c r="I27" s="26" t="n">
        <f aca="false">I23*12</f>
        <v>55657.4262274314</v>
      </c>
      <c r="J27" s="26" t="n">
        <f aca="false">J23*12</f>
        <v>67484.2098203489</v>
      </c>
      <c r="K27" s="26" t="n">
        <f aca="false">K23*12</f>
        <v>79085.5762134941</v>
      </c>
      <c r="L27" s="26" t="n">
        <f aca="false">L23*12</f>
        <v>94763.4927370724</v>
      </c>
      <c r="M27" s="26" t="n">
        <f aca="false">M23*12</f>
        <v>110142.754014615</v>
      </c>
      <c r="N27" s="26" t="n">
        <f aca="false">N23*12</f>
        <v>125229.704872198</v>
      </c>
      <c r="O27" s="26" t="n">
        <f aca="false">O23*12</f>
        <v>145760.110261979</v>
      </c>
      <c r="P27" s="26" t="n">
        <f aca="false">P23*12</f>
        <v>165900.176310904</v>
      </c>
      <c r="Q27" s="26" t="n">
        <f aca="false">Q23*12</f>
        <v>185658.180740162</v>
      </c>
      <c r="R27" s="26" t="n">
        <f aca="false">R23*12</f>
        <v>210771.776640521</v>
      </c>
      <c r="S27" s="26" t="n">
        <f aca="false">S23*12</f>
        <v>235409.014636588</v>
      </c>
      <c r="T27" s="26" t="n">
        <f aca="false">T23*12</f>
        <v>259579.974392447</v>
      </c>
      <c r="U27" s="26" t="n">
        <f aca="false">U23*12</f>
        <v>289024.069444604</v>
      </c>
      <c r="V27" s="26" t="n">
        <f aca="false">V23*12</f>
        <v>317911.070396075</v>
      </c>
      <c r="W27" s="26" t="n">
        <f aca="false">W23*12</f>
        <v>346252.737424826</v>
      </c>
      <c r="X27" s="26" t="n">
        <f aca="false">X23*12</f>
        <v>379790.126093223</v>
      </c>
      <c r="Y27" s="26" t="n">
        <f aca="false">Y23*12</f>
        <v>412694.611493067</v>
      </c>
      <c r="Z27" s="26" t="n">
        <f aca="false">Z23*12</f>
        <v>444979.521680097</v>
      </c>
      <c r="AA27" s="26" t="n">
        <f aca="false">AA23*12</f>
        <v>479522.660385319</v>
      </c>
      <c r="AB27" s="26" t="n">
        <f aca="false">AB23*12</f>
        <v>513416.823366378</v>
      </c>
      <c r="AC27" s="26" t="n">
        <f aca="false">AC23*12</f>
        <v>546675.61929117</v>
      </c>
      <c r="AD27" s="26" t="n">
        <f aca="false">AD23*12</f>
        <v>583609.519150451</v>
      </c>
      <c r="AE27" s="26" t="n">
        <f aca="false">AE23*12</f>
        <v>619851.627056046</v>
      </c>
      <c r="AF27" s="26" t="n">
        <f aca="false">AF23*12</f>
        <v>655416.407935992</v>
      </c>
      <c r="AG27" s="26" t="n">
        <f aca="false">AG23*12</f>
        <v>694615.170119056</v>
      </c>
      <c r="AH27" s="26" t="n">
        <f aca="false">AH23*12</f>
        <v>733081.836586873</v>
      </c>
      <c r="AI27" s="26" t="n">
        <f aca="false">AI23*12</f>
        <v>770831.673111431</v>
      </c>
      <c r="AJ27" s="26" t="n">
        <f aca="false">AJ23*12</f>
        <v>813609.163270628</v>
      </c>
      <c r="AK27" s="26" t="n">
        <f aca="false">AK23*12</f>
        <v>855589.034456461</v>
      </c>
      <c r="AL27" s="26" t="n">
        <f aca="false">AL23*12</f>
        <v>896787.893125042</v>
      </c>
    </row>
    <row r="28" customFormat="false" ht="15" hidden="false" customHeight="false" outlineLevel="0" collapsed="false">
      <c r="A28" s="5" t="s">
        <v>238</v>
      </c>
      <c r="C28" s="29" t="n">
        <f aca="false">IF(C13&gt;0,C23/C13,0)</f>
        <v>119.729008350466</v>
      </c>
      <c r="D28" s="29" t="n">
        <f aca="false">IF(D13&gt;0,D23/D13,0)</f>
        <v>120.050147185703</v>
      </c>
      <c r="E28" s="29" t="n">
        <f aca="false">IF(E13&gt;0,E23/E13,0)</f>
        <v>120.355330662898</v>
      </c>
      <c r="F28" s="29" t="n">
        <f aca="false">IF(F13&gt;0,F23/F13,0)</f>
        <v>120.450319882362</v>
      </c>
      <c r="G28" s="29" t="n">
        <f aca="false">IF(G13&gt;0,G23/G13,0)</f>
        <v>120.634094167002</v>
      </c>
      <c r="H28" s="29" t="n">
        <f aca="false">IF(H13&gt;0,H23/H13,0)</f>
        <v>120.855320546871</v>
      </c>
      <c r="I28" s="29" t="n">
        <f aca="false">IF(I13&gt;0,I23/I13,0)</f>
        <v>120.960082355995</v>
      </c>
      <c r="J28" s="29" t="n">
        <f aca="false">IF(J13&gt;0,J23/J13,0)</f>
        <v>121.130078408941</v>
      </c>
      <c r="K28" s="29" t="n">
        <f aca="false">IF(K13&gt;0,K23/K13,0)</f>
        <v>121.334231870286</v>
      </c>
      <c r="L28" s="29" t="n">
        <f aca="false">IF(L13&gt;0,L23/L13,0)</f>
        <v>121.457020120208</v>
      </c>
      <c r="M28" s="29" t="n">
        <f aca="false">IF(M13&gt;0,M23/M13,0)</f>
        <v>121.626315390332</v>
      </c>
      <c r="N28" s="29" t="n">
        <f aca="false">IF(N13&gt;0,N23/N13,0)</f>
        <v>121.823494780184</v>
      </c>
      <c r="O28" s="29" t="n">
        <f aca="false">IF(O13&gt;0,O23/O13,0)</f>
        <v>121.931153083286</v>
      </c>
      <c r="P28" s="29" t="n">
        <f aca="false">IF(P13&gt;0,P23/P13,0)</f>
        <v>122.083110820251</v>
      </c>
      <c r="Q28" s="29" t="n">
        <f aca="false">IF(Q13&gt;0,Q23/Q13,0)</f>
        <v>122.263496915997</v>
      </c>
      <c r="R28" s="29" t="n">
        <f aca="false">IF(R13&gt;0,R23/R13,0)</f>
        <v>122.376696428786</v>
      </c>
      <c r="S28" s="29" t="n">
        <f aca="false">IF(S13&gt;0,S23/S13,0)</f>
        <v>122.526728301699</v>
      </c>
      <c r="T28" s="29" t="n">
        <f aca="false">IF(T13&gt;0,T23/T13,0)</f>
        <v>122.701820183177</v>
      </c>
      <c r="U28" s="29" t="n">
        <f aca="false">IF(U13&gt;0,U23/U13,0)</f>
        <v>122.822590498531</v>
      </c>
      <c r="V28" s="29" t="n">
        <f aca="false">IF(V13&gt;0,V23/V13,0)</f>
        <v>122.973697151789</v>
      </c>
      <c r="W28" s="29" t="n">
        <f aca="false">IF(W13&gt;0,W23/W13,0)</f>
        <v>123.146426507166</v>
      </c>
      <c r="X28" s="29" t="n">
        <f aca="false">IF(X13&gt;0,X23/X13,0)</f>
        <v>123.273135429795</v>
      </c>
      <c r="Y28" s="29" t="n">
        <f aca="false">IF(Y13&gt;0,Y23/Y13,0)</f>
        <v>123.425259935312</v>
      </c>
      <c r="Z28" s="29" t="n">
        <f aca="false">IF(Z13&gt;0,Z23/Z13,0)</f>
        <v>123.596175674987</v>
      </c>
      <c r="AA28" s="29" t="n">
        <f aca="false">IF(AA13&gt;0,AA23/AA13,0)</f>
        <v>123.753912619867</v>
      </c>
      <c r="AB28" s="29" t="n">
        <f aca="false">IF(AB13&gt;0,AB23/AB13,0)</f>
        <v>123.927718908978</v>
      </c>
      <c r="AC28" s="29" t="n">
        <f aca="false">IF(AC13&gt;0,AC23/AC13,0)</f>
        <v>124.113884961141</v>
      </c>
      <c r="AD28" s="29" t="n">
        <f aca="false">IF(AD13&gt;0,AD23/AD13,0)</f>
        <v>124.271773214974</v>
      </c>
      <c r="AE28" s="29" t="n">
        <f aca="false">IF(AE13&gt;0,AE23/AE13,0)</f>
        <v>124.443633695974</v>
      </c>
      <c r="AF28" s="29" t="n">
        <f aca="false">IF(AF13&gt;0,AF23/AF13,0)</f>
        <v>124.626500454947</v>
      </c>
      <c r="AG28" s="29" t="n">
        <f aca="false">IF(AG13&gt;0,AG23/AG13,0)</f>
        <v>124.782853961509</v>
      </c>
      <c r="AH28" s="29" t="n">
        <f aca="false">IF(AH13&gt;0,AH23/AH13,0)</f>
        <v>124.951717822816</v>
      </c>
      <c r="AI28" s="29" t="n">
        <f aca="false">IF(AI13&gt;0,AI23/AI13,0)</f>
        <v>125.130625441476</v>
      </c>
      <c r="AJ28" s="29" t="n">
        <f aca="false">IF(AJ13&gt;0,AJ23/AJ13,0)</f>
        <v>125.273664258146</v>
      </c>
      <c r="AK28" s="29" t="n">
        <f aca="false">IF(AK13&gt;0,AK23/AK13,0)</f>
        <v>125.42984787258</v>
      </c>
      <c r="AL28" s="29" t="n">
        <f aca="false">IF(AL13&gt;0,AL23/AL13,0)</f>
        <v>125.596728430867</v>
      </c>
    </row>
    <row r="29" customFormat="false" ht="15" hidden="false" customHeight="false" outlineLevel="0" collapsed="false">
      <c r="A29" s="19" t="s">
        <v>239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customFormat="false" ht="15" hidden="false" customHeight="false" outlineLevel="0" collapsed="false">
      <c r="A30" s="5" t="s">
        <v>240</v>
      </c>
      <c r="C30" s="26" t="n">
        <f aca="false">C10*Annahmen!$B$52+C11*Annahmen!$B$53+C12*Annahmen!$B$54</f>
        <v>13.908</v>
      </c>
      <c r="D30" s="26" t="n">
        <f aca="false">D10*Annahmen!$B$52+D11*Annahmen!$B$53+D12*Annahmen!$B$54</f>
        <v>18.916552</v>
      </c>
      <c r="E30" s="26" t="n">
        <f aca="false">E10*Annahmen!$B$52+E11*Annahmen!$B$53+E12*Annahmen!$B$54</f>
        <v>23.827817616</v>
      </c>
      <c r="F30" s="26" t="n">
        <f aca="false">F10*Annahmen!$B$52+F11*Annahmen!$B$53+F12*Annahmen!$B$54</f>
        <v>33.923907003808</v>
      </c>
      <c r="G30" s="26" t="n">
        <f aca="false">G10*Annahmen!$B$52+G11*Annahmen!$B$53+G12*Annahmen!$B$54</f>
        <v>43.8236801716583</v>
      </c>
      <c r="H30" s="26" t="n">
        <f aca="false">H10*Annahmen!$B$52+H11*Annahmen!$B$53+H12*Annahmen!$B$54</f>
        <v>53.5313994576361</v>
      </c>
      <c r="I30" s="26" t="n">
        <f aca="false">I10*Annahmen!$B$52+I11*Annahmen!$B$53+I12*Annahmen!$B$54</f>
        <v>68.3312258224856</v>
      </c>
      <c r="J30" s="26" t="n">
        <f aca="false">J10*Annahmen!$B$52+J11*Annahmen!$B$53+J12*Annahmen!$B$54</f>
        <v>82.8440214336764</v>
      </c>
      <c r="K30" s="26" t="n">
        <f aca="false">K10*Annahmen!$B$52+K11*Annahmen!$B$53+K12*Annahmen!$B$54</f>
        <v>97.0760033802213</v>
      </c>
      <c r="L30" s="26" t="n">
        <f aca="false">L10*Annahmen!$B$52+L11*Annahmen!$B$53+L12*Annahmen!$B$54</f>
        <v>116.313241169769</v>
      </c>
      <c r="M30" s="26" t="n">
        <f aca="false">M10*Annahmen!$B$52+M11*Annahmen!$B$53+M12*Annahmen!$B$54</f>
        <v>135.178460484764</v>
      </c>
      <c r="N30" s="26" t="n">
        <f aca="false">N10*Annahmen!$B$52+N11*Annahmen!$B$53+N12*Annahmen!$B$54</f>
        <v>153.679698038055</v>
      </c>
      <c r="O30" s="26" t="n">
        <f aca="false">O10*Annahmen!$B$52+O11*Annahmen!$B$53+O12*Annahmen!$B$54</f>
        <v>178.864800180355</v>
      </c>
      <c r="P30" s="26" t="n">
        <f aca="false">P10*Annahmen!$B$52+P11*Annahmen!$B$53+P12*Annahmen!$B$54</f>
        <v>203.563827737165</v>
      </c>
      <c r="Q30" s="26" t="n">
        <f aca="false">Q10*Annahmen!$B$52+Q11*Annahmen!$B$53+Q12*Annahmen!$B$54</f>
        <v>227.787262316388</v>
      </c>
      <c r="R30" s="26" t="n">
        <f aca="false">R10*Annahmen!$B$52+R11*Annahmen!$B$53+R12*Annahmen!$B$54</f>
        <v>258.585337623007</v>
      </c>
      <c r="S30" s="26" t="n">
        <f aca="false">S10*Annahmen!$B$52+S11*Annahmen!$B$53+S12*Annahmen!$B$54</f>
        <v>288.790445750868</v>
      </c>
      <c r="T30" s="26" t="n">
        <f aca="false">T10*Annahmen!$B$52+T11*Annahmen!$B$53+T12*Annahmen!$B$54</f>
        <v>318.415344906396</v>
      </c>
      <c r="U30" s="26" t="n">
        <f aca="false">U10*Annahmen!$B$52+U11*Annahmen!$B$53+U12*Annahmen!$B$54</f>
        <v>354.512492101693</v>
      </c>
      <c r="V30" s="26" t="n">
        <f aca="false">V10*Annahmen!$B$52+V11*Annahmen!$B$53+V12*Annahmen!$B$54</f>
        <v>389.916450788096</v>
      </c>
      <c r="W30" s="26" t="n">
        <f aca="false">W10*Annahmen!$B$52+W11*Annahmen!$B$53+W12*Annahmen!$B$54</f>
        <v>424.642099886039</v>
      </c>
      <c r="X30" s="26" t="n">
        <f aca="false">X10*Annahmen!$B$52+X11*Annahmen!$B$53+X12*Annahmen!$B$54</f>
        <v>465.743967749641</v>
      </c>
      <c r="Y30" s="26" t="n">
        <f aca="false">Y10*Annahmen!$B$52+Y11*Annahmen!$B$53+Y12*Annahmen!$B$54</f>
        <v>506.058641038066</v>
      </c>
      <c r="Z30" s="26" t="n">
        <f aca="false">Z10*Annahmen!$B$52+Z11*Annahmen!$B$53+Z12*Annahmen!$B$54</f>
        <v>545.602974950421</v>
      </c>
      <c r="AA30" s="26" t="n">
        <f aca="false">AA10*Annahmen!$B$52+AA11*Annahmen!$B$53+AA12*Annahmen!$B$54</f>
        <v>587.913428363508</v>
      </c>
      <c r="AB30" s="26" t="n">
        <f aca="false">AB10*Annahmen!$B$52+AB11*Annahmen!$B$53+AB12*Annahmen!$B$54</f>
        <v>629.417273845371</v>
      </c>
      <c r="AC30" s="26" t="n">
        <f aca="false">AC10*Annahmen!$B$52+AC11*Annahmen!$B$53+AC12*Annahmen!$B$54</f>
        <v>670.131708202231</v>
      </c>
      <c r="AD30" s="26" t="n">
        <f aca="false">AD10*Annahmen!$B$52+AD11*Annahmen!$B$53+AD12*Annahmen!$B$54</f>
        <v>715.353525332575</v>
      </c>
      <c r="AE30" s="26" t="n">
        <f aca="false">AE10*Annahmen!$B$52+AE11*Annahmen!$B$53+AE12*Annahmen!$B$54</f>
        <v>759.715926378848</v>
      </c>
      <c r="AF30" s="26" t="n">
        <f aca="false">AF10*Annahmen!$B$52+AF11*Annahmen!$B$53+AF12*Annahmen!$B$54</f>
        <v>803.237180809406</v>
      </c>
      <c r="AG30" s="26" t="n">
        <f aca="false">AG10*Annahmen!$B$52+AG11*Annahmen!$B$53+AG12*Annahmen!$B$54</f>
        <v>851.215131087786</v>
      </c>
      <c r="AH30" s="26" t="n">
        <f aca="false">AH10*Annahmen!$B$52+AH11*Annahmen!$B$53+AH12*Annahmen!$B$54</f>
        <v>898.284003411436</v>
      </c>
      <c r="AI30" s="26" t="n">
        <f aca="false">AI10*Annahmen!$B$52+AI11*Annahmen!$B$53+AI12*Annahmen!$B$54</f>
        <v>944.463069365514</v>
      </c>
      <c r="AJ30" s="26" t="n">
        <f aca="false">AJ10*Annahmen!$B$52+AJ11*Annahmen!$B$53+AJ12*Annahmen!$B$54</f>
        <v>996.811151149201</v>
      </c>
      <c r="AK30" s="26" t="n">
        <f aca="false">AK10*Annahmen!$B$52+AK11*Annahmen!$B$53+AK12*Annahmen!$B$54</f>
        <v>1048.16903285709</v>
      </c>
      <c r="AL30" s="26" t="n">
        <f aca="false">AL10*Annahmen!$B$52+AL11*Annahmen!$B$53+AL12*Annahmen!$B$54</f>
        <v>1098.55767306165</v>
      </c>
    </row>
    <row r="31" customFormat="false" ht="15" hidden="false" customHeight="false" outlineLevel="0" collapsed="false">
      <c r="A31" s="5" t="s">
        <v>241</v>
      </c>
      <c r="C31" s="26" t="n">
        <f aca="false">C26*Annahmen!$B$55+C13*Annahmen!$B$56</f>
        <v>11.074318864</v>
      </c>
      <c r="D31" s="26" t="n">
        <f aca="false">D26*Annahmen!$B$55+D13*Annahmen!$B$56</f>
        <v>14.641821794432</v>
      </c>
      <c r="E31" s="26" t="n">
        <f aca="false">E26*Annahmen!$B$55+E13*Annahmen!$B$56</f>
        <v>18.1363573397628</v>
      </c>
      <c r="F31" s="26" t="n">
        <f aca="false">F26*Annahmen!$B$55+F13*Annahmen!$B$56</f>
        <v>26.4773687923444</v>
      </c>
      <c r="G31" s="26" t="n">
        <f aca="false">G26*Annahmen!$B$55+G13*Annahmen!$B$56</f>
        <v>33.5248245312438</v>
      </c>
      <c r="H31" s="26" t="n">
        <f aca="false">H26*Annahmen!$B$55+H13*Annahmen!$B$56</f>
        <v>40.4283160764415</v>
      </c>
      <c r="I31" s="26" t="n">
        <f aca="false">I26*Annahmen!$B$55+I13*Annahmen!$B$56</f>
        <v>52.108896930181</v>
      </c>
      <c r="J31" s="26" t="n">
        <f aca="false">J26*Annahmen!$B$55+J13*Annahmen!$B$56</f>
        <v>62.4281059889177</v>
      </c>
      <c r="K31" s="26" t="n">
        <f aca="false">K26*Annahmen!$B$55+K13*Annahmen!$B$56</f>
        <v>72.5370666373777</v>
      </c>
      <c r="L31" s="26" t="n">
        <f aca="false">L26*Annahmen!$B$55+L13*Annahmen!$B$56</f>
        <v>87.3583266013337</v>
      </c>
      <c r="M31" s="26" t="n">
        <f aca="false">M26*Annahmen!$B$55+M13*Annahmen!$B$56</f>
        <v>100.754882343348</v>
      </c>
      <c r="N31" s="26" t="n">
        <f aca="false">N26*Annahmen!$B$55+N13*Annahmen!$B$56</f>
        <v>113.879279113768</v>
      </c>
      <c r="O31" s="26" t="n">
        <f aca="false">O26*Annahmen!$B$55+O13*Annahmen!$B$56</f>
        <v>133.294713334342</v>
      </c>
      <c r="P31" s="26" t="n">
        <f aca="false">P26*Annahmen!$B$55+P13*Annahmen!$B$56</f>
        <v>150.818318312237</v>
      </c>
      <c r="Q31" s="26" t="n">
        <f aca="false">Q26*Annahmen!$B$55+Q13*Annahmen!$B$56</f>
        <v>167.986630831855</v>
      </c>
      <c r="R31" s="26" t="n">
        <f aca="false">R26*Annahmen!$B$55+R13*Annahmen!$B$56</f>
        <v>191.364712060836</v>
      </c>
      <c r="S31" s="26" t="n">
        <f aca="false">S26*Annahmen!$B$55+S13*Annahmen!$B$56</f>
        <v>212.771514483421</v>
      </c>
      <c r="T31" s="26" t="n">
        <f aca="false">T26*Annahmen!$B$55+T13*Annahmen!$B$56</f>
        <v>233.745349678404</v>
      </c>
      <c r="U31" s="26" t="n">
        <f aca="false">U26*Annahmen!$B$55+U13*Annahmen!$B$56</f>
        <v>260.853010378985</v>
      </c>
      <c r="V31" s="26" t="n">
        <f aca="false">V26*Annahmen!$B$55+V13*Annahmen!$B$56</f>
        <v>285.915138528597</v>
      </c>
      <c r="W31" s="26" t="n">
        <f aca="false">W26*Annahmen!$B$55+W13*Annahmen!$B$56</f>
        <v>310.471694150841</v>
      </c>
      <c r="X31" s="26" t="n">
        <f aca="false">X26*Annahmen!$B$55+X13*Annahmen!$B$56</f>
        <v>341.091078471665</v>
      </c>
      <c r="Y31" s="26" t="n">
        <f aca="false">Y26*Annahmen!$B$55+Y13*Annahmen!$B$56</f>
        <v>369.595503008717</v>
      </c>
      <c r="Z31" s="26" t="n">
        <f aca="false">Z26*Annahmen!$B$55+Z13*Annahmen!$B$56</f>
        <v>397.526459446791</v>
      </c>
      <c r="AA31" s="26" t="n">
        <f aca="false">AA26*Annahmen!$B$55+AA13*Annahmen!$B$56</f>
        <v>428.175320538302</v>
      </c>
      <c r="AB31" s="26" t="n">
        <f aca="false">AB26*Annahmen!$B$55+AB13*Annahmen!$B$56</f>
        <v>457.460189318879</v>
      </c>
      <c r="AC31" s="26" t="n">
        <f aca="false">AC26*Annahmen!$B$55+AC13*Annahmen!$B$56</f>
        <v>486.158638588909</v>
      </c>
      <c r="AD31" s="26" t="n">
        <f aca="false">AD26*Annahmen!$B$55+AD13*Annahmen!$B$56</f>
        <v>519.201538984082</v>
      </c>
      <c r="AE31" s="26" t="n">
        <f aca="false">AE26*Annahmen!$B$55+AE13*Annahmen!$B$56</f>
        <v>550.460008709031</v>
      </c>
      <c r="AF31" s="26" t="n">
        <f aca="false">AF26*Annahmen!$B$55+AF13*Annahmen!$B$56</f>
        <v>581.094518781678</v>
      </c>
      <c r="AG31" s="26" t="n">
        <f aca="false">AG26*Annahmen!$B$55+AG13*Annahmen!$B$56</f>
        <v>616.036738869684</v>
      </c>
      <c r="AH31" s="26" t="n">
        <f aca="false">AH26*Annahmen!$B$55+AH13*Annahmen!$B$56</f>
        <v>649.158567507914</v>
      </c>
      <c r="AI31" s="26" t="n">
        <f aca="false">AI26*Annahmen!$B$55+AI13*Annahmen!$B$56</f>
        <v>681.621237813742</v>
      </c>
      <c r="AJ31" s="26" t="n">
        <f aca="false">AJ26*Annahmen!$B$55+AJ13*Annahmen!$B$56</f>
        <v>719.996425381947</v>
      </c>
      <c r="AK31" s="26" t="n">
        <f aca="false">AK26*Annahmen!$B$55+AK13*Annahmen!$B$56</f>
        <v>756.109539361264</v>
      </c>
      <c r="AL31" s="26" t="n">
        <f aca="false">AL26*Annahmen!$B$55+AL13*Annahmen!$B$56</f>
        <v>791.505194264147</v>
      </c>
    </row>
    <row r="32" customFormat="false" ht="15" hidden="false" customHeight="false" outlineLevel="0" collapsed="false">
      <c r="A32" s="5" t="s">
        <v>242</v>
      </c>
      <c r="C32" s="26" t="n">
        <f aca="false">C26*INDEX(Annahmen!$B$58:$F$58,1,C$4)*Annahmen!$B$57</f>
        <v>0</v>
      </c>
      <c r="D32" s="26" t="n">
        <f aca="false">D26*INDEX(Annahmen!$B$58:$F$58,1,D$4)*Annahmen!$B$57</f>
        <v>0</v>
      </c>
      <c r="E32" s="26" t="n">
        <f aca="false">E26*INDEX(Annahmen!$B$58:$F$58,1,E$4)*Annahmen!$B$57</f>
        <v>0</v>
      </c>
      <c r="F32" s="26" t="n">
        <f aca="false">F26*INDEX(Annahmen!$B$58:$F$58,1,F$4)*Annahmen!$B$57</f>
        <v>0</v>
      </c>
      <c r="G32" s="26" t="n">
        <f aca="false">G26*INDEX(Annahmen!$B$58:$F$58,1,G$4)*Annahmen!$B$57</f>
        <v>0</v>
      </c>
      <c r="H32" s="26" t="n">
        <f aca="false">H26*INDEX(Annahmen!$B$58:$F$58,1,H$4)*Annahmen!$B$57</f>
        <v>0</v>
      </c>
      <c r="I32" s="26" t="n">
        <f aca="false">I26*INDEX(Annahmen!$B$58:$F$58,1,I$4)*Annahmen!$B$57</f>
        <v>0</v>
      </c>
      <c r="J32" s="26" t="n">
        <f aca="false">J26*INDEX(Annahmen!$B$58:$F$58,1,J$4)*Annahmen!$B$57</f>
        <v>0</v>
      </c>
      <c r="K32" s="26" t="n">
        <f aca="false">K26*INDEX(Annahmen!$B$58:$F$58,1,K$4)*Annahmen!$B$57</f>
        <v>0</v>
      </c>
      <c r="L32" s="26" t="n">
        <f aca="false">L26*INDEX(Annahmen!$B$58:$F$58,1,L$4)*Annahmen!$B$57</f>
        <v>0</v>
      </c>
      <c r="M32" s="26" t="n">
        <f aca="false">M26*INDEX(Annahmen!$B$58:$F$58,1,M$4)*Annahmen!$B$57</f>
        <v>0</v>
      </c>
      <c r="N32" s="26" t="n">
        <f aca="false">N26*INDEX(Annahmen!$B$58:$F$58,1,N$4)*Annahmen!$B$57</f>
        <v>0</v>
      </c>
      <c r="O32" s="26" t="n">
        <f aca="false">O26*INDEX(Annahmen!$B$58:$F$58,1,O$4)*Annahmen!$B$57</f>
        <v>307.587551560167</v>
      </c>
      <c r="P32" s="26" t="n">
        <f aca="false">P26*INDEX(Annahmen!$B$58:$F$58,1,P$4)*Annahmen!$B$57</f>
        <v>347.448098948664</v>
      </c>
      <c r="Q32" s="26" t="n">
        <f aca="false">Q26*INDEX(Annahmen!$B$58:$F$58,1,Q$4)*Annahmen!$B$57</f>
        <v>386.552482714905</v>
      </c>
      <c r="R32" s="26" t="n">
        <f aca="false">R26*INDEX(Annahmen!$B$58:$F$58,1,R$4)*Annahmen!$B$57</f>
        <v>441.032474601032</v>
      </c>
      <c r="S32" s="26" t="n">
        <f aca="false">S26*INDEX(Annahmen!$B$58:$F$58,1,S$4)*Annahmen!$B$57</f>
        <v>489.793674801581</v>
      </c>
      <c r="T32" s="26" t="n">
        <f aca="false">T26*INDEX(Annahmen!$B$58:$F$58,1,T$4)*Annahmen!$B$57</f>
        <v>537.632032651718</v>
      </c>
      <c r="U32" s="26" t="n">
        <f aca="false">U26*INDEX(Annahmen!$B$58:$F$58,1,U$4)*Annahmen!$B$57</f>
        <v>600.682804109111</v>
      </c>
      <c r="V32" s="26" t="n">
        <f aca="false">V26*INDEX(Annahmen!$B$58:$F$58,1,V$4)*Annahmen!$B$57</f>
        <v>657.854993492232</v>
      </c>
      <c r="W32" s="26" t="n">
        <f aca="false">W26*INDEX(Annahmen!$B$58:$F$58,1,W$4)*Annahmen!$B$57</f>
        <v>713.947876153302</v>
      </c>
      <c r="X32" s="26" t="n">
        <f aca="false">X26*INDEX(Annahmen!$B$58:$F$58,1,X$4)*Annahmen!$B$57</f>
        <v>785.099957892838</v>
      </c>
      <c r="Y32" s="26" t="n">
        <f aca="false">Y26*INDEX(Annahmen!$B$58:$F$58,1,Y$4)*Annahmen!$B$57</f>
        <v>850.223418580029</v>
      </c>
      <c r="Z32" s="26" t="n">
        <f aca="false">Z26*INDEX(Annahmen!$B$58:$F$58,1,Z$4)*Annahmen!$B$57</f>
        <v>914.120636658525</v>
      </c>
      <c r="AA32" s="26" t="n">
        <f aca="false">AA26*INDEX(Annahmen!$B$58:$F$58,1,AA$4)*Annahmen!$B$57</f>
        <v>1969.75053069189</v>
      </c>
      <c r="AB32" s="26" t="n">
        <f aca="false">AB26*INDEX(Annahmen!$B$58:$F$58,1,AB$4)*Annahmen!$B$57</f>
        <v>2103.91492582525</v>
      </c>
      <c r="AC32" s="26" t="n">
        <f aca="false">AC26*INDEX(Annahmen!$B$58:$F$58,1,AC$4)*Annahmen!$B$57</f>
        <v>2235.56432636088</v>
      </c>
      <c r="AD32" s="26" t="n">
        <f aca="false">AD26*INDEX(Annahmen!$B$58:$F$58,1,AD$4)*Annahmen!$B$57</f>
        <v>2388.92501330387</v>
      </c>
      <c r="AE32" s="26" t="n">
        <f aca="false">AE26*INDEX(Annahmen!$B$58:$F$58,1,AE$4)*Annahmen!$B$57</f>
        <v>2532.38335709685</v>
      </c>
      <c r="AF32" s="26" t="n">
        <f aca="false">AF26*INDEX(Annahmen!$B$58:$F$58,1,AF$4)*Annahmen!$B$57</f>
        <v>2673.16061474664</v>
      </c>
      <c r="AG32" s="26" t="n">
        <f aca="false">AG26*INDEX(Annahmen!$B$58:$F$58,1,AG$4)*Annahmen!$B$57</f>
        <v>2835.48638172126</v>
      </c>
      <c r="AH32" s="26" t="n">
        <f aca="false">AH26*INDEX(Annahmen!$B$58:$F$58,1,AH$4)*Annahmen!$B$57</f>
        <v>2987.75026982304</v>
      </c>
      <c r="AI32" s="26" t="n">
        <f aca="false">AI26*INDEX(Annahmen!$B$58:$F$58,1,AI$4)*Annahmen!$B$57</f>
        <v>3137.17670606608</v>
      </c>
      <c r="AJ32" s="26" t="n">
        <f aca="false">AJ26*INDEX(Annahmen!$B$58:$F$58,1,AJ$4)*Annahmen!$B$57</f>
        <v>3316.05627127957</v>
      </c>
      <c r="AK32" s="26" t="n">
        <f aca="false">AK26*INDEX(Annahmen!$B$58:$F$58,1,AK$4)*Annahmen!$B$57</f>
        <v>3482.22659472349</v>
      </c>
      <c r="AL32" s="26" t="n">
        <f aca="false">AL26*INDEX(Annahmen!$B$58:$F$58,1,AL$4)*Annahmen!$B$57</f>
        <v>3645.30541028663</v>
      </c>
    </row>
    <row r="33" customFormat="false" ht="15" hidden="false" customHeight="false" outlineLevel="0" collapsed="false">
      <c r="A33" s="5" t="s">
        <v>243</v>
      </c>
      <c r="C33" s="26" t="n">
        <f aca="false">C15*Annahmen!$B$59</f>
        <v>10.8</v>
      </c>
      <c r="D33" s="26" t="n">
        <f aca="false">D15*Annahmen!$B$59</f>
        <v>10.8</v>
      </c>
      <c r="E33" s="26" t="n">
        <f aca="false">E15*Annahmen!$B$59</f>
        <v>10.8</v>
      </c>
      <c r="F33" s="26" t="n">
        <f aca="false">F15*Annahmen!$B$59</f>
        <v>21.6</v>
      </c>
      <c r="G33" s="26" t="n">
        <f aca="false">G15*Annahmen!$B$59</f>
        <v>21.6</v>
      </c>
      <c r="H33" s="26" t="n">
        <f aca="false">H15*Annahmen!$B$59</f>
        <v>21.6</v>
      </c>
      <c r="I33" s="26" t="n">
        <f aca="false">I15*Annahmen!$B$59</f>
        <v>32.4</v>
      </c>
      <c r="J33" s="26" t="n">
        <f aca="false">J15*Annahmen!$B$59</f>
        <v>32.4</v>
      </c>
      <c r="K33" s="26" t="n">
        <f aca="false">K15*Annahmen!$B$59</f>
        <v>32.4</v>
      </c>
      <c r="L33" s="26" t="n">
        <f aca="false">L15*Annahmen!$B$59</f>
        <v>43.2</v>
      </c>
      <c r="M33" s="26" t="n">
        <f aca="false">M15*Annahmen!$B$59</f>
        <v>43.2</v>
      </c>
      <c r="N33" s="26" t="n">
        <f aca="false">N15*Annahmen!$B$59</f>
        <v>43.2</v>
      </c>
      <c r="O33" s="26" t="n">
        <f aca="false">O15*Annahmen!$B$59</f>
        <v>57.6</v>
      </c>
      <c r="P33" s="26" t="n">
        <f aca="false">P15*Annahmen!$B$59</f>
        <v>57.6</v>
      </c>
      <c r="Q33" s="26" t="n">
        <f aca="false">Q15*Annahmen!$B$59</f>
        <v>57.6</v>
      </c>
      <c r="R33" s="26" t="n">
        <f aca="false">R15*Annahmen!$B$59</f>
        <v>72</v>
      </c>
      <c r="S33" s="26" t="n">
        <f aca="false">S15*Annahmen!$B$59</f>
        <v>72</v>
      </c>
      <c r="T33" s="26" t="n">
        <f aca="false">T15*Annahmen!$B$59</f>
        <v>72</v>
      </c>
      <c r="U33" s="26" t="n">
        <f aca="false">U15*Annahmen!$B$59</f>
        <v>86.4</v>
      </c>
      <c r="V33" s="26" t="n">
        <f aca="false">V15*Annahmen!$B$59</f>
        <v>86.4</v>
      </c>
      <c r="W33" s="26" t="n">
        <f aca="false">W15*Annahmen!$B$59</f>
        <v>86.4</v>
      </c>
      <c r="X33" s="26" t="n">
        <f aca="false">X15*Annahmen!$B$59</f>
        <v>100.8</v>
      </c>
      <c r="Y33" s="26" t="n">
        <f aca="false">Y15*Annahmen!$B$59</f>
        <v>100.8</v>
      </c>
      <c r="Z33" s="26" t="n">
        <f aca="false">Z15*Annahmen!$B$59</f>
        <v>100.8</v>
      </c>
      <c r="AA33" s="26" t="n">
        <f aca="false">AA15*Annahmen!$B$59</f>
        <v>108</v>
      </c>
      <c r="AB33" s="26" t="n">
        <f aca="false">AB15*Annahmen!$B$59</f>
        <v>108</v>
      </c>
      <c r="AC33" s="26" t="n">
        <f aca="false">AC15*Annahmen!$B$59</f>
        <v>108</v>
      </c>
      <c r="AD33" s="26" t="n">
        <f aca="false">AD15*Annahmen!$B$59</f>
        <v>118.8</v>
      </c>
      <c r="AE33" s="26" t="n">
        <f aca="false">AE15*Annahmen!$B$59</f>
        <v>118.8</v>
      </c>
      <c r="AF33" s="26" t="n">
        <f aca="false">AF15*Annahmen!$B$59</f>
        <v>118.8</v>
      </c>
      <c r="AG33" s="26" t="n">
        <f aca="false">AG15*Annahmen!$B$59</f>
        <v>129.6</v>
      </c>
      <c r="AH33" s="26" t="n">
        <f aca="false">AH15*Annahmen!$B$59</f>
        <v>129.6</v>
      </c>
      <c r="AI33" s="26" t="n">
        <f aca="false">AI15*Annahmen!$B$59</f>
        <v>129.6</v>
      </c>
      <c r="AJ33" s="26" t="n">
        <f aca="false">AJ15*Annahmen!$B$59</f>
        <v>144</v>
      </c>
      <c r="AK33" s="26" t="n">
        <f aca="false">AK15*Annahmen!$B$59</f>
        <v>144</v>
      </c>
      <c r="AL33" s="26" t="n">
        <f aca="false">AL15*Annahmen!$B$59</f>
        <v>144</v>
      </c>
    </row>
    <row r="34" customFormat="false" ht="15" hidden="false" customHeight="false" outlineLevel="0" collapsed="false">
      <c r="A34" s="3" t="s">
        <v>244</v>
      </c>
      <c r="C34" s="30" t="n">
        <f aca="false">SUM(C30:C33)</f>
        <v>35.782318864</v>
      </c>
      <c r="D34" s="30" t="n">
        <f aca="false">SUM(D30:D33)</f>
        <v>44.358373794432</v>
      </c>
      <c r="E34" s="30" t="n">
        <f aca="false">SUM(E30:E33)</f>
        <v>52.7641749557628</v>
      </c>
      <c r="F34" s="30" t="n">
        <f aca="false">SUM(F30:F33)</f>
        <v>82.0012757961524</v>
      </c>
      <c r="G34" s="30" t="n">
        <f aca="false">SUM(G30:G33)</f>
        <v>98.9485047029021</v>
      </c>
      <c r="H34" s="30" t="n">
        <f aca="false">SUM(H30:H33)</f>
        <v>115.559715534078</v>
      </c>
      <c r="I34" s="30" t="n">
        <f aca="false">SUM(I30:I33)</f>
        <v>152.840122752667</v>
      </c>
      <c r="J34" s="30" t="n">
        <f aca="false">SUM(J30:J33)</f>
        <v>177.672127422594</v>
      </c>
      <c r="K34" s="30" t="n">
        <f aca="false">SUM(K30:K33)</f>
        <v>202.013070017599</v>
      </c>
      <c r="L34" s="30" t="n">
        <f aca="false">SUM(L30:L33)</f>
        <v>246.871567771103</v>
      </c>
      <c r="M34" s="30" t="n">
        <f aca="false">SUM(M30:M33)</f>
        <v>279.133342828111</v>
      </c>
      <c r="N34" s="30" t="n">
        <f aca="false">SUM(N30:N33)</f>
        <v>310.758977151823</v>
      </c>
      <c r="O34" s="30" t="n">
        <f aca="false">SUM(O30:O33)</f>
        <v>677.347065074864</v>
      </c>
      <c r="P34" s="30" t="n">
        <f aca="false">SUM(P30:P33)</f>
        <v>759.430244998065</v>
      </c>
      <c r="Q34" s="30" t="n">
        <f aca="false">SUM(Q30:Q33)</f>
        <v>839.926375863148</v>
      </c>
      <c r="R34" s="30" t="n">
        <f aca="false">SUM(R30:R33)</f>
        <v>962.982524284875</v>
      </c>
      <c r="S34" s="30" t="n">
        <f aca="false">SUM(S30:S33)</f>
        <v>1063.35563503587</v>
      </c>
      <c r="T34" s="30" t="n">
        <f aca="false">SUM(T30:T33)</f>
        <v>1161.79272723652</v>
      </c>
      <c r="U34" s="30" t="n">
        <f aca="false">SUM(U30:U33)</f>
        <v>1302.44830658979</v>
      </c>
      <c r="V34" s="30" t="n">
        <f aca="false">SUM(V30:V33)</f>
        <v>1420.08658280893</v>
      </c>
      <c r="W34" s="30" t="n">
        <f aca="false">SUM(W30:W33)</f>
        <v>1535.46167019018</v>
      </c>
      <c r="X34" s="30" t="n">
        <f aca="false">SUM(X30:X33)</f>
        <v>1692.73500411414</v>
      </c>
      <c r="Y34" s="30" t="n">
        <f aca="false">SUM(Y30:Y33)</f>
        <v>1826.67756262681</v>
      </c>
      <c r="Z34" s="30" t="n">
        <f aca="false">SUM(Z30:Z33)</f>
        <v>1958.05007105574</v>
      </c>
      <c r="AA34" s="30" t="n">
        <f aca="false">SUM(AA30:AA33)</f>
        <v>3093.8392795937</v>
      </c>
      <c r="AB34" s="30" t="n">
        <f aca="false">SUM(AB30:AB33)</f>
        <v>3298.7923889895</v>
      </c>
      <c r="AC34" s="30" t="n">
        <f aca="false">SUM(AC30:AC33)</f>
        <v>3499.85467315202</v>
      </c>
      <c r="AD34" s="30" t="n">
        <f aca="false">SUM(AD30:AD33)</f>
        <v>3742.28007762053</v>
      </c>
      <c r="AE34" s="30" t="n">
        <f aca="false">SUM(AE30:AE33)</f>
        <v>3961.35929218473</v>
      </c>
      <c r="AF34" s="30" t="n">
        <f aca="false">SUM(AF30:AF33)</f>
        <v>4176.29231433772</v>
      </c>
      <c r="AG34" s="30" t="n">
        <f aca="false">SUM(AG30:AG33)</f>
        <v>4432.33825167873</v>
      </c>
      <c r="AH34" s="30" t="n">
        <f aca="false">SUM(AH30:AH33)</f>
        <v>4664.79284074239</v>
      </c>
      <c r="AI34" s="30" t="n">
        <f aca="false">SUM(AI30:AI33)</f>
        <v>4892.86101324534</v>
      </c>
      <c r="AJ34" s="30" t="n">
        <f aca="false">SUM(AJ30:AJ33)</f>
        <v>5176.86384781072</v>
      </c>
      <c r="AK34" s="30" t="n">
        <f aca="false">SUM(AK30:AK33)</f>
        <v>5430.50516694185</v>
      </c>
      <c r="AL34" s="30" t="n">
        <f aca="false">SUM(AL30:AL33)</f>
        <v>5679.36827761242</v>
      </c>
    </row>
    <row r="35" customFormat="false" ht="15" hidden="false" customHeight="false" outlineLevel="0" collapsed="false">
      <c r="A35" s="3" t="s">
        <v>245</v>
      </c>
      <c r="C35" s="30" t="n">
        <f aca="false">C26-C34</f>
        <v>1003.766289136</v>
      </c>
      <c r="D35" s="30" t="n">
        <f aca="false">D26-D34</f>
        <v>1318.15663300957</v>
      </c>
      <c r="E35" s="30" t="n">
        <f aca="false">E26-E34</f>
        <v>1626.53847299959</v>
      </c>
      <c r="F35" s="30" t="n">
        <f aca="false">F26-F34</f>
        <v>2391.51514583983</v>
      </c>
      <c r="G35" s="30" t="n">
        <f aca="false">G26-G34</f>
        <v>3013.03563628473</v>
      </c>
      <c r="H35" s="30" t="n">
        <f aca="false">H26-H34</f>
        <v>3622.69224599315</v>
      </c>
      <c r="I35" s="30" t="n">
        <f aca="false">I26-I34</f>
        <v>4683.21278691899</v>
      </c>
      <c r="J35" s="30" t="n">
        <f aca="false">J26-J34</f>
        <v>5594.66781668836</v>
      </c>
      <c r="K35" s="30" t="n">
        <f aca="false">K26-K34</f>
        <v>6488.76838021735</v>
      </c>
      <c r="L35" s="30" t="n">
        <f aca="false">L26-L34</f>
        <v>7828.3582739138</v>
      </c>
      <c r="M35" s="30" t="n">
        <f aca="false">M26-M34</f>
        <v>9013.62134999555</v>
      </c>
      <c r="N35" s="30" t="n">
        <f aca="false">N26-N34</f>
        <v>10176.3793252305</v>
      </c>
      <c r="O35" s="30" t="n">
        <f aca="false">O26-O34</f>
        <v>11626.1549973318</v>
      </c>
      <c r="P35" s="30" t="n">
        <f aca="false">P26-P34</f>
        <v>13138.4937129485</v>
      </c>
      <c r="Q35" s="30" t="n">
        <f aca="false">Q26-Q34</f>
        <v>14622.172932733</v>
      </c>
      <c r="R35" s="30" t="n">
        <f aca="false">R26-R34</f>
        <v>16678.3164597564</v>
      </c>
      <c r="S35" s="30" t="n">
        <f aca="false">S26-S34</f>
        <v>18528.3913570274</v>
      </c>
      <c r="T35" s="30" t="n">
        <f aca="false">T26-T34</f>
        <v>20343.4885788322</v>
      </c>
      <c r="U35" s="30" t="n">
        <f aca="false">U26-U34</f>
        <v>22724.8638577747</v>
      </c>
      <c r="V35" s="30" t="n">
        <f aca="false">V26-V34</f>
        <v>24894.1131568804</v>
      </c>
      <c r="W35" s="30" t="n">
        <f aca="false">W26-W34</f>
        <v>27022.4533759419</v>
      </c>
      <c r="X35" s="30" t="n">
        <f aca="false">X26-X34</f>
        <v>29711.2633115994</v>
      </c>
      <c r="Y35" s="30" t="n">
        <f aca="false">Y26-Y34</f>
        <v>32182.2591805744</v>
      </c>
      <c r="Z35" s="30" t="n">
        <f aca="false">Z26-Z34</f>
        <v>34606.7753952853</v>
      </c>
      <c r="AA35" s="30" t="n">
        <f aca="false">AA26-AA34</f>
        <v>36301.171334244</v>
      </c>
      <c r="AB35" s="30" t="n">
        <f aca="false">AB26-AB34</f>
        <v>38779.5061275154</v>
      </c>
      <c r="AC35" s="30" t="n">
        <f aca="false">AC26-AC34</f>
        <v>41211.4318540656</v>
      </c>
      <c r="AD35" s="30" t="n">
        <f aca="false">AD26-AD34</f>
        <v>44036.2201884569</v>
      </c>
      <c r="AE35" s="30" t="n">
        <f aca="false">AE26-AE34</f>
        <v>46686.3078497522</v>
      </c>
      <c r="AF35" s="30" t="n">
        <f aca="false">AF26-AF34</f>
        <v>49286.919980595</v>
      </c>
      <c r="AG35" s="30" t="n">
        <f aca="false">AG26-AG34</f>
        <v>52277.3893827465</v>
      </c>
      <c r="AH35" s="30" t="n">
        <f aca="false">AH26-AH34</f>
        <v>55090.2125557184</v>
      </c>
      <c r="AI35" s="30" t="n">
        <f aca="false">AI26-AI34</f>
        <v>57850.6731080763</v>
      </c>
      <c r="AJ35" s="30" t="n">
        <f aca="false">AJ26-AJ34</f>
        <v>61144.2615777806</v>
      </c>
      <c r="AK35" s="30" t="n">
        <f aca="false">AK26-AK34</f>
        <v>64214.026727528</v>
      </c>
      <c r="AL35" s="30" t="n">
        <f aca="false">AL26-AL34</f>
        <v>67226.7399281201</v>
      </c>
    </row>
    <row r="36" customFormat="false" ht="15" hidden="false" customHeight="false" outlineLevel="0" collapsed="false">
      <c r="A36" s="19" t="s">
        <v>246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customFormat="false" ht="15" hidden="false" customHeight="false" outlineLevel="0" collapsed="false">
      <c r="A37" s="5" t="s">
        <v>247</v>
      </c>
      <c r="C37" s="26" t="n">
        <f aca="false">INDEX(Annahmen!$B$90:$F$90,1,C$4)*Annahmen!$B$91</f>
        <v>2500</v>
      </c>
      <c r="D37" s="26" t="n">
        <f aca="false">INDEX(Annahmen!$B$90:$F$90,1,D$4)*Annahmen!$B$91</f>
        <v>2500</v>
      </c>
      <c r="E37" s="26" t="n">
        <f aca="false">INDEX(Annahmen!$B$90:$F$90,1,E$4)*Annahmen!$B$91</f>
        <v>2500</v>
      </c>
      <c r="F37" s="26" t="n">
        <f aca="false">INDEX(Annahmen!$B$90:$F$90,1,F$4)*Annahmen!$B$91</f>
        <v>2500</v>
      </c>
      <c r="G37" s="26" t="n">
        <f aca="false">INDEX(Annahmen!$B$90:$F$90,1,G$4)*Annahmen!$B$91</f>
        <v>2500</v>
      </c>
      <c r="H37" s="26" t="n">
        <f aca="false">INDEX(Annahmen!$B$90:$F$90,1,H$4)*Annahmen!$B$91</f>
        <v>2500</v>
      </c>
      <c r="I37" s="26" t="n">
        <f aca="false">INDEX(Annahmen!$B$90:$F$90,1,I$4)*Annahmen!$B$91</f>
        <v>2500</v>
      </c>
      <c r="J37" s="26" t="n">
        <f aca="false">INDEX(Annahmen!$B$90:$F$90,1,J$4)*Annahmen!$B$91</f>
        <v>2500</v>
      </c>
      <c r="K37" s="26" t="n">
        <f aca="false">INDEX(Annahmen!$B$90:$F$90,1,K$4)*Annahmen!$B$91</f>
        <v>2500</v>
      </c>
      <c r="L37" s="26" t="n">
        <f aca="false">INDEX(Annahmen!$B$90:$F$90,1,L$4)*Annahmen!$B$91</f>
        <v>2500</v>
      </c>
      <c r="M37" s="26" t="n">
        <f aca="false">INDEX(Annahmen!$B$90:$F$90,1,M$4)*Annahmen!$B$91</f>
        <v>2500</v>
      </c>
      <c r="N37" s="26" t="n">
        <f aca="false">INDEX(Annahmen!$B$90:$F$90,1,N$4)*Annahmen!$B$91</f>
        <v>2500</v>
      </c>
      <c r="O37" s="26" t="n">
        <f aca="false">INDEX(Annahmen!$B$90:$F$90,1,O$4)*Annahmen!$B$91</f>
        <v>4000</v>
      </c>
      <c r="P37" s="26" t="n">
        <f aca="false">INDEX(Annahmen!$B$90:$F$90,1,P$4)*Annahmen!$B$91</f>
        <v>4000</v>
      </c>
      <c r="Q37" s="26" t="n">
        <f aca="false">INDEX(Annahmen!$B$90:$F$90,1,Q$4)*Annahmen!$B$91</f>
        <v>4000</v>
      </c>
      <c r="R37" s="26" t="n">
        <f aca="false">INDEX(Annahmen!$B$90:$F$90,1,R$4)*Annahmen!$B$91</f>
        <v>4000</v>
      </c>
      <c r="S37" s="26" t="n">
        <f aca="false">INDEX(Annahmen!$B$90:$F$90,1,S$4)*Annahmen!$B$91</f>
        <v>4000</v>
      </c>
      <c r="T37" s="26" t="n">
        <f aca="false">INDEX(Annahmen!$B$90:$F$90,1,T$4)*Annahmen!$B$91</f>
        <v>4000</v>
      </c>
      <c r="U37" s="26" t="n">
        <f aca="false">INDEX(Annahmen!$B$90:$F$90,1,U$4)*Annahmen!$B$91</f>
        <v>4000</v>
      </c>
      <c r="V37" s="26" t="n">
        <f aca="false">INDEX(Annahmen!$B$90:$F$90,1,V$4)*Annahmen!$B$91</f>
        <v>4000</v>
      </c>
      <c r="W37" s="26" t="n">
        <f aca="false">INDEX(Annahmen!$B$90:$F$90,1,W$4)*Annahmen!$B$91</f>
        <v>4000</v>
      </c>
      <c r="X37" s="26" t="n">
        <f aca="false">INDEX(Annahmen!$B$90:$F$90,1,X$4)*Annahmen!$B$91</f>
        <v>4000</v>
      </c>
      <c r="Y37" s="26" t="n">
        <f aca="false">INDEX(Annahmen!$B$90:$F$90,1,Y$4)*Annahmen!$B$91</f>
        <v>4000</v>
      </c>
      <c r="Z37" s="26" t="n">
        <f aca="false">INDEX(Annahmen!$B$90:$F$90,1,Z$4)*Annahmen!$B$91</f>
        <v>4000</v>
      </c>
      <c r="AA37" s="26" t="n">
        <f aca="false">INDEX(Annahmen!$B$90:$F$90,1,AA$4)*Annahmen!$B$91</f>
        <v>5500</v>
      </c>
      <c r="AB37" s="26" t="n">
        <f aca="false">INDEX(Annahmen!$B$90:$F$90,1,AB$4)*Annahmen!$B$91</f>
        <v>5500</v>
      </c>
      <c r="AC37" s="26" t="n">
        <f aca="false">INDEX(Annahmen!$B$90:$F$90,1,AC$4)*Annahmen!$B$91</f>
        <v>5500</v>
      </c>
      <c r="AD37" s="26" t="n">
        <f aca="false">INDEX(Annahmen!$B$90:$F$90,1,AD$4)*Annahmen!$B$91</f>
        <v>5500</v>
      </c>
      <c r="AE37" s="26" t="n">
        <f aca="false">INDEX(Annahmen!$B$90:$F$90,1,AE$4)*Annahmen!$B$91</f>
        <v>5500</v>
      </c>
      <c r="AF37" s="26" t="n">
        <f aca="false">INDEX(Annahmen!$B$90:$F$90,1,AF$4)*Annahmen!$B$91</f>
        <v>5500</v>
      </c>
      <c r="AG37" s="26" t="n">
        <f aca="false">INDEX(Annahmen!$B$90:$F$90,1,AG$4)*Annahmen!$B$91</f>
        <v>5500</v>
      </c>
      <c r="AH37" s="26" t="n">
        <f aca="false">INDEX(Annahmen!$B$90:$F$90,1,AH$4)*Annahmen!$B$91</f>
        <v>5500</v>
      </c>
      <c r="AI37" s="26" t="n">
        <f aca="false">INDEX(Annahmen!$B$90:$F$90,1,AI$4)*Annahmen!$B$91</f>
        <v>5500</v>
      </c>
      <c r="AJ37" s="26" t="n">
        <f aca="false">INDEX(Annahmen!$B$90:$F$90,1,AJ$4)*Annahmen!$B$91</f>
        <v>5500</v>
      </c>
      <c r="AK37" s="26" t="n">
        <f aca="false">INDEX(Annahmen!$B$90:$F$90,1,AK$4)*Annahmen!$B$91</f>
        <v>5500</v>
      </c>
      <c r="AL37" s="26" t="n">
        <f aca="false">INDEX(Annahmen!$B$90:$F$90,1,AL$4)*Annahmen!$B$91</f>
        <v>5500</v>
      </c>
    </row>
    <row r="38" customFormat="false" ht="15" hidden="false" customHeight="false" outlineLevel="0" collapsed="false">
      <c r="A38" s="5" t="s">
        <v>163</v>
      </c>
      <c r="C38" s="26" t="n">
        <f aca="false">IF(C$2&gt;=Annahmen!$C$94,Annahmen!$D$94*(1+Annahmen!$B$92)^(C$4-1)*Annahmen!$E$94,0)</f>
        <v>0</v>
      </c>
      <c r="D38" s="26" t="n">
        <f aca="false">IF(D$2&gt;=Annahmen!$C$94,Annahmen!$D$94*(1+Annahmen!$B$92)^(D$4-1)*Annahmen!$E$94,0)</f>
        <v>0</v>
      </c>
      <c r="E38" s="26" t="n">
        <f aca="false">IF(E$2&gt;=Annahmen!$C$94,Annahmen!$D$94*(1+Annahmen!$B$92)^(E$4-1)*Annahmen!$E$94,0)</f>
        <v>0</v>
      </c>
      <c r="F38" s="26" t="n">
        <f aca="false">IF(F$2&gt;=Annahmen!$C$94,Annahmen!$D$94*(1+Annahmen!$B$92)^(F$4-1)*Annahmen!$E$94,0)</f>
        <v>0</v>
      </c>
      <c r="G38" s="26" t="n">
        <f aca="false">IF(G$2&gt;=Annahmen!$C$94,Annahmen!$D$94*(1+Annahmen!$B$92)^(G$4-1)*Annahmen!$E$94,0)</f>
        <v>0</v>
      </c>
      <c r="H38" s="26" t="n">
        <f aca="false">IF(H$2&gt;=Annahmen!$C$94,Annahmen!$D$94*(1+Annahmen!$B$92)^(H$4-1)*Annahmen!$E$94,0)</f>
        <v>0</v>
      </c>
      <c r="I38" s="26" t="n">
        <f aca="false">IF(I$2&gt;=Annahmen!$C$94,Annahmen!$D$94*(1+Annahmen!$B$92)^(I$4-1)*Annahmen!$E$94,0)</f>
        <v>4598</v>
      </c>
      <c r="J38" s="26" t="n">
        <f aca="false">IF(J$2&gt;=Annahmen!$C$94,Annahmen!$D$94*(1+Annahmen!$B$92)^(J$4-1)*Annahmen!$E$94,0)</f>
        <v>4598</v>
      </c>
      <c r="K38" s="26" t="n">
        <f aca="false">IF(K$2&gt;=Annahmen!$C$94,Annahmen!$D$94*(1+Annahmen!$B$92)^(K$4-1)*Annahmen!$E$94,0)</f>
        <v>4598</v>
      </c>
      <c r="L38" s="26" t="n">
        <f aca="false">IF(L$2&gt;=Annahmen!$C$94,Annahmen!$D$94*(1+Annahmen!$B$92)^(L$4-1)*Annahmen!$E$94,0)</f>
        <v>4598</v>
      </c>
      <c r="M38" s="26" t="n">
        <f aca="false">IF(M$2&gt;=Annahmen!$C$94,Annahmen!$D$94*(1+Annahmen!$B$92)^(M$4-1)*Annahmen!$E$94,0)</f>
        <v>4598</v>
      </c>
      <c r="N38" s="26" t="n">
        <f aca="false">IF(N$2&gt;=Annahmen!$C$94,Annahmen!$D$94*(1+Annahmen!$B$92)^(N$4-1)*Annahmen!$E$94,0)</f>
        <v>4598</v>
      </c>
      <c r="O38" s="26" t="n">
        <f aca="false">IF(O$2&gt;=Annahmen!$C$94,Annahmen!$D$94*(1+Annahmen!$B$92)^(O$4-1)*Annahmen!$E$94,0)</f>
        <v>4735.94</v>
      </c>
      <c r="P38" s="26" t="n">
        <f aca="false">IF(P$2&gt;=Annahmen!$C$94,Annahmen!$D$94*(1+Annahmen!$B$92)^(P$4-1)*Annahmen!$E$94,0)</f>
        <v>4735.94</v>
      </c>
      <c r="Q38" s="26" t="n">
        <f aca="false">IF(Q$2&gt;=Annahmen!$C$94,Annahmen!$D$94*(1+Annahmen!$B$92)^(Q$4-1)*Annahmen!$E$94,0)</f>
        <v>4735.94</v>
      </c>
      <c r="R38" s="26" t="n">
        <f aca="false">IF(R$2&gt;=Annahmen!$C$94,Annahmen!$D$94*(1+Annahmen!$B$92)^(R$4-1)*Annahmen!$E$94,0)</f>
        <v>4735.94</v>
      </c>
      <c r="S38" s="26" t="n">
        <f aca="false">IF(S$2&gt;=Annahmen!$C$94,Annahmen!$D$94*(1+Annahmen!$B$92)^(S$4-1)*Annahmen!$E$94,0)</f>
        <v>4735.94</v>
      </c>
      <c r="T38" s="26" t="n">
        <f aca="false">IF(T$2&gt;=Annahmen!$C$94,Annahmen!$D$94*(1+Annahmen!$B$92)^(T$4-1)*Annahmen!$E$94,0)</f>
        <v>4735.94</v>
      </c>
      <c r="U38" s="26" t="n">
        <f aca="false">IF(U$2&gt;=Annahmen!$C$94,Annahmen!$D$94*(1+Annahmen!$B$92)^(U$4-1)*Annahmen!$E$94,0)</f>
        <v>4735.94</v>
      </c>
      <c r="V38" s="26" t="n">
        <f aca="false">IF(V$2&gt;=Annahmen!$C$94,Annahmen!$D$94*(1+Annahmen!$B$92)^(V$4-1)*Annahmen!$E$94,0)</f>
        <v>4735.94</v>
      </c>
      <c r="W38" s="26" t="n">
        <f aca="false">IF(W$2&gt;=Annahmen!$C$94,Annahmen!$D$94*(1+Annahmen!$B$92)^(W$4-1)*Annahmen!$E$94,0)</f>
        <v>4735.94</v>
      </c>
      <c r="X38" s="26" t="n">
        <f aca="false">IF(X$2&gt;=Annahmen!$C$94,Annahmen!$D$94*(1+Annahmen!$B$92)^(X$4-1)*Annahmen!$E$94,0)</f>
        <v>4735.94</v>
      </c>
      <c r="Y38" s="26" t="n">
        <f aca="false">IF(Y$2&gt;=Annahmen!$C$94,Annahmen!$D$94*(1+Annahmen!$B$92)^(Y$4-1)*Annahmen!$E$94,0)</f>
        <v>4735.94</v>
      </c>
      <c r="Z38" s="26" t="n">
        <f aca="false">IF(Z$2&gt;=Annahmen!$C$94,Annahmen!$D$94*(1+Annahmen!$B$92)^(Z$4-1)*Annahmen!$E$94,0)</f>
        <v>4735.94</v>
      </c>
      <c r="AA38" s="26" t="n">
        <f aca="false">IF(AA$2&gt;=Annahmen!$C$94,Annahmen!$D$94*(1+Annahmen!$B$92)^(AA$4-1)*Annahmen!$E$94,0)</f>
        <v>4878.0182</v>
      </c>
      <c r="AB38" s="26" t="n">
        <f aca="false">IF(AB$2&gt;=Annahmen!$C$94,Annahmen!$D$94*(1+Annahmen!$B$92)^(AB$4-1)*Annahmen!$E$94,0)</f>
        <v>4878.0182</v>
      </c>
      <c r="AC38" s="26" t="n">
        <f aca="false">IF(AC$2&gt;=Annahmen!$C$94,Annahmen!$D$94*(1+Annahmen!$B$92)^(AC$4-1)*Annahmen!$E$94,0)</f>
        <v>4878.0182</v>
      </c>
      <c r="AD38" s="26" t="n">
        <f aca="false">IF(AD$2&gt;=Annahmen!$C$94,Annahmen!$D$94*(1+Annahmen!$B$92)^(AD$4-1)*Annahmen!$E$94,0)</f>
        <v>4878.0182</v>
      </c>
      <c r="AE38" s="26" t="n">
        <f aca="false">IF(AE$2&gt;=Annahmen!$C$94,Annahmen!$D$94*(1+Annahmen!$B$92)^(AE$4-1)*Annahmen!$E$94,0)</f>
        <v>4878.0182</v>
      </c>
      <c r="AF38" s="26" t="n">
        <f aca="false">IF(AF$2&gt;=Annahmen!$C$94,Annahmen!$D$94*(1+Annahmen!$B$92)^(AF$4-1)*Annahmen!$E$94,0)</f>
        <v>4878.0182</v>
      </c>
      <c r="AG38" s="26" t="n">
        <f aca="false">IF(AG$2&gt;=Annahmen!$C$94,Annahmen!$D$94*(1+Annahmen!$B$92)^(AG$4-1)*Annahmen!$E$94,0)</f>
        <v>4878.0182</v>
      </c>
      <c r="AH38" s="26" t="n">
        <f aca="false">IF(AH$2&gt;=Annahmen!$C$94,Annahmen!$D$94*(1+Annahmen!$B$92)^(AH$4-1)*Annahmen!$E$94,0)</f>
        <v>4878.0182</v>
      </c>
      <c r="AI38" s="26" t="n">
        <f aca="false">IF(AI$2&gt;=Annahmen!$C$94,Annahmen!$D$94*(1+Annahmen!$B$92)^(AI$4-1)*Annahmen!$E$94,0)</f>
        <v>4878.0182</v>
      </c>
      <c r="AJ38" s="26" t="n">
        <f aca="false">IF(AJ$2&gt;=Annahmen!$C$94,Annahmen!$D$94*(1+Annahmen!$B$92)^(AJ$4-1)*Annahmen!$E$94,0)</f>
        <v>4878.0182</v>
      </c>
      <c r="AK38" s="26" t="n">
        <f aca="false">IF(AK$2&gt;=Annahmen!$C$94,Annahmen!$D$94*(1+Annahmen!$B$92)^(AK$4-1)*Annahmen!$E$94,0)</f>
        <v>4878.0182</v>
      </c>
      <c r="AL38" s="26" t="n">
        <f aca="false">IF(AL$2&gt;=Annahmen!$C$94,Annahmen!$D$94*(1+Annahmen!$B$92)^(AL$4-1)*Annahmen!$E$94,0)</f>
        <v>4878.0182</v>
      </c>
    </row>
    <row r="39" customFormat="false" ht="15" hidden="false" customHeight="false" outlineLevel="0" collapsed="false">
      <c r="A39" s="5" t="s">
        <v>166</v>
      </c>
      <c r="C39" s="26" t="n">
        <f aca="false">IF(C$2&gt;=Annahmen!$C$95,Annahmen!$D$95*(1+Annahmen!$B$92)^(C$4-1)*Annahmen!$E$95,0)</f>
        <v>0</v>
      </c>
      <c r="D39" s="26" t="n">
        <f aca="false">IF(D$2&gt;=Annahmen!$C$95,Annahmen!$D$95*(1+Annahmen!$B$92)^(D$4-1)*Annahmen!$E$95,0)</f>
        <v>0</v>
      </c>
      <c r="E39" s="26" t="n">
        <f aca="false">IF(E$2&gt;=Annahmen!$C$95,Annahmen!$D$95*(1+Annahmen!$B$92)^(E$4-1)*Annahmen!$E$95,0)</f>
        <v>0</v>
      </c>
      <c r="F39" s="26" t="n">
        <f aca="false">IF(F$2&gt;=Annahmen!$C$95,Annahmen!$D$95*(1+Annahmen!$B$92)^(F$4-1)*Annahmen!$E$95,0)</f>
        <v>0</v>
      </c>
      <c r="G39" s="26" t="n">
        <f aca="false">IF(G$2&gt;=Annahmen!$C$95,Annahmen!$D$95*(1+Annahmen!$B$92)^(G$4-1)*Annahmen!$E$95,0)</f>
        <v>0</v>
      </c>
      <c r="H39" s="26" t="n">
        <f aca="false">IF(H$2&gt;=Annahmen!$C$95,Annahmen!$D$95*(1+Annahmen!$B$92)^(H$4-1)*Annahmen!$E$95,0)</f>
        <v>0</v>
      </c>
      <c r="I39" s="26" t="n">
        <f aca="false">IF(I$2&gt;=Annahmen!$C$95,Annahmen!$D$95*(1+Annahmen!$B$92)^(I$4-1)*Annahmen!$E$95,0)</f>
        <v>0</v>
      </c>
      <c r="J39" s="26" t="n">
        <f aca="false">IF(J$2&gt;=Annahmen!$C$95,Annahmen!$D$95*(1+Annahmen!$B$92)^(J$4-1)*Annahmen!$E$95,0)</f>
        <v>0</v>
      </c>
      <c r="K39" s="26" t="n">
        <f aca="false">IF(K$2&gt;=Annahmen!$C$95,Annahmen!$D$95*(1+Annahmen!$B$92)^(K$4-1)*Annahmen!$E$95,0)</f>
        <v>0</v>
      </c>
      <c r="L39" s="26" t="n">
        <f aca="false">IF(L$2&gt;=Annahmen!$C$95,Annahmen!$D$95*(1+Annahmen!$B$92)^(L$4-1)*Annahmen!$E$95,0)</f>
        <v>6292</v>
      </c>
      <c r="M39" s="26" t="n">
        <f aca="false">IF(M$2&gt;=Annahmen!$C$95,Annahmen!$D$95*(1+Annahmen!$B$92)^(M$4-1)*Annahmen!$E$95,0)</f>
        <v>6292</v>
      </c>
      <c r="N39" s="26" t="n">
        <f aca="false">IF(N$2&gt;=Annahmen!$C$95,Annahmen!$D$95*(1+Annahmen!$B$92)^(N$4-1)*Annahmen!$E$95,0)</f>
        <v>6292</v>
      </c>
      <c r="O39" s="26" t="n">
        <f aca="false">IF(O$2&gt;=Annahmen!$C$95,Annahmen!$D$95*(1+Annahmen!$B$92)^(O$4-1)*Annahmen!$E$95,0)</f>
        <v>6480.76</v>
      </c>
      <c r="P39" s="26" t="n">
        <f aca="false">IF(P$2&gt;=Annahmen!$C$95,Annahmen!$D$95*(1+Annahmen!$B$92)^(P$4-1)*Annahmen!$E$95,0)</f>
        <v>6480.76</v>
      </c>
      <c r="Q39" s="26" t="n">
        <f aca="false">IF(Q$2&gt;=Annahmen!$C$95,Annahmen!$D$95*(1+Annahmen!$B$92)^(Q$4-1)*Annahmen!$E$95,0)</f>
        <v>6480.76</v>
      </c>
      <c r="R39" s="26" t="n">
        <f aca="false">IF(R$2&gt;=Annahmen!$C$95,Annahmen!$D$95*(1+Annahmen!$B$92)^(R$4-1)*Annahmen!$E$95,0)</f>
        <v>6480.76</v>
      </c>
      <c r="S39" s="26" t="n">
        <f aca="false">IF(S$2&gt;=Annahmen!$C$95,Annahmen!$D$95*(1+Annahmen!$B$92)^(S$4-1)*Annahmen!$E$95,0)</f>
        <v>6480.76</v>
      </c>
      <c r="T39" s="26" t="n">
        <f aca="false">IF(T$2&gt;=Annahmen!$C$95,Annahmen!$D$95*(1+Annahmen!$B$92)^(T$4-1)*Annahmen!$E$95,0)</f>
        <v>6480.76</v>
      </c>
      <c r="U39" s="26" t="n">
        <f aca="false">IF(U$2&gt;=Annahmen!$C$95,Annahmen!$D$95*(1+Annahmen!$B$92)^(U$4-1)*Annahmen!$E$95,0)</f>
        <v>6480.76</v>
      </c>
      <c r="V39" s="26" t="n">
        <f aca="false">IF(V$2&gt;=Annahmen!$C$95,Annahmen!$D$95*(1+Annahmen!$B$92)^(V$4-1)*Annahmen!$E$95,0)</f>
        <v>6480.76</v>
      </c>
      <c r="W39" s="26" t="n">
        <f aca="false">IF(W$2&gt;=Annahmen!$C$95,Annahmen!$D$95*(1+Annahmen!$B$92)^(W$4-1)*Annahmen!$E$95,0)</f>
        <v>6480.76</v>
      </c>
      <c r="X39" s="26" t="n">
        <f aca="false">IF(X$2&gt;=Annahmen!$C$95,Annahmen!$D$95*(1+Annahmen!$B$92)^(X$4-1)*Annahmen!$E$95,0)</f>
        <v>6480.76</v>
      </c>
      <c r="Y39" s="26" t="n">
        <f aca="false">IF(Y$2&gt;=Annahmen!$C$95,Annahmen!$D$95*(1+Annahmen!$B$92)^(Y$4-1)*Annahmen!$E$95,0)</f>
        <v>6480.76</v>
      </c>
      <c r="Z39" s="26" t="n">
        <f aca="false">IF(Z$2&gt;=Annahmen!$C$95,Annahmen!$D$95*(1+Annahmen!$B$92)^(Z$4-1)*Annahmen!$E$95,0)</f>
        <v>6480.76</v>
      </c>
      <c r="AA39" s="26" t="n">
        <f aca="false">IF(AA$2&gt;=Annahmen!$C$95,Annahmen!$D$95*(1+Annahmen!$B$92)^(AA$4-1)*Annahmen!$E$95,0)</f>
        <v>6675.1828</v>
      </c>
      <c r="AB39" s="26" t="n">
        <f aca="false">IF(AB$2&gt;=Annahmen!$C$95,Annahmen!$D$95*(1+Annahmen!$B$92)^(AB$4-1)*Annahmen!$E$95,0)</f>
        <v>6675.1828</v>
      </c>
      <c r="AC39" s="26" t="n">
        <f aca="false">IF(AC$2&gt;=Annahmen!$C$95,Annahmen!$D$95*(1+Annahmen!$B$92)^(AC$4-1)*Annahmen!$E$95,0)</f>
        <v>6675.1828</v>
      </c>
      <c r="AD39" s="26" t="n">
        <f aca="false">IF(AD$2&gt;=Annahmen!$C$95,Annahmen!$D$95*(1+Annahmen!$B$92)^(AD$4-1)*Annahmen!$E$95,0)</f>
        <v>6675.1828</v>
      </c>
      <c r="AE39" s="26" t="n">
        <f aca="false">IF(AE$2&gt;=Annahmen!$C$95,Annahmen!$D$95*(1+Annahmen!$B$92)^(AE$4-1)*Annahmen!$E$95,0)</f>
        <v>6675.1828</v>
      </c>
      <c r="AF39" s="26" t="n">
        <f aca="false">IF(AF$2&gt;=Annahmen!$C$95,Annahmen!$D$95*(1+Annahmen!$B$92)^(AF$4-1)*Annahmen!$E$95,0)</f>
        <v>6675.1828</v>
      </c>
      <c r="AG39" s="26" t="n">
        <f aca="false">IF(AG$2&gt;=Annahmen!$C$95,Annahmen!$D$95*(1+Annahmen!$B$92)^(AG$4-1)*Annahmen!$E$95,0)</f>
        <v>6675.1828</v>
      </c>
      <c r="AH39" s="26" t="n">
        <f aca="false">IF(AH$2&gt;=Annahmen!$C$95,Annahmen!$D$95*(1+Annahmen!$B$92)^(AH$4-1)*Annahmen!$E$95,0)</f>
        <v>6675.1828</v>
      </c>
      <c r="AI39" s="26" t="n">
        <f aca="false">IF(AI$2&gt;=Annahmen!$C$95,Annahmen!$D$95*(1+Annahmen!$B$92)^(AI$4-1)*Annahmen!$E$95,0)</f>
        <v>6675.1828</v>
      </c>
      <c r="AJ39" s="26" t="n">
        <f aca="false">IF(AJ$2&gt;=Annahmen!$C$95,Annahmen!$D$95*(1+Annahmen!$B$92)^(AJ$4-1)*Annahmen!$E$95,0)</f>
        <v>6675.1828</v>
      </c>
      <c r="AK39" s="26" t="n">
        <f aca="false">IF(AK$2&gt;=Annahmen!$C$95,Annahmen!$D$95*(1+Annahmen!$B$92)^(AK$4-1)*Annahmen!$E$95,0)</f>
        <v>6675.1828</v>
      </c>
      <c r="AL39" s="26" t="n">
        <f aca="false">IF(AL$2&gt;=Annahmen!$C$95,Annahmen!$D$95*(1+Annahmen!$B$92)^(AL$4-1)*Annahmen!$E$95,0)</f>
        <v>6675.1828</v>
      </c>
    </row>
    <row r="40" customFormat="false" ht="15" hidden="false" customHeight="false" outlineLevel="0" collapsed="false">
      <c r="A40" s="5" t="s">
        <v>168</v>
      </c>
      <c r="C40" s="26" t="n">
        <f aca="false">IF(C$2&gt;=Annahmen!$C$96,Annahmen!$D$96*(1+Annahmen!$B$92)^(C$4-1)*Annahmen!$E$96,0)</f>
        <v>0</v>
      </c>
      <c r="D40" s="26" t="n">
        <f aca="false">IF(D$2&gt;=Annahmen!$C$96,Annahmen!$D$96*(1+Annahmen!$B$92)^(D$4-1)*Annahmen!$E$96,0)</f>
        <v>0</v>
      </c>
      <c r="E40" s="26" t="n">
        <f aca="false">IF(E$2&gt;=Annahmen!$C$96,Annahmen!$D$96*(1+Annahmen!$B$92)^(E$4-1)*Annahmen!$E$96,0)</f>
        <v>0</v>
      </c>
      <c r="F40" s="26" t="n">
        <f aca="false">IF(F$2&gt;=Annahmen!$C$96,Annahmen!$D$96*(1+Annahmen!$B$92)^(F$4-1)*Annahmen!$E$96,0)</f>
        <v>0</v>
      </c>
      <c r="G40" s="26" t="n">
        <f aca="false">IF(G$2&gt;=Annahmen!$C$96,Annahmen!$D$96*(1+Annahmen!$B$92)^(G$4-1)*Annahmen!$E$96,0)</f>
        <v>0</v>
      </c>
      <c r="H40" s="26" t="n">
        <f aca="false">IF(H$2&gt;=Annahmen!$C$96,Annahmen!$D$96*(1+Annahmen!$B$92)^(H$4-1)*Annahmen!$E$96,0)</f>
        <v>0</v>
      </c>
      <c r="I40" s="26" t="n">
        <f aca="false">IF(I$2&gt;=Annahmen!$C$96,Annahmen!$D$96*(1+Annahmen!$B$92)^(I$4-1)*Annahmen!$E$96,0)</f>
        <v>0</v>
      </c>
      <c r="J40" s="26" t="n">
        <f aca="false">IF(J$2&gt;=Annahmen!$C$96,Annahmen!$D$96*(1+Annahmen!$B$92)^(J$4-1)*Annahmen!$E$96,0)</f>
        <v>0</v>
      </c>
      <c r="K40" s="26" t="n">
        <f aca="false">IF(K$2&gt;=Annahmen!$C$96,Annahmen!$D$96*(1+Annahmen!$B$92)^(K$4-1)*Annahmen!$E$96,0)</f>
        <v>0</v>
      </c>
      <c r="L40" s="26" t="n">
        <f aca="false">IF(L$2&gt;=Annahmen!$C$96,Annahmen!$D$96*(1+Annahmen!$B$92)^(L$4-1)*Annahmen!$E$96,0)</f>
        <v>0</v>
      </c>
      <c r="M40" s="26" t="n">
        <f aca="false">IF(M$2&gt;=Annahmen!$C$96,Annahmen!$D$96*(1+Annahmen!$B$92)^(M$4-1)*Annahmen!$E$96,0)</f>
        <v>0</v>
      </c>
      <c r="N40" s="26" t="n">
        <f aca="false">IF(N$2&gt;=Annahmen!$C$96,Annahmen!$D$96*(1+Annahmen!$B$92)^(N$4-1)*Annahmen!$E$96,0)</f>
        <v>0</v>
      </c>
      <c r="O40" s="26" t="n">
        <f aca="false">IF(O$2&gt;=Annahmen!$C$96,Annahmen!$D$96*(1+Annahmen!$B$92)^(O$4-1)*Annahmen!$E$96,0)</f>
        <v>5234.46</v>
      </c>
      <c r="P40" s="26" t="n">
        <f aca="false">IF(P$2&gt;=Annahmen!$C$96,Annahmen!$D$96*(1+Annahmen!$B$92)^(P$4-1)*Annahmen!$E$96,0)</f>
        <v>5234.46</v>
      </c>
      <c r="Q40" s="26" t="n">
        <f aca="false">IF(Q$2&gt;=Annahmen!$C$96,Annahmen!$D$96*(1+Annahmen!$B$92)^(Q$4-1)*Annahmen!$E$96,0)</f>
        <v>5234.46</v>
      </c>
      <c r="R40" s="26" t="n">
        <f aca="false">IF(R$2&gt;=Annahmen!$C$96,Annahmen!$D$96*(1+Annahmen!$B$92)^(R$4-1)*Annahmen!$E$96,0)</f>
        <v>5234.46</v>
      </c>
      <c r="S40" s="26" t="n">
        <f aca="false">IF(S$2&gt;=Annahmen!$C$96,Annahmen!$D$96*(1+Annahmen!$B$92)^(S$4-1)*Annahmen!$E$96,0)</f>
        <v>5234.46</v>
      </c>
      <c r="T40" s="26" t="n">
        <f aca="false">IF(T$2&gt;=Annahmen!$C$96,Annahmen!$D$96*(1+Annahmen!$B$92)^(T$4-1)*Annahmen!$E$96,0)</f>
        <v>5234.46</v>
      </c>
      <c r="U40" s="26" t="n">
        <f aca="false">IF(U$2&gt;=Annahmen!$C$96,Annahmen!$D$96*(1+Annahmen!$B$92)^(U$4-1)*Annahmen!$E$96,0)</f>
        <v>5234.46</v>
      </c>
      <c r="V40" s="26" t="n">
        <f aca="false">IF(V$2&gt;=Annahmen!$C$96,Annahmen!$D$96*(1+Annahmen!$B$92)^(V$4-1)*Annahmen!$E$96,0)</f>
        <v>5234.46</v>
      </c>
      <c r="W40" s="26" t="n">
        <f aca="false">IF(W$2&gt;=Annahmen!$C$96,Annahmen!$D$96*(1+Annahmen!$B$92)^(W$4-1)*Annahmen!$E$96,0)</f>
        <v>5234.46</v>
      </c>
      <c r="X40" s="26" t="n">
        <f aca="false">IF(X$2&gt;=Annahmen!$C$96,Annahmen!$D$96*(1+Annahmen!$B$92)^(X$4-1)*Annahmen!$E$96,0)</f>
        <v>5234.46</v>
      </c>
      <c r="Y40" s="26" t="n">
        <f aca="false">IF(Y$2&gt;=Annahmen!$C$96,Annahmen!$D$96*(1+Annahmen!$B$92)^(Y$4-1)*Annahmen!$E$96,0)</f>
        <v>5234.46</v>
      </c>
      <c r="Z40" s="26" t="n">
        <f aca="false">IF(Z$2&gt;=Annahmen!$C$96,Annahmen!$D$96*(1+Annahmen!$B$92)^(Z$4-1)*Annahmen!$E$96,0)</f>
        <v>5234.46</v>
      </c>
      <c r="AA40" s="26" t="n">
        <f aca="false">IF(AA$2&gt;=Annahmen!$C$96,Annahmen!$D$96*(1+Annahmen!$B$92)^(AA$4-1)*Annahmen!$E$96,0)</f>
        <v>5391.4938</v>
      </c>
      <c r="AB40" s="26" t="n">
        <f aca="false">IF(AB$2&gt;=Annahmen!$C$96,Annahmen!$D$96*(1+Annahmen!$B$92)^(AB$4-1)*Annahmen!$E$96,0)</f>
        <v>5391.4938</v>
      </c>
      <c r="AC40" s="26" t="n">
        <f aca="false">IF(AC$2&gt;=Annahmen!$C$96,Annahmen!$D$96*(1+Annahmen!$B$92)^(AC$4-1)*Annahmen!$E$96,0)</f>
        <v>5391.4938</v>
      </c>
      <c r="AD40" s="26" t="n">
        <f aca="false">IF(AD$2&gt;=Annahmen!$C$96,Annahmen!$D$96*(1+Annahmen!$B$92)^(AD$4-1)*Annahmen!$E$96,0)</f>
        <v>5391.4938</v>
      </c>
      <c r="AE40" s="26" t="n">
        <f aca="false">IF(AE$2&gt;=Annahmen!$C$96,Annahmen!$D$96*(1+Annahmen!$B$92)^(AE$4-1)*Annahmen!$E$96,0)</f>
        <v>5391.4938</v>
      </c>
      <c r="AF40" s="26" t="n">
        <f aca="false">IF(AF$2&gt;=Annahmen!$C$96,Annahmen!$D$96*(1+Annahmen!$B$92)^(AF$4-1)*Annahmen!$E$96,0)</f>
        <v>5391.4938</v>
      </c>
      <c r="AG40" s="26" t="n">
        <f aca="false">IF(AG$2&gt;=Annahmen!$C$96,Annahmen!$D$96*(1+Annahmen!$B$92)^(AG$4-1)*Annahmen!$E$96,0)</f>
        <v>5391.4938</v>
      </c>
      <c r="AH40" s="26" t="n">
        <f aca="false">IF(AH$2&gt;=Annahmen!$C$96,Annahmen!$D$96*(1+Annahmen!$B$92)^(AH$4-1)*Annahmen!$E$96,0)</f>
        <v>5391.4938</v>
      </c>
      <c r="AI40" s="26" t="n">
        <f aca="false">IF(AI$2&gt;=Annahmen!$C$96,Annahmen!$D$96*(1+Annahmen!$B$92)^(AI$4-1)*Annahmen!$E$96,0)</f>
        <v>5391.4938</v>
      </c>
      <c r="AJ40" s="26" t="n">
        <f aca="false">IF(AJ$2&gt;=Annahmen!$C$96,Annahmen!$D$96*(1+Annahmen!$B$92)^(AJ$4-1)*Annahmen!$E$96,0)</f>
        <v>5391.4938</v>
      </c>
      <c r="AK40" s="26" t="n">
        <f aca="false">IF(AK$2&gt;=Annahmen!$C$96,Annahmen!$D$96*(1+Annahmen!$B$92)^(AK$4-1)*Annahmen!$E$96,0)</f>
        <v>5391.4938</v>
      </c>
      <c r="AL40" s="26" t="n">
        <f aca="false">IF(AL$2&gt;=Annahmen!$C$96,Annahmen!$D$96*(1+Annahmen!$B$92)^(AL$4-1)*Annahmen!$E$96,0)</f>
        <v>5391.4938</v>
      </c>
    </row>
    <row r="41" customFormat="false" ht="15" hidden="false" customHeight="false" outlineLevel="0" collapsed="false">
      <c r="A41" s="5" t="s">
        <v>169</v>
      </c>
      <c r="C41" s="26" t="n">
        <f aca="false">IF(C$2&gt;=Annahmen!$C$97,Annahmen!$D$97*(1+Annahmen!$B$92)^(C$4-1)*Annahmen!$E$97,0)</f>
        <v>0</v>
      </c>
      <c r="D41" s="26" t="n">
        <f aca="false">IF(D$2&gt;=Annahmen!$C$97,Annahmen!$D$97*(1+Annahmen!$B$92)^(D$4-1)*Annahmen!$E$97,0)</f>
        <v>0</v>
      </c>
      <c r="E41" s="26" t="n">
        <f aca="false">IF(E$2&gt;=Annahmen!$C$97,Annahmen!$D$97*(1+Annahmen!$B$92)^(E$4-1)*Annahmen!$E$97,0)</f>
        <v>0</v>
      </c>
      <c r="F41" s="26" t="n">
        <f aca="false">IF(F$2&gt;=Annahmen!$C$97,Annahmen!$D$97*(1+Annahmen!$B$92)^(F$4-1)*Annahmen!$E$97,0)</f>
        <v>0</v>
      </c>
      <c r="G41" s="26" t="n">
        <f aca="false">IF(G$2&gt;=Annahmen!$C$97,Annahmen!$D$97*(1+Annahmen!$B$92)^(G$4-1)*Annahmen!$E$97,0)</f>
        <v>0</v>
      </c>
      <c r="H41" s="26" t="n">
        <f aca="false">IF(H$2&gt;=Annahmen!$C$97,Annahmen!$D$97*(1+Annahmen!$B$92)^(H$4-1)*Annahmen!$E$97,0)</f>
        <v>0</v>
      </c>
      <c r="I41" s="26" t="n">
        <f aca="false">IF(I$2&gt;=Annahmen!$C$97,Annahmen!$D$97*(1+Annahmen!$B$92)^(I$4-1)*Annahmen!$E$97,0)</f>
        <v>0</v>
      </c>
      <c r="J41" s="26" t="n">
        <f aca="false">IF(J$2&gt;=Annahmen!$C$97,Annahmen!$D$97*(1+Annahmen!$B$92)^(J$4-1)*Annahmen!$E$97,0)</f>
        <v>0</v>
      </c>
      <c r="K41" s="26" t="n">
        <f aca="false">IF(K$2&gt;=Annahmen!$C$97,Annahmen!$D$97*(1+Annahmen!$B$92)^(K$4-1)*Annahmen!$E$97,0)</f>
        <v>0</v>
      </c>
      <c r="L41" s="26" t="n">
        <f aca="false">IF(L$2&gt;=Annahmen!$C$97,Annahmen!$D$97*(1+Annahmen!$B$92)^(L$4-1)*Annahmen!$E$97,0)</f>
        <v>0</v>
      </c>
      <c r="M41" s="26" t="n">
        <f aca="false">IF(M$2&gt;=Annahmen!$C$97,Annahmen!$D$97*(1+Annahmen!$B$92)^(M$4-1)*Annahmen!$E$97,0)</f>
        <v>0</v>
      </c>
      <c r="N41" s="26" t="n">
        <f aca="false">IF(N$2&gt;=Annahmen!$C$97,Annahmen!$D$97*(1+Annahmen!$B$92)^(N$4-1)*Annahmen!$E$97,0)</f>
        <v>0</v>
      </c>
      <c r="O41" s="26" t="n">
        <f aca="false">IF(O$2&gt;=Annahmen!$C$97,Annahmen!$D$97*(1+Annahmen!$B$92)^(O$4-1)*Annahmen!$E$97,0)</f>
        <v>1994.08</v>
      </c>
      <c r="P41" s="26" t="n">
        <f aca="false">IF(P$2&gt;=Annahmen!$C$97,Annahmen!$D$97*(1+Annahmen!$B$92)^(P$4-1)*Annahmen!$E$97,0)</f>
        <v>1994.08</v>
      </c>
      <c r="Q41" s="26" t="n">
        <f aca="false">IF(Q$2&gt;=Annahmen!$C$97,Annahmen!$D$97*(1+Annahmen!$B$92)^(Q$4-1)*Annahmen!$E$97,0)</f>
        <v>1994.08</v>
      </c>
      <c r="R41" s="26" t="n">
        <f aca="false">IF(R$2&gt;=Annahmen!$C$97,Annahmen!$D$97*(1+Annahmen!$B$92)^(R$4-1)*Annahmen!$E$97,0)</f>
        <v>1994.08</v>
      </c>
      <c r="S41" s="26" t="n">
        <f aca="false">IF(S$2&gt;=Annahmen!$C$97,Annahmen!$D$97*(1+Annahmen!$B$92)^(S$4-1)*Annahmen!$E$97,0)</f>
        <v>1994.08</v>
      </c>
      <c r="T41" s="26" t="n">
        <f aca="false">IF(T$2&gt;=Annahmen!$C$97,Annahmen!$D$97*(1+Annahmen!$B$92)^(T$4-1)*Annahmen!$E$97,0)</f>
        <v>1994.08</v>
      </c>
      <c r="U41" s="26" t="n">
        <f aca="false">IF(U$2&gt;=Annahmen!$C$97,Annahmen!$D$97*(1+Annahmen!$B$92)^(U$4-1)*Annahmen!$E$97,0)</f>
        <v>1994.08</v>
      </c>
      <c r="V41" s="26" t="n">
        <f aca="false">IF(V$2&gt;=Annahmen!$C$97,Annahmen!$D$97*(1+Annahmen!$B$92)^(V$4-1)*Annahmen!$E$97,0)</f>
        <v>1994.08</v>
      </c>
      <c r="W41" s="26" t="n">
        <f aca="false">IF(W$2&gt;=Annahmen!$C$97,Annahmen!$D$97*(1+Annahmen!$B$92)^(W$4-1)*Annahmen!$E$97,0)</f>
        <v>1994.08</v>
      </c>
      <c r="X41" s="26" t="n">
        <f aca="false">IF(X$2&gt;=Annahmen!$C$97,Annahmen!$D$97*(1+Annahmen!$B$92)^(X$4-1)*Annahmen!$E$97,0)</f>
        <v>1994.08</v>
      </c>
      <c r="Y41" s="26" t="n">
        <f aca="false">IF(Y$2&gt;=Annahmen!$C$97,Annahmen!$D$97*(1+Annahmen!$B$92)^(Y$4-1)*Annahmen!$E$97,0)</f>
        <v>1994.08</v>
      </c>
      <c r="Z41" s="26" t="n">
        <f aca="false">IF(Z$2&gt;=Annahmen!$C$97,Annahmen!$D$97*(1+Annahmen!$B$92)^(Z$4-1)*Annahmen!$E$97,0)</f>
        <v>1994.08</v>
      </c>
      <c r="AA41" s="26" t="n">
        <f aca="false">IF(AA$2&gt;=Annahmen!$C$97,Annahmen!$D$97*(1+Annahmen!$B$92)^(AA$4-1)*Annahmen!$E$97,0)</f>
        <v>2053.9024</v>
      </c>
      <c r="AB41" s="26" t="n">
        <f aca="false">IF(AB$2&gt;=Annahmen!$C$97,Annahmen!$D$97*(1+Annahmen!$B$92)^(AB$4-1)*Annahmen!$E$97,0)</f>
        <v>2053.9024</v>
      </c>
      <c r="AC41" s="26" t="n">
        <f aca="false">IF(AC$2&gt;=Annahmen!$C$97,Annahmen!$D$97*(1+Annahmen!$B$92)^(AC$4-1)*Annahmen!$E$97,0)</f>
        <v>2053.9024</v>
      </c>
      <c r="AD41" s="26" t="n">
        <f aca="false">IF(AD$2&gt;=Annahmen!$C$97,Annahmen!$D$97*(1+Annahmen!$B$92)^(AD$4-1)*Annahmen!$E$97,0)</f>
        <v>2053.9024</v>
      </c>
      <c r="AE41" s="26" t="n">
        <f aca="false">IF(AE$2&gt;=Annahmen!$C$97,Annahmen!$D$97*(1+Annahmen!$B$92)^(AE$4-1)*Annahmen!$E$97,0)</f>
        <v>2053.9024</v>
      </c>
      <c r="AF41" s="26" t="n">
        <f aca="false">IF(AF$2&gt;=Annahmen!$C$97,Annahmen!$D$97*(1+Annahmen!$B$92)^(AF$4-1)*Annahmen!$E$97,0)</f>
        <v>2053.9024</v>
      </c>
      <c r="AG41" s="26" t="n">
        <f aca="false">IF(AG$2&gt;=Annahmen!$C$97,Annahmen!$D$97*(1+Annahmen!$B$92)^(AG$4-1)*Annahmen!$E$97,0)</f>
        <v>2053.9024</v>
      </c>
      <c r="AH41" s="26" t="n">
        <f aca="false">IF(AH$2&gt;=Annahmen!$C$97,Annahmen!$D$97*(1+Annahmen!$B$92)^(AH$4-1)*Annahmen!$E$97,0)</f>
        <v>2053.9024</v>
      </c>
      <c r="AI41" s="26" t="n">
        <f aca="false">IF(AI$2&gt;=Annahmen!$C$97,Annahmen!$D$97*(1+Annahmen!$B$92)^(AI$4-1)*Annahmen!$E$97,0)</f>
        <v>2053.9024</v>
      </c>
      <c r="AJ41" s="26" t="n">
        <f aca="false">IF(AJ$2&gt;=Annahmen!$C$97,Annahmen!$D$97*(1+Annahmen!$B$92)^(AJ$4-1)*Annahmen!$E$97,0)</f>
        <v>2053.9024</v>
      </c>
      <c r="AK41" s="26" t="n">
        <f aca="false">IF(AK$2&gt;=Annahmen!$C$97,Annahmen!$D$97*(1+Annahmen!$B$92)^(AK$4-1)*Annahmen!$E$97,0)</f>
        <v>2053.9024</v>
      </c>
      <c r="AL41" s="26" t="n">
        <f aca="false">IF(AL$2&gt;=Annahmen!$C$97,Annahmen!$D$97*(1+Annahmen!$B$92)^(AL$4-1)*Annahmen!$E$97,0)</f>
        <v>2053.9024</v>
      </c>
    </row>
    <row r="42" customFormat="false" ht="15" hidden="false" customHeight="false" outlineLevel="0" collapsed="false">
      <c r="A42" s="5" t="s">
        <v>171</v>
      </c>
      <c r="C42" s="26" t="n">
        <f aca="false">IF(C$2&gt;=Annahmen!$C$98,Annahmen!$D$98*(1+Annahmen!$B$92)^(C$4-1)*Annahmen!$E$98,0)</f>
        <v>0</v>
      </c>
      <c r="D42" s="26" t="n">
        <f aca="false">IF(D$2&gt;=Annahmen!$C$98,Annahmen!$D$98*(1+Annahmen!$B$92)^(D$4-1)*Annahmen!$E$98,0)</f>
        <v>0</v>
      </c>
      <c r="E42" s="26" t="n">
        <f aca="false">IF(E$2&gt;=Annahmen!$C$98,Annahmen!$D$98*(1+Annahmen!$B$92)^(E$4-1)*Annahmen!$E$98,0)</f>
        <v>0</v>
      </c>
      <c r="F42" s="26" t="n">
        <f aca="false">IF(F$2&gt;=Annahmen!$C$98,Annahmen!$D$98*(1+Annahmen!$B$92)^(F$4-1)*Annahmen!$E$98,0)</f>
        <v>0</v>
      </c>
      <c r="G42" s="26" t="n">
        <f aca="false">IF(G$2&gt;=Annahmen!$C$98,Annahmen!$D$98*(1+Annahmen!$B$92)^(G$4-1)*Annahmen!$E$98,0)</f>
        <v>0</v>
      </c>
      <c r="H42" s="26" t="n">
        <f aca="false">IF(H$2&gt;=Annahmen!$C$98,Annahmen!$D$98*(1+Annahmen!$B$92)^(H$4-1)*Annahmen!$E$98,0)</f>
        <v>0</v>
      </c>
      <c r="I42" s="26" t="n">
        <f aca="false">IF(I$2&gt;=Annahmen!$C$98,Annahmen!$D$98*(1+Annahmen!$B$92)^(I$4-1)*Annahmen!$E$98,0)</f>
        <v>0</v>
      </c>
      <c r="J42" s="26" t="n">
        <f aca="false">IF(J$2&gt;=Annahmen!$C$98,Annahmen!$D$98*(1+Annahmen!$B$92)^(J$4-1)*Annahmen!$E$98,0)</f>
        <v>0</v>
      </c>
      <c r="K42" s="26" t="n">
        <f aca="false">IF(K$2&gt;=Annahmen!$C$98,Annahmen!$D$98*(1+Annahmen!$B$92)^(K$4-1)*Annahmen!$E$98,0)</f>
        <v>0</v>
      </c>
      <c r="L42" s="26" t="n">
        <f aca="false">IF(L$2&gt;=Annahmen!$C$98,Annahmen!$D$98*(1+Annahmen!$B$92)^(L$4-1)*Annahmen!$E$98,0)</f>
        <v>0</v>
      </c>
      <c r="M42" s="26" t="n">
        <f aca="false">IF(M$2&gt;=Annahmen!$C$98,Annahmen!$D$98*(1+Annahmen!$B$92)^(M$4-1)*Annahmen!$E$98,0)</f>
        <v>0</v>
      </c>
      <c r="N42" s="26" t="n">
        <f aca="false">IF(N$2&gt;=Annahmen!$C$98,Annahmen!$D$98*(1+Annahmen!$B$92)^(N$4-1)*Annahmen!$E$98,0)</f>
        <v>0</v>
      </c>
      <c r="O42" s="26" t="n">
        <f aca="false">IF(O$2&gt;=Annahmen!$C$98,Annahmen!$D$98*(1+Annahmen!$B$92)^(O$4-1)*Annahmen!$E$98,0)</f>
        <v>0</v>
      </c>
      <c r="P42" s="26" t="n">
        <f aca="false">IF(P$2&gt;=Annahmen!$C$98,Annahmen!$D$98*(1+Annahmen!$B$92)^(P$4-1)*Annahmen!$E$98,0)</f>
        <v>0</v>
      </c>
      <c r="Q42" s="26" t="n">
        <f aca="false">IF(Q$2&gt;=Annahmen!$C$98,Annahmen!$D$98*(1+Annahmen!$B$92)^(Q$4-1)*Annahmen!$E$98,0)</f>
        <v>0</v>
      </c>
      <c r="R42" s="26" t="n">
        <f aca="false">IF(R$2&gt;=Annahmen!$C$98,Annahmen!$D$98*(1+Annahmen!$B$92)^(R$4-1)*Annahmen!$E$98,0)</f>
        <v>0</v>
      </c>
      <c r="S42" s="26" t="n">
        <f aca="false">IF(S$2&gt;=Annahmen!$C$98,Annahmen!$D$98*(1+Annahmen!$B$92)^(S$4-1)*Annahmen!$E$98,0)</f>
        <v>0</v>
      </c>
      <c r="T42" s="26" t="n">
        <f aca="false">IF(T$2&gt;=Annahmen!$C$98,Annahmen!$D$98*(1+Annahmen!$B$92)^(T$4-1)*Annahmen!$E$98,0)</f>
        <v>0</v>
      </c>
      <c r="U42" s="26" t="n">
        <f aca="false">IF(U$2&gt;=Annahmen!$C$98,Annahmen!$D$98*(1+Annahmen!$B$92)^(U$4-1)*Annahmen!$E$98,0)</f>
        <v>0</v>
      </c>
      <c r="V42" s="26" t="n">
        <f aca="false">IF(V$2&gt;=Annahmen!$C$98,Annahmen!$D$98*(1+Annahmen!$B$92)^(V$4-1)*Annahmen!$E$98,0)</f>
        <v>0</v>
      </c>
      <c r="W42" s="26" t="n">
        <f aca="false">IF(W$2&gt;=Annahmen!$C$98,Annahmen!$D$98*(1+Annahmen!$B$92)^(W$4-1)*Annahmen!$E$98,0)</f>
        <v>0</v>
      </c>
      <c r="X42" s="26" t="n">
        <f aca="false">IF(X$2&gt;=Annahmen!$C$98,Annahmen!$D$98*(1+Annahmen!$B$92)^(X$4-1)*Annahmen!$E$98,0)</f>
        <v>6480.76</v>
      </c>
      <c r="Y42" s="26" t="n">
        <f aca="false">IF(Y$2&gt;=Annahmen!$C$98,Annahmen!$D$98*(1+Annahmen!$B$92)^(Y$4-1)*Annahmen!$E$98,0)</f>
        <v>6480.76</v>
      </c>
      <c r="Z42" s="26" t="n">
        <f aca="false">IF(Z$2&gt;=Annahmen!$C$98,Annahmen!$D$98*(1+Annahmen!$B$92)^(Z$4-1)*Annahmen!$E$98,0)</f>
        <v>6480.76</v>
      </c>
      <c r="AA42" s="26" t="n">
        <f aca="false">IF(AA$2&gt;=Annahmen!$C$98,Annahmen!$D$98*(1+Annahmen!$B$92)^(AA$4-1)*Annahmen!$E$98,0)</f>
        <v>6675.1828</v>
      </c>
      <c r="AB42" s="26" t="n">
        <f aca="false">IF(AB$2&gt;=Annahmen!$C$98,Annahmen!$D$98*(1+Annahmen!$B$92)^(AB$4-1)*Annahmen!$E$98,0)</f>
        <v>6675.1828</v>
      </c>
      <c r="AC42" s="26" t="n">
        <f aca="false">IF(AC$2&gt;=Annahmen!$C$98,Annahmen!$D$98*(1+Annahmen!$B$92)^(AC$4-1)*Annahmen!$E$98,0)</f>
        <v>6675.1828</v>
      </c>
      <c r="AD42" s="26" t="n">
        <f aca="false">IF(AD$2&gt;=Annahmen!$C$98,Annahmen!$D$98*(1+Annahmen!$B$92)^(AD$4-1)*Annahmen!$E$98,0)</f>
        <v>6675.1828</v>
      </c>
      <c r="AE42" s="26" t="n">
        <f aca="false">IF(AE$2&gt;=Annahmen!$C$98,Annahmen!$D$98*(1+Annahmen!$B$92)^(AE$4-1)*Annahmen!$E$98,0)</f>
        <v>6675.1828</v>
      </c>
      <c r="AF42" s="26" t="n">
        <f aca="false">IF(AF$2&gt;=Annahmen!$C$98,Annahmen!$D$98*(1+Annahmen!$B$92)^(AF$4-1)*Annahmen!$E$98,0)</f>
        <v>6675.1828</v>
      </c>
      <c r="AG42" s="26" t="n">
        <f aca="false">IF(AG$2&gt;=Annahmen!$C$98,Annahmen!$D$98*(1+Annahmen!$B$92)^(AG$4-1)*Annahmen!$E$98,0)</f>
        <v>6675.1828</v>
      </c>
      <c r="AH42" s="26" t="n">
        <f aca="false">IF(AH$2&gt;=Annahmen!$C$98,Annahmen!$D$98*(1+Annahmen!$B$92)^(AH$4-1)*Annahmen!$E$98,0)</f>
        <v>6675.1828</v>
      </c>
      <c r="AI42" s="26" t="n">
        <f aca="false">IF(AI$2&gt;=Annahmen!$C$98,Annahmen!$D$98*(1+Annahmen!$B$92)^(AI$4-1)*Annahmen!$E$98,0)</f>
        <v>6675.1828</v>
      </c>
      <c r="AJ42" s="26" t="n">
        <f aca="false">IF(AJ$2&gt;=Annahmen!$C$98,Annahmen!$D$98*(1+Annahmen!$B$92)^(AJ$4-1)*Annahmen!$E$98,0)</f>
        <v>6675.1828</v>
      </c>
      <c r="AK42" s="26" t="n">
        <f aca="false">IF(AK$2&gt;=Annahmen!$C$98,Annahmen!$D$98*(1+Annahmen!$B$92)^(AK$4-1)*Annahmen!$E$98,0)</f>
        <v>6675.1828</v>
      </c>
      <c r="AL42" s="26" t="n">
        <f aca="false">IF(AL$2&gt;=Annahmen!$C$98,Annahmen!$D$98*(1+Annahmen!$B$92)^(AL$4-1)*Annahmen!$E$98,0)</f>
        <v>6675.1828</v>
      </c>
    </row>
    <row r="43" customFormat="false" ht="15" hidden="false" customHeight="false" outlineLevel="0" collapsed="false">
      <c r="A43" s="5" t="s">
        <v>172</v>
      </c>
      <c r="C43" s="26" t="n">
        <f aca="false">IF(C$2&gt;=Annahmen!$C$99,Annahmen!$D$99*(1+Annahmen!$B$92)^(C$4-1)*Annahmen!$E$99,0)</f>
        <v>0</v>
      </c>
      <c r="D43" s="26" t="n">
        <f aca="false">IF(D$2&gt;=Annahmen!$C$99,Annahmen!$D$99*(1+Annahmen!$B$92)^(D$4-1)*Annahmen!$E$99,0)</f>
        <v>0</v>
      </c>
      <c r="E43" s="26" t="n">
        <f aca="false">IF(E$2&gt;=Annahmen!$C$99,Annahmen!$D$99*(1+Annahmen!$B$92)^(E$4-1)*Annahmen!$E$99,0)</f>
        <v>0</v>
      </c>
      <c r="F43" s="26" t="n">
        <f aca="false">IF(F$2&gt;=Annahmen!$C$99,Annahmen!$D$99*(1+Annahmen!$B$92)^(F$4-1)*Annahmen!$E$99,0)</f>
        <v>0</v>
      </c>
      <c r="G43" s="26" t="n">
        <f aca="false">IF(G$2&gt;=Annahmen!$C$99,Annahmen!$D$99*(1+Annahmen!$B$92)^(G$4-1)*Annahmen!$E$99,0)</f>
        <v>0</v>
      </c>
      <c r="H43" s="26" t="n">
        <f aca="false">IF(H$2&gt;=Annahmen!$C$99,Annahmen!$D$99*(1+Annahmen!$B$92)^(H$4-1)*Annahmen!$E$99,0)</f>
        <v>0</v>
      </c>
      <c r="I43" s="26" t="n">
        <f aca="false">IF(I$2&gt;=Annahmen!$C$99,Annahmen!$D$99*(1+Annahmen!$B$92)^(I$4-1)*Annahmen!$E$99,0)</f>
        <v>0</v>
      </c>
      <c r="J43" s="26" t="n">
        <f aca="false">IF(J$2&gt;=Annahmen!$C$99,Annahmen!$D$99*(1+Annahmen!$B$92)^(J$4-1)*Annahmen!$E$99,0)</f>
        <v>0</v>
      </c>
      <c r="K43" s="26" t="n">
        <f aca="false">IF(K$2&gt;=Annahmen!$C$99,Annahmen!$D$99*(1+Annahmen!$B$92)^(K$4-1)*Annahmen!$E$99,0)</f>
        <v>0</v>
      </c>
      <c r="L43" s="26" t="n">
        <f aca="false">IF(L$2&gt;=Annahmen!$C$99,Annahmen!$D$99*(1+Annahmen!$B$92)^(L$4-1)*Annahmen!$E$99,0)</f>
        <v>0</v>
      </c>
      <c r="M43" s="26" t="n">
        <f aca="false">IF(M$2&gt;=Annahmen!$C$99,Annahmen!$D$99*(1+Annahmen!$B$92)^(M$4-1)*Annahmen!$E$99,0)</f>
        <v>0</v>
      </c>
      <c r="N43" s="26" t="n">
        <f aca="false">IF(N$2&gt;=Annahmen!$C$99,Annahmen!$D$99*(1+Annahmen!$B$92)^(N$4-1)*Annahmen!$E$99,0)</f>
        <v>0</v>
      </c>
      <c r="O43" s="26" t="n">
        <f aca="false">IF(O$2&gt;=Annahmen!$C$99,Annahmen!$D$99*(1+Annahmen!$B$92)^(O$4-1)*Annahmen!$E$99,0)</f>
        <v>0</v>
      </c>
      <c r="P43" s="26" t="n">
        <f aca="false">IF(P$2&gt;=Annahmen!$C$99,Annahmen!$D$99*(1+Annahmen!$B$92)^(P$4-1)*Annahmen!$E$99,0)</f>
        <v>0</v>
      </c>
      <c r="Q43" s="26" t="n">
        <f aca="false">IF(Q$2&gt;=Annahmen!$C$99,Annahmen!$D$99*(1+Annahmen!$B$92)^(Q$4-1)*Annahmen!$E$99,0)</f>
        <v>0</v>
      </c>
      <c r="R43" s="26" t="n">
        <f aca="false">IF(R$2&gt;=Annahmen!$C$99,Annahmen!$D$99*(1+Annahmen!$B$92)^(R$4-1)*Annahmen!$E$99,0)</f>
        <v>0</v>
      </c>
      <c r="S43" s="26" t="n">
        <f aca="false">IF(S$2&gt;=Annahmen!$C$99,Annahmen!$D$99*(1+Annahmen!$B$92)^(S$4-1)*Annahmen!$E$99,0)</f>
        <v>0</v>
      </c>
      <c r="T43" s="26" t="n">
        <f aca="false">IF(T$2&gt;=Annahmen!$C$99,Annahmen!$D$99*(1+Annahmen!$B$92)^(T$4-1)*Annahmen!$E$99,0)</f>
        <v>0</v>
      </c>
      <c r="U43" s="26" t="n">
        <f aca="false">IF(U$2&gt;=Annahmen!$C$99,Annahmen!$D$99*(1+Annahmen!$B$92)^(U$4-1)*Annahmen!$E$99,0)</f>
        <v>0</v>
      </c>
      <c r="V43" s="26" t="n">
        <f aca="false">IF(V$2&gt;=Annahmen!$C$99,Annahmen!$D$99*(1+Annahmen!$B$92)^(V$4-1)*Annahmen!$E$99,0)</f>
        <v>0</v>
      </c>
      <c r="W43" s="26" t="n">
        <f aca="false">IF(W$2&gt;=Annahmen!$C$99,Annahmen!$D$99*(1+Annahmen!$B$92)^(W$4-1)*Annahmen!$E$99,0)</f>
        <v>0</v>
      </c>
      <c r="X43" s="26" t="n">
        <f aca="false">IF(X$2&gt;=Annahmen!$C$99,Annahmen!$D$99*(1+Annahmen!$B$92)^(X$4-1)*Annahmen!$E$99,0)</f>
        <v>0</v>
      </c>
      <c r="Y43" s="26" t="n">
        <f aca="false">IF(Y$2&gt;=Annahmen!$C$99,Annahmen!$D$99*(1+Annahmen!$B$92)^(Y$4-1)*Annahmen!$E$99,0)</f>
        <v>0</v>
      </c>
      <c r="Z43" s="26" t="n">
        <f aca="false">IF(Z$2&gt;=Annahmen!$C$99,Annahmen!$D$99*(1+Annahmen!$B$92)^(Z$4-1)*Annahmen!$E$99,0)</f>
        <v>0</v>
      </c>
      <c r="AA43" s="26" t="n">
        <f aca="false">IF(AA$2&gt;=Annahmen!$C$99,Annahmen!$D$99*(1+Annahmen!$B$92)^(AA$4-1)*Annahmen!$E$99,0)</f>
        <v>0</v>
      </c>
      <c r="AB43" s="26" t="n">
        <f aca="false">IF(AB$2&gt;=Annahmen!$C$99,Annahmen!$D$99*(1+Annahmen!$B$92)^(AB$4-1)*Annahmen!$E$99,0)</f>
        <v>0</v>
      </c>
      <c r="AC43" s="26" t="n">
        <f aca="false">IF(AC$2&gt;=Annahmen!$C$99,Annahmen!$D$99*(1+Annahmen!$B$92)^(AC$4-1)*Annahmen!$E$99,0)</f>
        <v>0</v>
      </c>
      <c r="AD43" s="26" t="n">
        <f aca="false">IF(AD$2&gt;=Annahmen!$C$99,Annahmen!$D$99*(1+Annahmen!$B$92)^(AD$4-1)*Annahmen!$E$99,0)</f>
        <v>4878.0182</v>
      </c>
      <c r="AE43" s="26" t="n">
        <f aca="false">IF(AE$2&gt;=Annahmen!$C$99,Annahmen!$D$99*(1+Annahmen!$B$92)^(AE$4-1)*Annahmen!$E$99,0)</f>
        <v>4878.0182</v>
      </c>
      <c r="AF43" s="26" t="n">
        <f aca="false">IF(AF$2&gt;=Annahmen!$C$99,Annahmen!$D$99*(1+Annahmen!$B$92)^(AF$4-1)*Annahmen!$E$99,0)</f>
        <v>4878.0182</v>
      </c>
      <c r="AG43" s="26" t="n">
        <f aca="false">IF(AG$2&gt;=Annahmen!$C$99,Annahmen!$D$99*(1+Annahmen!$B$92)^(AG$4-1)*Annahmen!$E$99,0)</f>
        <v>4878.0182</v>
      </c>
      <c r="AH43" s="26" t="n">
        <f aca="false">IF(AH$2&gt;=Annahmen!$C$99,Annahmen!$D$99*(1+Annahmen!$B$92)^(AH$4-1)*Annahmen!$E$99,0)</f>
        <v>4878.0182</v>
      </c>
      <c r="AI43" s="26" t="n">
        <f aca="false">IF(AI$2&gt;=Annahmen!$C$99,Annahmen!$D$99*(1+Annahmen!$B$92)^(AI$4-1)*Annahmen!$E$99,0)</f>
        <v>4878.0182</v>
      </c>
      <c r="AJ43" s="26" t="n">
        <f aca="false">IF(AJ$2&gt;=Annahmen!$C$99,Annahmen!$D$99*(1+Annahmen!$B$92)^(AJ$4-1)*Annahmen!$E$99,0)</f>
        <v>4878.0182</v>
      </c>
      <c r="AK43" s="26" t="n">
        <f aca="false">IF(AK$2&gt;=Annahmen!$C$99,Annahmen!$D$99*(1+Annahmen!$B$92)^(AK$4-1)*Annahmen!$E$99,0)</f>
        <v>4878.0182</v>
      </c>
      <c r="AL43" s="26" t="n">
        <f aca="false">IF(AL$2&gt;=Annahmen!$C$99,Annahmen!$D$99*(1+Annahmen!$B$92)^(AL$4-1)*Annahmen!$E$99,0)</f>
        <v>4878.0182</v>
      </c>
    </row>
    <row r="44" customFormat="false" ht="15" hidden="false" customHeight="false" outlineLevel="0" collapsed="false">
      <c r="A44" s="5" t="s">
        <v>173</v>
      </c>
      <c r="C44" s="26" t="n">
        <f aca="false">IF(C$2&gt;=Annahmen!$C$100,Annahmen!$D$100*(1+Annahmen!$B$92)^(C$4-1)*Annahmen!$E$100,0)</f>
        <v>0</v>
      </c>
      <c r="D44" s="26" t="n">
        <f aca="false">IF(D$2&gt;=Annahmen!$C$100,Annahmen!$D$100*(1+Annahmen!$B$92)^(D$4-1)*Annahmen!$E$100,0)</f>
        <v>0</v>
      </c>
      <c r="E44" s="26" t="n">
        <f aca="false">IF(E$2&gt;=Annahmen!$C$100,Annahmen!$D$100*(1+Annahmen!$B$92)^(E$4-1)*Annahmen!$E$100,0)</f>
        <v>0</v>
      </c>
      <c r="F44" s="26" t="n">
        <f aca="false">IF(F$2&gt;=Annahmen!$C$100,Annahmen!$D$100*(1+Annahmen!$B$92)^(F$4-1)*Annahmen!$E$100,0)</f>
        <v>0</v>
      </c>
      <c r="G44" s="26" t="n">
        <f aca="false">IF(G$2&gt;=Annahmen!$C$100,Annahmen!$D$100*(1+Annahmen!$B$92)^(G$4-1)*Annahmen!$E$100,0)</f>
        <v>0</v>
      </c>
      <c r="H44" s="26" t="n">
        <f aca="false">IF(H$2&gt;=Annahmen!$C$100,Annahmen!$D$100*(1+Annahmen!$B$92)^(H$4-1)*Annahmen!$E$100,0)</f>
        <v>0</v>
      </c>
      <c r="I44" s="26" t="n">
        <f aca="false">IF(I$2&gt;=Annahmen!$C$100,Annahmen!$D$100*(1+Annahmen!$B$92)^(I$4-1)*Annahmen!$E$100,0)</f>
        <v>0</v>
      </c>
      <c r="J44" s="26" t="n">
        <f aca="false">IF(J$2&gt;=Annahmen!$C$100,Annahmen!$D$100*(1+Annahmen!$B$92)^(J$4-1)*Annahmen!$E$100,0)</f>
        <v>0</v>
      </c>
      <c r="K44" s="26" t="n">
        <f aca="false">IF(K$2&gt;=Annahmen!$C$100,Annahmen!$D$100*(1+Annahmen!$B$92)^(K$4-1)*Annahmen!$E$100,0)</f>
        <v>0</v>
      </c>
      <c r="L44" s="26" t="n">
        <f aca="false">IF(L$2&gt;=Annahmen!$C$100,Annahmen!$D$100*(1+Annahmen!$B$92)^(L$4-1)*Annahmen!$E$100,0)</f>
        <v>0</v>
      </c>
      <c r="M44" s="26" t="n">
        <f aca="false">IF(M$2&gt;=Annahmen!$C$100,Annahmen!$D$100*(1+Annahmen!$B$92)^(M$4-1)*Annahmen!$E$100,0)</f>
        <v>0</v>
      </c>
      <c r="N44" s="26" t="n">
        <f aca="false">IF(N$2&gt;=Annahmen!$C$100,Annahmen!$D$100*(1+Annahmen!$B$92)^(N$4-1)*Annahmen!$E$100,0)</f>
        <v>0</v>
      </c>
      <c r="O44" s="26" t="n">
        <f aca="false">IF(O$2&gt;=Annahmen!$C$100,Annahmen!$D$100*(1+Annahmen!$B$92)^(O$4-1)*Annahmen!$E$100,0)</f>
        <v>0</v>
      </c>
      <c r="P44" s="26" t="n">
        <f aca="false">IF(P$2&gt;=Annahmen!$C$100,Annahmen!$D$100*(1+Annahmen!$B$92)^(P$4-1)*Annahmen!$E$100,0)</f>
        <v>0</v>
      </c>
      <c r="Q44" s="26" t="n">
        <f aca="false">IF(Q$2&gt;=Annahmen!$C$100,Annahmen!$D$100*(1+Annahmen!$B$92)^(Q$4-1)*Annahmen!$E$100,0)</f>
        <v>0</v>
      </c>
      <c r="R44" s="26" t="n">
        <f aca="false">IF(R$2&gt;=Annahmen!$C$100,Annahmen!$D$100*(1+Annahmen!$B$92)^(R$4-1)*Annahmen!$E$100,0)</f>
        <v>0</v>
      </c>
      <c r="S44" s="26" t="n">
        <f aca="false">IF(S$2&gt;=Annahmen!$C$100,Annahmen!$D$100*(1+Annahmen!$B$92)^(S$4-1)*Annahmen!$E$100,0)</f>
        <v>0</v>
      </c>
      <c r="T44" s="26" t="n">
        <f aca="false">IF(T$2&gt;=Annahmen!$C$100,Annahmen!$D$100*(1+Annahmen!$B$92)^(T$4-1)*Annahmen!$E$100,0)</f>
        <v>0</v>
      </c>
      <c r="U44" s="26" t="n">
        <f aca="false">IF(U$2&gt;=Annahmen!$C$100,Annahmen!$D$100*(1+Annahmen!$B$92)^(U$4-1)*Annahmen!$E$100,0)</f>
        <v>0</v>
      </c>
      <c r="V44" s="26" t="n">
        <f aca="false">IF(V$2&gt;=Annahmen!$C$100,Annahmen!$D$100*(1+Annahmen!$B$92)^(V$4-1)*Annahmen!$E$100,0)</f>
        <v>0</v>
      </c>
      <c r="W44" s="26" t="n">
        <f aca="false">IF(W$2&gt;=Annahmen!$C$100,Annahmen!$D$100*(1+Annahmen!$B$92)^(W$4-1)*Annahmen!$E$100,0)</f>
        <v>0</v>
      </c>
      <c r="X44" s="26" t="n">
        <f aca="false">IF(X$2&gt;=Annahmen!$C$100,Annahmen!$D$100*(1+Annahmen!$B$92)^(X$4-1)*Annahmen!$E$100,0)</f>
        <v>0</v>
      </c>
      <c r="Y44" s="26" t="n">
        <f aca="false">IF(Y$2&gt;=Annahmen!$C$100,Annahmen!$D$100*(1+Annahmen!$B$92)^(Y$4-1)*Annahmen!$E$100,0)</f>
        <v>0</v>
      </c>
      <c r="Z44" s="26" t="n">
        <f aca="false">IF(Z$2&gt;=Annahmen!$C$100,Annahmen!$D$100*(1+Annahmen!$B$92)^(Z$4-1)*Annahmen!$E$100,0)</f>
        <v>0</v>
      </c>
      <c r="AA44" s="26" t="n">
        <f aca="false">IF(AA$2&gt;=Annahmen!$C$100,Annahmen!$D$100*(1+Annahmen!$B$92)^(AA$4-1)*Annahmen!$E$100,0)</f>
        <v>0</v>
      </c>
      <c r="AB44" s="26" t="n">
        <f aca="false">IF(AB$2&gt;=Annahmen!$C$100,Annahmen!$D$100*(1+Annahmen!$B$92)^(AB$4-1)*Annahmen!$E$100,0)</f>
        <v>0</v>
      </c>
      <c r="AC44" s="26" t="n">
        <f aca="false">IF(AC$2&gt;=Annahmen!$C$100,Annahmen!$D$100*(1+Annahmen!$B$92)^(AC$4-1)*Annahmen!$E$100,0)</f>
        <v>0</v>
      </c>
      <c r="AD44" s="26" t="n">
        <f aca="false">IF(AD$2&gt;=Annahmen!$C$100,Annahmen!$D$100*(1+Annahmen!$B$92)^(AD$4-1)*Annahmen!$E$100,0)</f>
        <v>0</v>
      </c>
      <c r="AE44" s="26" t="n">
        <f aca="false">IF(AE$2&gt;=Annahmen!$C$100,Annahmen!$D$100*(1+Annahmen!$B$92)^(AE$4-1)*Annahmen!$E$100,0)</f>
        <v>0</v>
      </c>
      <c r="AF44" s="26" t="n">
        <f aca="false">IF(AF$2&gt;=Annahmen!$C$100,Annahmen!$D$100*(1+Annahmen!$B$92)^(AF$4-1)*Annahmen!$E$100,0)</f>
        <v>0</v>
      </c>
      <c r="AG44" s="26" t="n">
        <f aca="false">IF(AG$2&gt;=Annahmen!$C$100,Annahmen!$D$100*(1+Annahmen!$B$92)^(AG$4-1)*Annahmen!$E$100,0)</f>
        <v>5134.756</v>
      </c>
      <c r="AH44" s="26" t="n">
        <f aca="false">IF(AH$2&gt;=Annahmen!$C$100,Annahmen!$D$100*(1+Annahmen!$B$92)^(AH$4-1)*Annahmen!$E$100,0)</f>
        <v>5134.756</v>
      </c>
      <c r="AI44" s="26" t="n">
        <f aca="false">IF(AI$2&gt;=Annahmen!$C$100,Annahmen!$D$100*(1+Annahmen!$B$92)^(AI$4-1)*Annahmen!$E$100,0)</f>
        <v>5134.756</v>
      </c>
      <c r="AJ44" s="26" t="n">
        <f aca="false">IF(AJ$2&gt;=Annahmen!$C$100,Annahmen!$D$100*(1+Annahmen!$B$92)^(AJ$4-1)*Annahmen!$E$100,0)</f>
        <v>5134.756</v>
      </c>
      <c r="AK44" s="26" t="n">
        <f aca="false">IF(AK$2&gt;=Annahmen!$C$100,Annahmen!$D$100*(1+Annahmen!$B$92)^(AK$4-1)*Annahmen!$E$100,0)</f>
        <v>5134.756</v>
      </c>
      <c r="AL44" s="26" t="n">
        <f aca="false">IF(AL$2&gt;=Annahmen!$C$100,Annahmen!$D$100*(1+Annahmen!$B$92)^(AL$4-1)*Annahmen!$E$100,0)</f>
        <v>5134.756</v>
      </c>
    </row>
    <row r="45" customFormat="false" ht="15" hidden="false" customHeight="false" outlineLevel="0" collapsed="false">
      <c r="A45" s="5" t="s">
        <v>174</v>
      </c>
      <c r="C45" s="26" t="n">
        <f aca="false">IF(C$2&gt;=Annahmen!$C$101,Annahmen!$D$101*(1+Annahmen!$B$92)^(C$4-1)*Annahmen!$E$101,0)</f>
        <v>0</v>
      </c>
      <c r="D45" s="26" t="n">
        <f aca="false">IF(D$2&gt;=Annahmen!$C$101,Annahmen!$D$101*(1+Annahmen!$B$92)^(D$4-1)*Annahmen!$E$101,0)</f>
        <v>0</v>
      </c>
      <c r="E45" s="26" t="n">
        <f aca="false">IF(E$2&gt;=Annahmen!$C$101,Annahmen!$D$101*(1+Annahmen!$B$92)^(E$4-1)*Annahmen!$E$101,0)</f>
        <v>0</v>
      </c>
      <c r="F45" s="26" t="n">
        <f aca="false">IF(F$2&gt;=Annahmen!$C$101,Annahmen!$D$101*(1+Annahmen!$B$92)^(F$4-1)*Annahmen!$E$101,0)</f>
        <v>0</v>
      </c>
      <c r="G45" s="26" t="n">
        <f aca="false">IF(G$2&gt;=Annahmen!$C$101,Annahmen!$D$101*(1+Annahmen!$B$92)^(G$4-1)*Annahmen!$E$101,0)</f>
        <v>0</v>
      </c>
      <c r="H45" s="26" t="n">
        <f aca="false">IF(H$2&gt;=Annahmen!$C$101,Annahmen!$D$101*(1+Annahmen!$B$92)^(H$4-1)*Annahmen!$E$101,0)</f>
        <v>0</v>
      </c>
      <c r="I45" s="26" t="n">
        <f aca="false">IF(I$2&gt;=Annahmen!$C$101,Annahmen!$D$101*(1+Annahmen!$B$92)^(I$4-1)*Annahmen!$E$101,0)</f>
        <v>0</v>
      </c>
      <c r="J45" s="26" t="n">
        <f aca="false">IF(J$2&gt;=Annahmen!$C$101,Annahmen!$D$101*(1+Annahmen!$B$92)^(J$4-1)*Annahmen!$E$101,0)</f>
        <v>0</v>
      </c>
      <c r="K45" s="26" t="n">
        <f aca="false">IF(K$2&gt;=Annahmen!$C$101,Annahmen!$D$101*(1+Annahmen!$B$92)^(K$4-1)*Annahmen!$E$101,0)</f>
        <v>0</v>
      </c>
      <c r="L45" s="26" t="n">
        <f aca="false">IF(L$2&gt;=Annahmen!$C$101,Annahmen!$D$101*(1+Annahmen!$B$92)^(L$4-1)*Annahmen!$E$101,0)</f>
        <v>0</v>
      </c>
      <c r="M45" s="26" t="n">
        <f aca="false">IF(M$2&gt;=Annahmen!$C$101,Annahmen!$D$101*(1+Annahmen!$B$92)^(M$4-1)*Annahmen!$E$101,0)</f>
        <v>0</v>
      </c>
      <c r="N45" s="26" t="n">
        <f aca="false">IF(N$2&gt;=Annahmen!$C$101,Annahmen!$D$101*(1+Annahmen!$B$92)^(N$4-1)*Annahmen!$E$101,0)</f>
        <v>0</v>
      </c>
      <c r="O45" s="26" t="n">
        <f aca="false">IF(O$2&gt;=Annahmen!$C$101,Annahmen!$D$101*(1+Annahmen!$B$92)^(O$4-1)*Annahmen!$E$101,0)</f>
        <v>0</v>
      </c>
      <c r="P45" s="26" t="n">
        <f aca="false">IF(P$2&gt;=Annahmen!$C$101,Annahmen!$D$101*(1+Annahmen!$B$92)^(P$4-1)*Annahmen!$E$101,0)</f>
        <v>0</v>
      </c>
      <c r="Q45" s="26" t="n">
        <f aca="false">IF(Q$2&gt;=Annahmen!$C$101,Annahmen!$D$101*(1+Annahmen!$B$92)^(Q$4-1)*Annahmen!$E$101,0)</f>
        <v>0</v>
      </c>
      <c r="R45" s="26" t="n">
        <f aca="false">IF(R$2&gt;=Annahmen!$C$101,Annahmen!$D$101*(1+Annahmen!$B$92)^(R$4-1)*Annahmen!$E$101,0)</f>
        <v>0</v>
      </c>
      <c r="S45" s="26" t="n">
        <f aca="false">IF(S$2&gt;=Annahmen!$C$101,Annahmen!$D$101*(1+Annahmen!$B$92)^(S$4-1)*Annahmen!$E$101,0)</f>
        <v>0</v>
      </c>
      <c r="T45" s="26" t="n">
        <f aca="false">IF(T$2&gt;=Annahmen!$C$101,Annahmen!$D$101*(1+Annahmen!$B$92)^(T$4-1)*Annahmen!$E$101,0)</f>
        <v>0</v>
      </c>
      <c r="U45" s="26" t="n">
        <f aca="false">IF(U$2&gt;=Annahmen!$C$101,Annahmen!$D$101*(1+Annahmen!$B$92)^(U$4-1)*Annahmen!$E$101,0)</f>
        <v>0</v>
      </c>
      <c r="V45" s="26" t="n">
        <f aca="false">IF(V$2&gt;=Annahmen!$C$101,Annahmen!$D$101*(1+Annahmen!$B$92)^(V$4-1)*Annahmen!$E$101,0)</f>
        <v>0</v>
      </c>
      <c r="W45" s="26" t="n">
        <f aca="false">IF(W$2&gt;=Annahmen!$C$101,Annahmen!$D$101*(1+Annahmen!$B$92)^(W$4-1)*Annahmen!$E$101,0)</f>
        <v>0</v>
      </c>
      <c r="X45" s="26" t="n">
        <f aca="false">IF(X$2&gt;=Annahmen!$C$101,Annahmen!$D$101*(1+Annahmen!$B$92)^(X$4-1)*Annahmen!$E$101,0)</f>
        <v>0</v>
      </c>
      <c r="Y45" s="26" t="n">
        <f aca="false">IF(Y$2&gt;=Annahmen!$C$101,Annahmen!$D$101*(1+Annahmen!$B$92)^(Y$4-1)*Annahmen!$E$101,0)</f>
        <v>0</v>
      </c>
      <c r="Z45" s="26" t="n">
        <f aca="false">IF(Z$2&gt;=Annahmen!$C$101,Annahmen!$D$101*(1+Annahmen!$B$92)^(Z$4-1)*Annahmen!$E$101,0)</f>
        <v>0</v>
      </c>
      <c r="AA45" s="26" t="n">
        <f aca="false">IF(AA$2&gt;=Annahmen!$C$101,Annahmen!$D$101*(1+Annahmen!$B$92)^(AA$4-1)*Annahmen!$E$101,0)</f>
        <v>0</v>
      </c>
      <c r="AB45" s="26" t="n">
        <f aca="false">IF(AB$2&gt;=Annahmen!$C$101,Annahmen!$D$101*(1+Annahmen!$B$92)^(AB$4-1)*Annahmen!$E$101,0)</f>
        <v>0</v>
      </c>
      <c r="AC45" s="26" t="n">
        <f aca="false">IF(AC$2&gt;=Annahmen!$C$101,Annahmen!$D$101*(1+Annahmen!$B$92)^(AC$4-1)*Annahmen!$E$101,0)</f>
        <v>0</v>
      </c>
      <c r="AD45" s="26" t="n">
        <f aca="false">IF(AD$2&gt;=Annahmen!$C$101,Annahmen!$D$101*(1+Annahmen!$B$92)^(AD$4-1)*Annahmen!$E$101,0)</f>
        <v>0</v>
      </c>
      <c r="AE45" s="26" t="n">
        <f aca="false">IF(AE$2&gt;=Annahmen!$C$101,Annahmen!$D$101*(1+Annahmen!$B$92)^(AE$4-1)*Annahmen!$E$101,0)</f>
        <v>0</v>
      </c>
      <c r="AF45" s="26" t="n">
        <f aca="false">IF(AF$2&gt;=Annahmen!$C$101,Annahmen!$D$101*(1+Annahmen!$B$92)^(AF$4-1)*Annahmen!$E$101,0)</f>
        <v>0</v>
      </c>
      <c r="AG45" s="26" t="n">
        <f aca="false">IF(AG$2&gt;=Annahmen!$C$101,Annahmen!$D$101*(1+Annahmen!$B$92)^(AG$4-1)*Annahmen!$E$101,0)</f>
        <v>0</v>
      </c>
      <c r="AH45" s="26" t="n">
        <f aca="false">IF(AH$2&gt;=Annahmen!$C$101,Annahmen!$D$101*(1+Annahmen!$B$92)^(AH$4-1)*Annahmen!$E$101,0)</f>
        <v>0</v>
      </c>
      <c r="AI45" s="26" t="n">
        <f aca="false">IF(AI$2&gt;=Annahmen!$C$101,Annahmen!$D$101*(1+Annahmen!$B$92)^(AI$4-1)*Annahmen!$E$101,0)</f>
        <v>0</v>
      </c>
      <c r="AJ45" s="26" t="n">
        <f aca="false">IF(AJ$2&gt;=Annahmen!$C$101,Annahmen!$D$101*(1+Annahmen!$B$92)^(AJ$4-1)*Annahmen!$E$101,0)</f>
        <v>0</v>
      </c>
      <c r="AK45" s="26" t="n">
        <f aca="false">IF(AK$2&gt;=Annahmen!$C$101,Annahmen!$D$101*(1+Annahmen!$B$92)^(AK$4-1)*Annahmen!$E$101,0)</f>
        <v>0</v>
      </c>
      <c r="AL45" s="26" t="n">
        <f aca="false">IF(AL$2&gt;=Annahmen!$C$101,Annahmen!$D$101*(1+Annahmen!$B$92)^(AL$4-1)*Annahmen!$E$101,0)</f>
        <v>0</v>
      </c>
    </row>
    <row r="46" customFormat="false" ht="15" hidden="false" customHeight="false" outlineLevel="0" collapsed="false">
      <c r="A46" s="5" t="s">
        <v>175</v>
      </c>
      <c r="C46" s="26" t="n">
        <f aca="false">IF(C$2&gt;=Annahmen!$C$102,Annahmen!$D$102*(1+Annahmen!$B$92)^(C$4-1)*Annahmen!$E$102,0)</f>
        <v>0</v>
      </c>
      <c r="D46" s="26" t="n">
        <f aca="false">IF(D$2&gt;=Annahmen!$C$102,Annahmen!$D$102*(1+Annahmen!$B$92)^(D$4-1)*Annahmen!$E$102,0)</f>
        <v>0</v>
      </c>
      <c r="E46" s="26" t="n">
        <f aca="false">IF(E$2&gt;=Annahmen!$C$102,Annahmen!$D$102*(1+Annahmen!$B$92)^(E$4-1)*Annahmen!$E$102,0)</f>
        <v>0</v>
      </c>
      <c r="F46" s="26" t="n">
        <f aca="false">IF(F$2&gt;=Annahmen!$C$102,Annahmen!$D$102*(1+Annahmen!$B$92)^(F$4-1)*Annahmen!$E$102,0)</f>
        <v>0</v>
      </c>
      <c r="G46" s="26" t="n">
        <f aca="false">IF(G$2&gt;=Annahmen!$C$102,Annahmen!$D$102*(1+Annahmen!$B$92)^(G$4-1)*Annahmen!$E$102,0)</f>
        <v>0</v>
      </c>
      <c r="H46" s="26" t="n">
        <f aca="false">IF(H$2&gt;=Annahmen!$C$102,Annahmen!$D$102*(1+Annahmen!$B$92)^(H$4-1)*Annahmen!$E$102,0)</f>
        <v>0</v>
      </c>
      <c r="I46" s="26" t="n">
        <f aca="false">IF(I$2&gt;=Annahmen!$C$102,Annahmen!$D$102*(1+Annahmen!$B$92)^(I$4-1)*Annahmen!$E$102,0)</f>
        <v>0</v>
      </c>
      <c r="J46" s="26" t="n">
        <f aca="false">IF(J$2&gt;=Annahmen!$C$102,Annahmen!$D$102*(1+Annahmen!$B$92)^(J$4-1)*Annahmen!$E$102,0)</f>
        <v>0</v>
      </c>
      <c r="K46" s="26" t="n">
        <f aca="false">IF(K$2&gt;=Annahmen!$C$102,Annahmen!$D$102*(1+Annahmen!$B$92)^(K$4-1)*Annahmen!$E$102,0)</f>
        <v>0</v>
      </c>
      <c r="L46" s="26" t="n">
        <f aca="false">IF(L$2&gt;=Annahmen!$C$102,Annahmen!$D$102*(1+Annahmen!$B$92)^(L$4-1)*Annahmen!$E$102,0)</f>
        <v>0</v>
      </c>
      <c r="M46" s="26" t="n">
        <f aca="false">IF(M$2&gt;=Annahmen!$C$102,Annahmen!$D$102*(1+Annahmen!$B$92)^(M$4-1)*Annahmen!$E$102,0)</f>
        <v>0</v>
      </c>
      <c r="N46" s="26" t="n">
        <f aca="false">IF(N$2&gt;=Annahmen!$C$102,Annahmen!$D$102*(1+Annahmen!$B$92)^(N$4-1)*Annahmen!$E$102,0)</f>
        <v>0</v>
      </c>
      <c r="O46" s="26" t="n">
        <f aca="false">IF(O$2&gt;=Annahmen!$C$102,Annahmen!$D$102*(1+Annahmen!$B$92)^(O$4-1)*Annahmen!$E$102,0)</f>
        <v>0</v>
      </c>
      <c r="P46" s="26" t="n">
        <f aca="false">IF(P$2&gt;=Annahmen!$C$102,Annahmen!$D$102*(1+Annahmen!$B$92)^(P$4-1)*Annahmen!$E$102,0)</f>
        <v>0</v>
      </c>
      <c r="Q46" s="26" t="n">
        <f aca="false">IF(Q$2&gt;=Annahmen!$C$102,Annahmen!$D$102*(1+Annahmen!$B$92)^(Q$4-1)*Annahmen!$E$102,0)</f>
        <v>0</v>
      </c>
      <c r="R46" s="26" t="n">
        <f aca="false">IF(R$2&gt;=Annahmen!$C$102,Annahmen!$D$102*(1+Annahmen!$B$92)^(R$4-1)*Annahmen!$E$102,0)</f>
        <v>0</v>
      </c>
      <c r="S46" s="26" t="n">
        <f aca="false">IF(S$2&gt;=Annahmen!$C$102,Annahmen!$D$102*(1+Annahmen!$B$92)^(S$4-1)*Annahmen!$E$102,0)</f>
        <v>0</v>
      </c>
      <c r="T46" s="26" t="n">
        <f aca="false">IF(T$2&gt;=Annahmen!$C$102,Annahmen!$D$102*(1+Annahmen!$B$92)^(T$4-1)*Annahmen!$E$102,0)</f>
        <v>0</v>
      </c>
      <c r="U46" s="26" t="n">
        <f aca="false">IF(U$2&gt;=Annahmen!$C$102,Annahmen!$D$102*(1+Annahmen!$B$92)^(U$4-1)*Annahmen!$E$102,0)</f>
        <v>0</v>
      </c>
      <c r="V46" s="26" t="n">
        <f aca="false">IF(V$2&gt;=Annahmen!$C$102,Annahmen!$D$102*(1+Annahmen!$B$92)^(V$4-1)*Annahmen!$E$102,0)</f>
        <v>0</v>
      </c>
      <c r="W46" s="26" t="n">
        <f aca="false">IF(W$2&gt;=Annahmen!$C$102,Annahmen!$D$102*(1+Annahmen!$B$92)^(W$4-1)*Annahmen!$E$102,0)</f>
        <v>0</v>
      </c>
      <c r="X46" s="26" t="n">
        <f aca="false">IF(X$2&gt;=Annahmen!$C$102,Annahmen!$D$102*(1+Annahmen!$B$92)^(X$4-1)*Annahmen!$E$102,0)</f>
        <v>0</v>
      </c>
      <c r="Y46" s="26" t="n">
        <f aca="false">IF(Y$2&gt;=Annahmen!$C$102,Annahmen!$D$102*(1+Annahmen!$B$92)^(Y$4-1)*Annahmen!$E$102,0)</f>
        <v>0</v>
      </c>
      <c r="Z46" s="26" t="n">
        <f aca="false">IF(Z$2&gt;=Annahmen!$C$102,Annahmen!$D$102*(1+Annahmen!$B$92)^(Z$4-1)*Annahmen!$E$102,0)</f>
        <v>0</v>
      </c>
      <c r="AA46" s="26" t="n">
        <f aca="false">IF(AA$2&gt;=Annahmen!$C$102,Annahmen!$D$102*(1+Annahmen!$B$92)^(AA$4-1)*Annahmen!$E$102,0)</f>
        <v>0</v>
      </c>
      <c r="AB46" s="26" t="n">
        <f aca="false">IF(AB$2&gt;=Annahmen!$C$102,Annahmen!$D$102*(1+Annahmen!$B$92)^(AB$4-1)*Annahmen!$E$102,0)</f>
        <v>0</v>
      </c>
      <c r="AC46" s="26" t="n">
        <f aca="false">IF(AC$2&gt;=Annahmen!$C$102,Annahmen!$D$102*(1+Annahmen!$B$92)^(AC$4-1)*Annahmen!$E$102,0)</f>
        <v>0</v>
      </c>
      <c r="AD46" s="26" t="n">
        <f aca="false">IF(AD$2&gt;=Annahmen!$C$102,Annahmen!$D$102*(1+Annahmen!$B$92)^(AD$4-1)*Annahmen!$E$102,0)</f>
        <v>0</v>
      </c>
      <c r="AE46" s="26" t="n">
        <f aca="false">IF(AE$2&gt;=Annahmen!$C$102,Annahmen!$D$102*(1+Annahmen!$B$92)^(AE$4-1)*Annahmen!$E$102,0)</f>
        <v>0</v>
      </c>
      <c r="AF46" s="26" t="n">
        <f aca="false">IF(AF$2&gt;=Annahmen!$C$102,Annahmen!$D$102*(1+Annahmen!$B$92)^(AF$4-1)*Annahmen!$E$102,0)</f>
        <v>0</v>
      </c>
      <c r="AG46" s="26" t="n">
        <f aca="false">IF(AG$2&gt;=Annahmen!$C$102,Annahmen!$D$102*(1+Annahmen!$B$92)^(AG$4-1)*Annahmen!$E$102,0)</f>
        <v>0</v>
      </c>
      <c r="AH46" s="26" t="n">
        <f aca="false">IF(AH$2&gt;=Annahmen!$C$102,Annahmen!$D$102*(1+Annahmen!$B$92)^(AH$4-1)*Annahmen!$E$102,0)</f>
        <v>0</v>
      </c>
      <c r="AI46" s="26" t="n">
        <f aca="false">IF(AI$2&gt;=Annahmen!$C$102,Annahmen!$D$102*(1+Annahmen!$B$92)^(AI$4-1)*Annahmen!$E$102,0)</f>
        <v>0</v>
      </c>
      <c r="AJ46" s="26" t="n">
        <f aca="false">IF(AJ$2&gt;=Annahmen!$C$102,Annahmen!$D$102*(1+Annahmen!$B$92)^(AJ$4-1)*Annahmen!$E$102,0)</f>
        <v>0</v>
      </c>
      <c r="AK46" s="26" t="n">
        <f aca="false">IF(AK$2&gt;=Annahmen!$C$102,Annahmen!$D$102*(1+Annahmen!$B$92)^(AK$4-1)*Annahmen!$E$102,0)</f>
        <v>0</v>
      </c>
      <c r="AL46" s="26" t="n">
        <f aca="false">IF(AL$2&gt;=Annahmen!$C$102,Annahmen!$D$102*(1+Annahmen!$B$92)^(AL$4-1)*Annahmen!$E$102,0)</f>
        <v>0</v>
      </c>
    </row>
    <row r="47" customFormat="false" ht="15" hidden="false" customHeight="false" outlineLevel="0" collapsed="false">
      <c r="A47" s="5" t="s">
        <v>176</v>
      </c>
      <c r="C47" s="26" t="n">
        <f aca="false">IF(C$2&gt;=Annahmen!$C$103,Annahmen!$D$103*(1+Annahmen!$B$92)^(C$4-1)*Annahmen!$E$103,0)</f>
        <v>0</v>
      </c>
      <c r="D47" s="26" t="n">
        <f aca="false">IF(D$2&gt;=Annahmen!$C$103,Annahmen!$D$103*(1+Annahmen!$B$92)^(D$4-1)*Annahmen!$E$103,0)</f>
        <v>0</v>
      </c>
      <c r="E47" s="26" t="n">
        <f aca="false">IF(E$2&gt;=Annahmen!$C$103,Annahmen!$D$103*(1+Annahmen!$B$92)^(E$4-1)*Annahmen!$E$103,0)</f>
        <v>0</v>
      </c>
      <c r="F47" s="26" t="n">
        <f aca="false">IF(F$2&gt;=Annahmen!$C$103,Annahmen!$D$103*(1+Annahmen!$B$92)^(F$4-1)*Annahmen!$E$103,0)</f>
        <v>0</v>
      </c>
      <c r="G47" s="26" t="n">
        <f aca="false">IF(G$2&gt;=Annahmen!$C$103,Annahmen!$D$103*(1+Annahmen!$B$92)^(G$4-1)*Annahmen!$E$103,0)</f>
        <v>0</v>
      </c>
      <c r="H47" s="26" t="n">
        <f aca="false">IF(H$2&gt;=Annahmen!$C$103,Annahmen!$D$103*(1+Annahmen!$B$92)^(H$4-1)*Annahmen!$E$103,0)</f>
        <v>0</v>
      </c>
      <c r="I47" s="26" t="n">
        <f aca="false">IF(I$2&gt;=Annahmen!$C$103,Annahmen!$D$103*(1+Annahmen!$B$92)^(I$4-1)*Annahmen!$E$103,0)</f>
        <v>0</v>
      </c>
      <c r="J47" s="26" t="n">
        <f aca="false">IF(J$2&gt;=Annahmen!$C$103,Annahmen!$D$103*(1+Annahmen!$B$92)^(J$4-1)*Annahmen!$E$103,0)</f>
        <v>0</v>
      </c>
      <c r="K47" s="26" t="n">
        <f aca="false">IF(K$2&gt;=Annahmen!$C$103,Annahmen!$D$103*(1+Annahmen!$B$92)^(K$4-1)*Annahmen!$E$103,0)</f>
        <v>0</v>
      </c>
      <c r="L47" s="26" t="n">
        <f aca="false">IF(L$2&gt;=Annahmen!$C$103,Annahmen!$D$103*(1+Annahmen!$B$92)^(L$4-1)*Annahmen!$E$103,0)</f>
        <v>0</v>
      </c>
      <c r="M47" s="26" t="n">
        <f aca="false">IF(M$2&gt;=Annahmen!$C$103,Annahmen!$D$103*(1+Annahmen!$B$92)^(M$4-1)*Annahmen!$E$103,0)</f>
        <v>0</v>
      </c>
      <c r="N47" s="26" t="n">
        <f aca="false">IF(N$2&gt;=Annahmen!$C$103,Annahmen!$D$103*(1+Annahmen!$B$92)^(N$4-1)*Annahmen!$E$103,0)</f>
        <v>0</v>
      </c>
      <c r="O47" s="26" t="n">
        <f aca="false">IF(O$2&gt;=Annahmen!$C$103,Annahmen!$D$103*(1+Annahmen!$B$92)^(O$4-1)*Annahmen!$E$103,0)</f>
        <v>0</v>
      </c>
      <c r="P47" s="26" t="n">
        <f aca="false">IF(P$2&gt;=Annahmen!$C$103,Annahmen!$D$103*(1+Annahmen!$B$92)^(P$4-1)*Annahmen!$E$103,0)</f>
        <v>0</v>
      </c>
      <c r="Q47" s="26" t="n">
        <f aca="false">IF(Q$2&gt;=Annahmen!$C$103,Annahmen!$D$103*(1+Annahmen!$B$92)^(Q$4-1)*Annahmen!$E$103,0)</f>
        <v>0</v>
      </c>
      <c r="R47" s="26" t="n">
        <f aca="false">IF(R$2&gt;=Annahmen!$C$103,Annahmen!$D$103*(1+Annahmen!$B$92)^(R$4-1)*Annahmen!$E$103,0)</f>
        <v>0</v>
      </c>
      <c r="S47" s="26" t="n">
        <f aca="false">IF(S$2&gt;=Annahmen!$C$103,Annahmen!$D$103*(1+Annahmen!$B$92)^(S$4-1)*Annahmen!$E$103,0)</f>
        <v>0</v>
      </c>
      <c r="T47" s="26" t="n">
        <f aca="false">IF(T$2&gt;=Annahmen!$C$103,Annahmen!$D$103*(1+Annahmen!$B$92)^(T$4-1)*Annahmen!$E$103,0)</f>
        <v>0</v>
      </c>
      <c r="U47" s="26" t="n">
        <f aca="false">IF(U$2&gt;=Annahmen!$C$103,Annahmen!$D$103*(1+Annahmen!$B$92)^(U$4-1)*Annahmen!$E$103,0)</f>
        <v>0</v>
      </c>
      <c r="V47" s="26" t="n">
        <f aca="false">IF(V$2&gt;=Annahmen!$C$103,Annahmen!$D$103*(1+Annahmen!$B$92)^(V$4-1)*Annahmen!$E$103,0)</f>
        <v>0</v>
      </c>
      <c r="W47" s="26" t="n">
        <f aca="false">IF(W$2&gt;=Annahmen!$C$103,Annahmen!$D$103*(1+Annahmen!$B$92)^(W$4-1)*Annahmen!$E$103,0)</f>
        <v>0</v>
      </c>
      <c r="X47" s="26" t="n">
        <f aca="false">IF(X$2&gt;=Annahmen!$C$103,Annahmen!$D$103*(1+Annahmen!$B$92)^(X$4-1)*Annahmen!$E$103,0)</f>
        <v>0</v>
      </c>
      <c r="Y47" s="26" t="n">
        <f aca="false">IF(Y$2&gt;=Annahmen!$C$103,Annahmen!$D$103*(1+Annahmen!$B$92)^(Y$4-1)*Annahmen!$E$103,0)</f>
        <v>0</v>
      </c>
      <c r="Z47" s="26" t="n">
        <f aca="false">IF(Z$2&gt;=Annahmen!$C$103,Annahmen!$D$103*(1+Annahmen!$B$92)^(Z$4-1)*Annahmen!$E$103,0)</f>
        <v>0</v>
      </c>
      <c r="AA47" s="26" t="n">
        <f aca="false">IF(AA$2&gt;=Annahmen!$C$103,Annahmen!$D$103*(1+Annahmen!$B$92)^(AA$4-1)*Annahmen!$E$103,0)</f>
        <v>0</v>
      </c>
      <c r="AB47" s="26" t="n">
        <f aca="false">IF(AB$2&gt;=Annahmen!$C$103,Annahmen!$D$103*(1+Annahmen!$B$92)^(AB$4-1)*Annahmen!$E$103,0)</f>
        <v>0</v>
      </c>
      <c r="AC47" s="26" t="n">
        <f aca="false">IF(AC$2&gt;=Annahmen!$C$103,Annahmen!$D$103*(1+Annahmen!$B$92)^(AC$4-1)*Annahmen!$E$103,0)</f>
        <v>0</v>
      </c>
      <c r="AD47" s="26" t="n">
        <f aca="false">IF(AD$2&gt;=Annahmen!$C$103,Annahmen!$D$103*(1+Annahmen!$B$92)^(AD$4-1)*Annahmen!$E$103,0)</f>
        <v>0</v>
      </c>
      <c r="AE47" s="26" t="n">
        <f aca="false">IF(AE$2&gt;=Annahmen!$C$103,Annahmen!$D$103*(1+Annahmen!$B$92)^(AE$4-1)*Annahmen!$E$103,0)</f>
        <v>0</v>
      </c>
      <c r="AF47" s="26" t="n">
        <f aca="false">IF(AF$2&gt;=Annahmen!$C$103,Annahmen!$D$103*(1+Annahmen!$B$92)^(AF$4-1)*Annahmen!$E$103,0)</f>
        <v>0</v>
      </c>
      <c r="AG47" s="26" t="n">
        <f aca="false">IF(AG$2&gt;=Annahmen!$C$103,Annahmen!$D$103*(1+Annahmen!$B$92)^(AG$4-1)*Annahmen!$E$103,0)</f>
        <v>0</v>
      </c>
      <c r="AH47" s="26" t="n">
        <f aca="false">IF(AH$2&gt;=Annahmen!$C$103,Annahmen!$D$103*(1+Annahmen!$B$92)^(AH$4-1)*Annahmen!$E$103,0)</f>
        <v>0</v>
      </c>
      <c r="AI47" s="26" t="n">
        <f aca="false">IF(AI$2&gt;=Annahmen!$C$103,Annahmen!$D$103*(1+Annahmen!$B$92)^(AI$4-1)*Annahmen!$E$103,0)</f>
        <v>0</v>
      </c>
      <c r="AJ47" s="26" t="n">
        <f aca="false">IF(AJ$2&gt;=Annahmen!$C$103,Annahmen!$D$103*(1+Annahmen!$B$92)^(AJ$4-1)*Annahmen!$E$103,0)</f>
        <v>0</v>
      </c>
      <c r="AK47" s="26" t="n">
        <f aca="false">IF(AK$2&gt;=Annahmen!$C$103,Annahmen!$D$103*(1+Annahmen!$B$92)^(AK$4-1)*Annahmen!$E$103,0)</f>
        <v>0</v>
      </c>
      <c r="AL47" s="26" t="n">
        <f aca="false">IF(AL$2&gt;=Annahmen!$C$103,Annahmen!$D$103*(1+Annahmen!$B$92)^(AL$4-1)*Annahmen!$E$103,0)</f>
        <v>0</v>
      </c>
    </row>
    <row r="48" customFormat="false" ht="15" hidden="false" customHeight="false" outlineLevel="0" collapsed="false">
      <c r="A48" s="5" t="s">
        <v>177</v>
      </c>
      <c r="C48" s="26" t="n">
        <f aca="false">IF(C$2&gt;=Annahmen!$C$104,Annahmen!$D$104*(1+Annahmen!$B$92)^(C$4-1)*Annahmen!$E$104,0)</f>
        <v>0</v>
      </c>
      <c r="D48" s="26" t="n">
        <f aca="false">IF(D$2&gt;=Annahmen!$C$104,Annahmen!$D$104*(1+Annahmen!$B$92)^(D$4-1)*Annahmen!$E$104,0)</f>
        <v>0</v>
      </c>
      <c r="E48" s="26" t="n">
        <f aca="false">IF(E$2&gt;=Annahmen!$C$104,Annahmen!$D$104*(1+Annahmen!$B$92)^(E$4-1)*Annahmen!$E$104,0)</f>
        <v>0</v>
      </c>
      <c r="F48" s="26" t="n">
        <f aca="false">IF(F$2&gt;=Annahmen!$C$104,Annahmen!$D$104*(1+Annahmen!$B$92)^(F$4-1)*Annahmen!$E$104,0)</f>
        <v>0</v>
      </c>
      <c r="G48" s="26" t="n">
        <f aca="false">IF(G$2&gt;=Annahmen!$C$104,Annahmen!$D$104*(1+Annahmen!$B$92)^(G$4-1)*Annahmen!$E$104,0)</f>
        <v>0</v>
      </c>
      <c r="H48" s="26" t="n">
        <f aca="false">IF(H$2&gt;=Annahmen!$C$104,Annahmen!$D$104*(1+Annahmen!$B$92)^(H$4-1)*Annahmen!$E$104,0)</f>
        <v>0</v>
      </c>
      <c r="I48" s="26" t="n">
        <f aca="false">IF(I$2&gt;=Annahmen!$C$104,Annahmen!$D$104*(1+Annahmen!$B$92)^(I$4-1)*Annahmen!$E$104,0)</f>
        <v>0</v>
      </c>
      <c r="J48" s="26" t="n">
        <f aca="false">IF(J$2&gt;=Annahmen!$C$104,Annahmen!$D$104*(1+Annahmen!$B$92)^(J$4-1)*Annahmen!$E$104,0)</f>
        <v>0</v>
      </c>
      <c r="K48" s="26" t="n">
        <f aca="false">IF(K$2&gt;=Annahmen!$C$104,Annahmen!$D$104*(1+Annahmen!$B$92)^(K$4-1)*Annahmen!$E$104,0)</f>
        <v>0</v>
      </c>
      <c r="L48" s="26" t="n">
        <f aca="false">IF(L$2&gt;=Annahmen!$C$104,Annahmen!$D$104*(1+Annahmen!$B$92)^(L$4-1)*Annahmen!$E$104,0)</f>
        <v>0</v>
      </c>
      <c r="M48" s="26" t="n">
        <f aca="false">IF(M$2&gt;=Annahmen!$C$104,Annahmen!$D$104*(1+Annahmen!$B$92)^(M$4-1)*Annahmen!$E$104,0)</f>
        <v>0</v>
      </c>
      <c r="N48" s="26" t="n">
        <f aca="false">IF(N$2&gt;=Annahmen!$C$104,Annahmen!$D$104*(1+Annahmen!$B$92)^(N$4-1)*Annahmen!$E$104,0)</f>
        <v>0</v>
      </c>
      <c r="O48" s="26" t="n">
        <f aca="false">IF(O$2&gt;=Annahmen!$C$104,Annahmen!$D$104*(1+Annahmen!$B$92)^(O$4-1)*Annahmen!$E$104,0)</f>
        <v>0</v>
      </c>
      <c r="P48" s="26" t="n">
        <f aca="false">IF(P$2&gt;=Annahmen!$C$104,Annahmen!$D$104*(1+Annahmen!$B$92)^(P$4-1)*Annahmen!$E$104,0)</f>
        <v>0</v>
      </c>
      <c r="Q48" s="26" t="n">
        <f aca="false">IF(Q$2&gt;=Annahmen!$C$104,Annahmen!$D$104*(1+Annahmen!$B$92)^(Q$4-1)*Annahmen!$E$104,0)</f>
        <v>0</v>
      </c>
      <c r="R48" s="26" t="n">
        <f aca="false">IF(R$2&gt;=Annahmen!$C$104,Annahmen!$D$104*(1+Annahmen!$B$92)^(R$4-1)*Annahmen!$E$104,0)</f>
        <v>0</v>
      </c>
      <c r="S48" s="26" t="n">
        <f aca="false">IF(S$2&gt;=Annahmen!$C$104,Annahmen!$D$104*(1+Annahmen!$B$92)^(S$4-1)*Annahmen!$E$104,0)</f>
        <v>0</v>
      </c>
      <c r="T48" s="26" t="n">
        <f aca="false">IF(T$2&gt;=Annahmen!$C$104,Annahmen!$D$104*(1+Annahmen!$B$92)^(T$4-1)*Annahmen!$E$104,0)</f>
        <v>0</v>
      </c>
      <c r="U48" s="26" t="n">
        <f aca="false">IF(U$2&gt;=Annahmen!$C$104,Annahmen!$D$104*(1+Annahmen!$B$92)^(U$4-1)*Annahmen!$E$104,0)</f>
        <v>0</v>
      </c>
      <c r="V48" s="26" t="n">
        <f aca="false">IF(V$2&gt;=Annahmen!$C$104,Annahmen!$D$104*(1+Annahmen!$B$92)^(V$4-1)*Annahmen!$E$104,0)</f>
        <v>0</v>
      </c>
      <c r="W48" s="26" t="n">
        <f aca="false">IF(W$2&gt;=Annahmen!$C$104,Annahmen!$D$104*(1+Annahmen!$B$92)^(W$4-1)*Annahmen!$E$104,0)</f>
        <v>0</v>
      </c>
      <c r="X48" s="26" t="n">
        <f aca="false">IF(X$2&gt;=Annahmen!$C$104,Annahmen!$D$104*(1+Annahmen!$B$92)^(X$4-1)*Annahmen!$E$104,0)</f>
        <v>0</v>
      </c>
      <c r="Y48" s="26" t="n">
        <f aca="false">IF(Y$2&gt;=Annahmen!$C$104,Annahmen!$D$104*(1+Annahmen!$B$92)^(Y$4-1)*Annahmen!$E$104,0)</f>
        <v>0</v>
      </c>
      <c r="Z48" s="26" t="n">
        <f aca="false">IF(Z$2&gt;=Annahmen!$C$104,Annahmen!$D$104*(1+Annahmen!$B$92)^(Z$4-1)*Annahmen!$E$104,0)</f>
        <v>0</v>
      </c>
      <c r="AA48" s="26" t="n">
        <f aca="false">IF(AA$2&gt;=Annahmen!$C$104,Annahmen!$D$104*(1+Annahmen!$B$92)^(AA$4-1)*Annahmen!$E$104,0)</f>
        <v>0</v>
      </c>
      <c r="AB48" s="26" t="n">
        <f aca="false">IF(AB$2&gt;=Annahmen!$C$104,Annahmen!$D$104*(1+Annahmen!$B$92)^(AB$4-1)*Annahmen!$E$104,0)</f>
        <v>0</v>
      </c>
      <c r="AC48" s="26" t="n">
        <f aca="false">IF(AC$2&gt;=Annahmen!$C$104,Annahmen!$D$104*(1+Annahmen!$B$92)^(AC$4-1)*Annahmen!$E$104,0)</f>
        <v>0</v>
      </c>
      <c r="AD48" s="26" t="n">
        <f aca="false">IF(AD$2&gt;=Annahmen!$C$104,Annahmen!$D$104*(1+Annahmen!$B$92)^(AD$4-1)*Annahmen!$E$104,0)</f>
        <v>0</v>
      </c>
      <c r="AE48" s="26" t="n">
        <f aca="false">IF(AE$2&gt;=Annahmen!$C$104,Annahmen!$D$104*(1+Annahmen!$B$92)^(AE$4-1)*Annahmen!$E$104,0)</f>
        <v>0</v>
      </c>
      <c r="AF48" s="26" t="n">
        <f aca="false">IF(AF$2&gt;=Annahmen!$C$104,Annahmen!$D$104*(1+Annahmen!$B$92)^(AF$4-1)*Annahmen!$E$104,0)</f>
        <v>0</v>
      </c>
      <c r="AG48" s="26" t="n">
        <f aca="false">IF(AG$2&gt;=Annahmen!$C$104,Annahmen!$D$104*(1+Annahmen!$B$92)^(AG$4-1)*Annahmen!$E$104,0)</f>
        <v>0</v>
      </c>
      <c r="AH48" s="26" t="n">
        <f aca="false">IF(AH$2&gt;=Annahmen!$C$104,Annahmen!$D$104*(1+Annahmen!$B$92)^(AH$4-1)*Annahmen!$E$104,0)</f>
        <v>0</v>
      </c>
      <c r="AI48" s="26" t="n">
        <f aca="false">IF(AI$2&gt;=Annahmen!$C$104,Annahmen!$D$104*(1+Annahmen!$B$92)^(AI$4-1)*Annahmen!$E$104,0)</f>
        <v>0</v>
      </c>
      <c r="AJ48" s="26" t="n">
        <f aca="false">IF(AJ$2&gt;=Annahmen!$C$104,Annahmen!$D$104*(1+Annahmen!$B$92)^(AJ$4-1)*Annahmen!$E$104,0)</f>
        <v>0</v>
      </c>
      <c r="AK48" s="26" t="n">
        <f aca="false">IF(AK$2&gt;=Annahmen!$C$104,Annahmen!$D$104*(1+Annahmen!$B$92)^(AK$4-1)*Annahmen!$E$104,0)</f>
        <v>0</v>
      </c>
      <c r="AL48" s="26" t="n">
        <f aca="false">IF(AL$2&gt;=Annahmen!$C$104,Annahmen!$D$104*(1+Annahmen!$B$92)^(AL$4-1)*Annahmen!$E$104,0)</f>
        <v>0</v>
      </c>
    </row>
    <row r="49" customFormat="false" ht="15" hidden="false" customHeight="false" outlineLevel="0" collapsed="false">
      <c r="A49" s="5" t="s">
        <v>178</v>
      </c>
      <c r="C49" s="26" t="n">
        <f aca="false">IF(C$2&gt;=Annahmen!$C$105,Annahmen!$D$105*(1+Annahmen!$B$92)^(C$4-1)*Annahmen!$E$105,0)</f>
        <v>0</v>
      </c>
      <c r="D49" s="26" t="n">
        <f aca="false">IF(D$2&gt;=Annahmen!$C$105,Annahmen!$D$105*(1+Annahmen!$B$92)^(D$4-1)*Annahmen!$E$105,0)</f>
        <v>0</v>
      </c>
      <c r="E49" s="26" t="n">
        <f aca="false">IF(E$2&gt;=Annahmen!$C$105,Annahmen!$D$105*(1+Annahmen!$B$92)^(E$4-1)*Annahmen!$E$105,0)</f>
        <v>0</v>
      </c>
      <c r="F49" s="26" t="n">
        <f aca="false">IF(F$2&gt;=Annahmen!$C$105,Annahmen!$D$105*(1+Annahmen!$B$92)^(F$4-1)*Annahmen!$E$105,0)</f>
        <v>0</v>
      </c>
      <c r="G49" s="26" t="n">
        <f aca="false">IF(G$2&gt;=Annahmen!$C$105,Annahmen!$D$105*(1+Annahmen!$B$92)^(G$4-1)*Annahmen!$E$105,0)</f>
        <v>0</v>
      </c>
      <c r="H49" s="26" t="n">
        <f aca="false">IF(H$2&gt;=Annahmen!$C$105,Annahmen!$D$105*(1+Annahmen!$B$92)^(H$4-1)*Annahmen!$E$105,0)</f>
        <v>0</v>
      </c>
      <c r="I49" s="26" t="n">
        <f aca="false">IF(I$2&gt;=Annahmen!$C$105,Annahmen!$D$105*(1+Annahmen!$B$92)^(I$4-1)*Annahmen!$E$105,0)</f>
        <v>0</v>
      </c>
      <c r="J49" s="26" t="n">
        <f aca="false">IF(J$2&gt;=Annahmen!$C$105,Annahmen!$D$105*(1+Annahmen!$B$92)^(J$4-1)*Annahmen!$E$105,0)</f>
        <v>0</v>
      </c>
      <c r="K49" s="26" t="n">
        <f aca="false">IF(K$2&gt;=Annahmen!$C$105,Annahmen!$D$105*(1+Annahmen!$B$92)^(K$4-1)*Annahmen!$E$105,0)</f>
        <v>0</v>
      </c>
      <c r="L49" s="26" t="n">
        <f aca="false">IF(L$2&gt;=Annahmen!$C$105,Annahmen!$D$105*(1+Annahmen!$B$92)^(L$4-1)*Annahmen!$E$105,0)</f>
        <v>0</v>
      </c>
      <c r="M49" s="26" t="n">
        <f aca="false">IF(M$2&gt;=Annahmen!$C$105,Annahmen!$D$105*(1+Annahmen!$B$92)^(M$4-1)*Annahmen!$E$105,0)</f>
        <v>0</v>
      </c>
      <c r="N49" s="26" t="n">
        <f aca="false">IF(N$2&gt;=Annahmen!$C$105,Annahmen!$D$105*(1+Annahmen!$B$92)^(N$4-1)*Annahmen!$E$105,0)</f>
        <v>0</v>
      </c>
      <c r="O49" s="26" t="n">
        <f aca="false">IF(O$2&gt;=Annahmen!$C$105,Annahmen!$D$105*(1+Annahmen!$B$92)^(O$4-1)*Annahmen!$E$105,0)</f>
        <v>0</v>
      </c>
      <c r="P49" s="26" t="n">
        <f aca="false">IF(P$2&gt;=Annahmen!$C$105,Annahmen!$D$105*(1+Annahmen!$B$92)^(P$4-1)*Annahmen!$E$105,0)</f>
        <v>0</v>
      </c>
      <c r="Q49" s="26" t="n">
        <f aca="false">IF(Q$2&gt;=Annahmen!$C$105,Annahmen!$D$105*(1+Annahmen!$B$92)^(Q$4-1)*Annahmen!$E$105,0)</f>
        <v>0</v>
      </c>
      <c r="R49" s="26" t="n">
        <f aca="false">IF(R$2&gt;=Annahmen!$C$105,Annahmen!$D$105*(1+Annahmen!$B$92)^(R$4-1)*Annahmen!$E$105,0)</f>
        <v>0</v>
      </c>
      <c r="S49" s="26" t="n">
        <f aca="false">IF(S$2&gt;=Annahmen!$C$105,Annahmen!$D$105*(1+Annahmen!$B$92)^(S$4-1)*Annahmen!$E$105,0)</f>
        <v>0</v>
      </c>
      <c r="T49" s="26" t="n">
        <f aca="false">IF(T$2&gt;=Annahmen!$C$105,Annahmen!$D$105*(1+Annahmen!$B$92)^(T$4-1)*Annahmen!$E$105,0)</f>
        <v>0</v>
      </c>
      <c r="U49" s="26" t="n">
        <f aca="false">IF(U$2&gt;=Annahmen!$C$105,Annahmen!$D$105*(1+Annahmen!$B$92)^(U$4-1)*Annahmen!$E$105,0)</f>
        <v>0</v>
      </c>
      <c r="V49" s="26" t="n">
        <f aca="false">IF(V$2&gt;=Annahmen!$C$105,Annahmen!$D$105*(1+Annahmen!$B$92)^(V$4-1)*Annahmen!$E$105,0)</f>
        <v>0</v>
      </c>
      <c r="W49" s="26" t="n">
        <f aca="false">IF(W$2&gt;=Annahmen!$C$105,Annahmen!$D$105*(1+Annahmen!$B$92)^(W$4-1)*Annahmen!$E$105,0)</f>
        <v>0</v>
      </c>
      <c r="X49" s="26" t="n">
        <f aca="false">IF(X$2&gt;=Annahmen!$C$105,Annahmen!$D$105*(1+Annahmen!$B$92)^(X$4-1)*Annahmen!$E$105,0)</f>
        <v>0</v>
      </c>
      <c r="Y49" s="26" t="n">
        <f aca="false">IF(Y$2&gt;=Annahmen!$C$105,Annahmen!$D$105*(1+Annahmen!$B$92)^(Y$4-1)*Annahmen!$E$105,0)</f>
        <v>0</v>
      </c>
      <c r="Z49" s="26" t="n">
        <f aca="false">IF(Z$2&gt;=Annahmen!$C$105,Annahmen!$D$105*(1+Annahmen!$B$92)^(Z$4-1)*Annahmen!$E$105,0)</f>
        <v>0</v>
      </c>
      <c r="AA49" s="26" t="n">
        <f aca="false">IF(AA$2&gt;=Annahmen!$C$105,Annahmen!$D$105*(1+Annahmen!$B$92)^(AA$4-1)*Annahmen!$E$105,0)</f>
        <v>0</v>
      </c>
      <c r="AB49" s="26" t="n">
        <f aca="false">IF(AB$2&gt;=Annahmen!$C$105,Annahmen!$D$105*(1+Annahmen!$B$92)^(AB$4-1)*Annahmen!$E$105,0)</f>
        <v>0</v>
      </c>
      <c r="AC49" s="26" t="n">
        <f aca="false">IF(AC$2&gt;=Annahmen!$C$105,Annahmen!$D$105*(1+Annahmen!$B$92)^(AC$4-1)*Annahmen!$E$105,0)</f>
        <v>0</v>
      </c>
      <c r="AD49" s="26" t="n">
        <f aca="false">IF(AD$2&gt;=Annahmen!$C$105,Annahmen!$D$105*(1+Annahmen!$B$92)^(AD$4-1)*Annahmen!$E$105,0)</f>
        <v>0</v>
      </c>
      <c r="AE49" s="26" t="n">
        <f aca="false">IF(AE$2&gt;=Annahmen!$C$105,Annahmen!$D$105*(1+Annahmen!$B$92)^(AE$4-1)*Annahmen!$E$105,0)</f>
        <v>0</v>
      </c>
      <c r="AF49" s="26" t="n">
        <f aca="false">IF(AF$2&gt;=Annahmen!$C$105,Annahmen!$D$105*(1+Annahmen!$B$92)^(AF$4-1)*Annahmen!$E$105,0)</f>
        <v>0</v>
      </c>
      <c r="AG49" s="26" t="n">
        <f aca="false">IF(AG$2&gt;=Annahmen!$C$105,Annahmen!$D$105*(1+Annahmen!$B$92)^(AG$4-1)*Annahmen!$E$105,0)</f>
        <v>0</v>
      </c>
      <c r="AH49" s="26" t="n">
        <f aca="false">IF(AH$2&gt;=Annahmen!$C$105,Annahmen!$D$105*(1+Annahmen!$B$92)^(AH$4-1)*Annahmen!$E$105,0)</f>
        <v>0</v>
      </c>
      <c r="AI49" s="26" t="n">
        <f aca="false">IF(AI$2&gt;=Annahmen!$C$105,Annahmen!$D$105*(1+Annahmen!$B$92)^(AI$4-1)*Annahmen!$E$105,0)</f>
        <v>0</v>
      </c>
      <c r="AJ49" s="26" t="n">
        <f aca="false">IF(AJ$2&gt;=Annahmen!$C$105,Annahmen!$D$105*(1+Annahmen!$B$92)^(AJ$4-1)*Annahmen!$E$105,0)</f>
        <v>0</v>
      </c>
      <c r="AK49" s="26" t="n">
        <f aca="false">IF(AK$2&gt;=Annahmen!$C$105,Annahmen!$D$105*(1+Annahmen!$B$92)^(AK$4-1)*Annahmen!$E$105,0)</f>
        <v>0</v>
      </c>
      <c r="AL49" s="26" t="n">
        <f aca="false">IF(AL$2&gt;=Annahmen!$C$105,Annahmen!$D$105*(1+Annahmen!$B$92)^(AL$4-1)*Annahmen!$E$105,0)</f>
        <v>0</v>
      </c>
    </row>
    <row r="50" customFormat="false" ht="15" hidden="false" customHeight="false" outlineLevel="0" collapsed="false">
      <c r="A50" s="3" t="s">
        <v>248</v>
      </c>
      <c r="C50" s="30" t="n">
        <f aca="false">SUM(C37:C49)</f>
        <v>2500</v>
      </c>
      <c r="D50" s="30" t="n">
        <f aca="false">SUM(D37:D49)</f>
        <v>2500</v>
      </c>
      <c r="E50" s="30" t="n">
        <f aca="false">SUM(E37:E49)</f>
        <v>2500</v>
      </c>
      <c r="F50" s="30" t="n">
        <f aca="false">SUM(F37:F49)</f>
        <v>2500</v>
      </c>
      <c r="G50" s="30" t="n">
        <f aca="false">SUM(G37:G49)</f>
        <v>2500</v>
      </c>
      <c r="H50" s="30" t="n">
        <f aca="false">SUM(H37:H49)</f>
        <v>2500</v>
      </c>
      <c r="I50" s="30" t="n">
        <f aca="false">SUM(I37:I49)</f>
        <v>7098</v>
      </c>
      <c r="J50" s="30" t="n">
        <f aca="false">SUM(J37:J49)</f>
        <v>7098</v>
      </c>
      <c r="K50" s="30" t="n">
        <f aca="false">SUM(K37:K49)</f>
        <v>7098</v>
      </c>
      <c r="L50" s="30" t="n">
        <f aca="false">SUM(L37:L49)</f>
        <v>13390</v>
      </c>
      <c r="M50" s="30" t="n">
        <f aca="false">SUM(M37:M49)</f>
        <v>13390</v>
      </c>
      <c r="N50" s="30" t="n">
        <f aca="false">SUM(N37:N49)</f>
        <v>13390</v>
      </c>
      <c r="O50" s="30" t="n">
        <f aca="false">SUM(O37:O49)</f>
        <v>22445.24</v>
      </c>
      <c r="P50" s="30" t="n">
        <f aca="false">SUM(P37:P49)</f>
        <v>22445.24</v>
      </c>
      <c r="Q50" s="30" t="n">
        <f aca="false">SUM(Q37:Q49)</f>
        <v>22445.24</v>
      </c>
      <c r="R50" s="30" t="n">
        <f aca="false">SUM(R37:R49)</f>
        <v>22445.24</v>
      </c>
      <c r="S50" s="30" t="n">
        <f aca="false">SUM(S37:S49)</f>
        <v>22445.24</v>
      </c>
      <c r="T50" s="30" t="n">
        <f aca="false">SUM(T37:T49)</f>
        <v>22445.24</v>
      </c>
      <c r="U50" s="30" t="n">
        <f aca="false">SUM(U37:U49)</f>
        <v>22445.24</v>
      </c>
      <c r="V50" s="30" t="n">
        <f aca="false">SUM(V37:V49)</f>
        <v>22445.24</v>
      </c>
      <c r="W50" s="30" t="n">
        <f aca="false">SUM(W37:W49)</f>
        <v>22445.24</v>
      </c>
      <c r="X50" s="30" t="n">
        <f aca="false">SUM(X37:X49)</f>
        <v>28926</v>
      </c>
      <c r="Y50" s="30" t="n">
        <f aca="false">SUM(Y37:Y49)</f>
        <v>28926</v>
      </c>
      <c r="Z50" s="30" t="n">
        <f aca="false">SUM(Z37:Z49)</f>
        <v>28926</v>
      </c>
      <c r="AA50" s="30" t="n">
        <f aca="false">SUM(AA37:AA49)</f>
        <v>31173.78</v>
      </c>
      <c r="AB50" s="30" t="n">
        <f aca="false">SUM(AB37:AB49)</f>
        <v>31173.78</v>
      </c>
      <c r="AC50" s="30" t="n">
        <f aca="false">SUM(AC37:AC49)</f>
        <v>31173.78</v>
      </c>
      <c r="AD50" s="30" t="n">
        <f aca="false">SUM(AD37:AD49)</f>
        <v>36051.7982</v>
      </c>
      <c r="AE50" s="30" t="n">
        <f aca="false">SUM(AE37:AE49)</f>
        <v>36051.7982</v>
      </c>
      <c r="AF50" s="30" t="n">
        <f aca="false">SUM(AF37:AF49)</f>
        <v>36051.7982</v>
      </c>
      <c r="AG50" s="30" t="n">
        <f aca="false">SUM(AG37:AG49)</f>
        <v>41186.5542</v>
      </c>
      <c r="AH50" s="30" t="n">
        <f aca="false">SUM(AH37:AH49)</f>
        <v>41186.5542</v>
      </c>
      <c r="AI50" s="30" t="n">
        <f aca="false">SUM(AI37:AI49)</f>
        <v>41186.5542</v>
      </c>
      <c r="AJ50" s="30" t="n">
        <f aca="false">SUM(AJ37:AJ49)</f>
        <v>41186.5542</v>
      </c>
      <c r="AK50" s="30" t="n">
        <f aca="false">SUM(AK37:AK49)</f>
        <v>41186.5542</v>
      </c>
      <c r="AL50" s="30" t="n">
        <f aca="false">SUM(AL37:AL49)</f>
        <v>41186.5542</v>
      </c>
    </row>
    <row r="51" customFormat="false" ht="15" hidden="false" customHeight="false" outlineLevel="0" collapsed="false">
      <c r="A51" s="5" t="s">
        <v>249</v>
      </c>
      <c r="C51" s="26" t="n">
        <f aca="false">SUMIF(Annahmen!$B$94:$B$105,"Vertrieb",C38:C49)+SUMIF(Annahmen!$B$94:$B$105,"Marketing",C38:C49)</f>
        <v>0</v>
      </c>
      <c r="D51" s="26" t="n">
        <f aca="false">SUMIF(Annahmen!$B$94:$B$105,"Vertrieb",D38:D49)+SUMIF(Annahmen!$B$94:$B$105,"Marketing",D38:D49)</f>
        <v>0</v>
      </c>
      <c r="E51" s="26" t="n">
        <f aca="false">SUMIF(Annahmen!$B$94:$B$105,"Vertrieb",E38:E49)+SUMIF(Annahmen!$B$94:$B$105,"Marketing",E38:E49)</f>
        <v>0</v>
      </c>
      <c r="F51" s="26" t="n">
        <f aca="false">SUMIF(Annahmen!$B$94:$B$105,"Vertrieb",F38:F49)+SUMIF(Annahmen!$B$94:$B$105,"Marketing",F38:F49)</f>
        <v>0</v>
      </c>
      <c r="G51" s="26" t="n">
        <f aca="false">SUMIF(Annahmen!$B$94:$B$105,"Vertrieb",G38:G49)+SUMIF(Annahmen!$B$94:$B$105,"Marketing",G38:G49)</f>
        <v>0</v>
      </c>
      <c r="H51" s="26" t="n">
        <f aca="false">SUMIF(Annahmen!$B$94:$B$105,"Vertrieb",H38:H49)+SUMIF(Annahmen!$B$94:$B$105,"Marketing",H38:H49)</f>
        <v>0</v>
      </c>
      <c r="I51" s="26" t="n">
        <f aca="false">SUMIF(Annahmen!$B$94:$B$105,"Vertrieb",I38:I49)+SUMIF(Annahmen!$B$94:$B$105,"Marketing",I38:I49)</f>
        <v>4598</v>
      </c>
      <c r="J51" s="26" t="n">
        <f aca="false">SUMIF(Annahmen!$B$94:$B$105,"Vertrieb",J38:J49)+SUMIF(Annahmen!$B$94:$B$105,"Marketing",J38:J49)</f>
        <v>4598</v>
      </c>
      <c r="K51" s="26" t="n">
        <f aca="false">SUMIF(Annahmen!$B$94:$B$105,"Vertrieb",K38:K49)+SUMIF(Annahmen!$B$94:$B$105,"Marketing",K38:K49)</f>
        <v>4598</v>
      </c>
      <c r="L51" s="26" t="n">
        <f aca="false">SUMIF(Annahmen!$B$94:$B$105,"Vertrieb",L38:L49)+SUMIF(Annahmen!$B$94:$B$105,"Marketing",L38:L49)</f>
        <v>4598</v>
      </c>
      <c r="M51" s="26" t="n">
        <f aca="false">SUMIF(Annahmen!$B$94:$B$105,"Vertrieb",M38:M49)+SUMIF(Annahmen!$B$94:$B$105,"Marketing",M38:M49)</f>
        <v>4598</v>
      </c>
      <c r="N51" s="26" t="n">
        <f aca="false">SUMIF(Annahmen!$B$94:$B$105,"Vertrieb",N38:N49)+SUMIF(Annahmen!$B$94:$B$105,"Marketing",N38:N49)</f>
        <v>4598</v>
      </c>
      <c r="O51" s="26" t="n">
        <f aca="false">SUMIF(Annahmen!$B$94:$B$105,"Vertrieb",O38:O49)+SUMIF(Annahmen!$B$94:$B$105,"Marketing",O38:O49)</f>
        <v>9970.4</v>
      </c>
      <c r="P51" s="26" t="n">
        <f aca="false">SUMIF(Annahmen!$B$94:$B$105,"Vertrieb",P38:P49)+SUMIF(Annahmen!$B$94:$B$105,"Marketing",P38:P49)</f>
        <v>9970.4</v>
      </c>
      <c r="Q51" s="26" t="n">
        <f aca="false">SUMIF(Annahmen!$B$94:$B$105,"Vertrieb",Q38:Q49)+SUMIF(Annahmen!$B$94:$B$105,"Marketing",Q38:Q49)</f>
        <v>9970.4</v>
      </c>
      <c r="R51" s="26" t="n">
        <f aca="false">SUMIF(Annahmen!$B$94:$B$105,"Vertrieb",R38:R49)+SUMIF(Annahmen!$B$94:$B$105,"Marketing",R38:R49)</f>
        <v>9970.4</v>
      </c>
      <c r="S51" s="26" t="n">
        <f aca="false">SUMIF(Annahmen!$B$94:$B$105,"Vertrieb",S38:S49)+SUMIF(Annahmen!$B$94:$B$105,"Marketing",S38:S49)</f>
        <v>9970.4</v>
      </c>
      <c r="T51" s="26" t="n">
        <f aca="false">SUMIF(Annahmen!$B$94:$B$105,"Vertrieb",T38:T49)+SUMIF(Annahmen!$B$94:$B$105,"Marketing",T38:T49)</f>
        <v>9970.4</v>
      </c>
      <c r="U51" s="26" t="n">
        <f aca="false">SUMIF(Annahmen!$B$94:$B$105,"Vertrieb",U38:U49)+SUMIF(Annahmen!$B$94:$B$105,"Marketing",U38:U49)</f>
        <v>9970.4</v>
      </c>
      <c r="V51" s="26" t="n">
        <f aca="false">SUMIF(Annahmen!$B$94:$B$105,"Vertrieb",V38:V49)+SUMIF(Annahmen!$B$94:$B$105,"Marketing",V38:V49)</f>
        <v>9970.4</v>
      </c>
      <c r="W51" s="26" t="n">
        <f aca="false">SUMIF(Annahmen!$B$94:$B$105,"Vertrieb",W38:W49)+SUMIF(Annahmen!$B$94:$B$105,"Marketing",W38:W49)</f>
        <v>9970.4</v>
      </c>
      <c r="X51" s="26" t="n">
        <f aca="false">SUMIF(Annahmen!$B$94:$B$105,"Vertrieb",X38:X49)+SUMIF(Annahmen!$B$94:$B$105,"Marketing",X38:X49)</f>
        <v>9970.4</v>
      </c>
      <c r="Y51" s="26" t="n">
        <f aca="false">SUMIF(Annahmen!$B$94:$B$105,"Vertrieb",Y38:Y49)+SUMIF(Annahmen!$B$94:$B$105,"Marketing",Y38:Y49)</f>
        <v>9970.4</v>
      </c>
      <c r="Z51" s="26" t="n">
        <f aca="false">SUMIF(Annahmen!$B$94:$B$105,"Vertrieb",Z38:Z49)+SUMIF(Annahmen!$B$94:$B$105,"Marketing",Z38:Z49)</f>
        <v>9970.4</v>
      </c>
      <c r="AA51" s="26" t="n">
        <f aca="false">SUMIF(Annahmen!$B$94:$B$105,"Vertrieb",AA38:AA49)+SUMIF(Annahmen!$B$94:$B$105,"Marketing",AA38:AA49)</f>
        <v>10269.512</v>
      </c>
      <c r="AB51" s="26" t="n">
        <f aca="false">SUMIF(Annahmen!$B$94:$B$105,"Vertrieb",AB38:AB49)+SUMIF(Annahmen!$B$94:$B$105,"Marketing",AB38:AB49)</f>
        <v>10269.512</v>
      </c>
      <c r="AC51" s="26" t="n">
        <f aca="false">SUMIF(Annahmen!$B$94:$B$105,"Vertrieb",AC38:AC49)+SUMIF(Annahmen!$B$94:$B$105,"Marketing",AC38:AC49)</f>
        <v>10269.512</v>
      </c>
      <c r="AD51" s="26" t="n">
        <f aca="false">SUMIF(Annahmen!$B$94:$B$105,"Vertrieb",AD38:AD49)+SUMIF(Annahmen!$B$94:$B$105,"Marketing",AD38:AD49)</f>
        <v>10269.512</v>
      </c>
      <c r="AE51" s="26" t="n">
        <f aca="false">SUMIF(Annahmen!$B$94:$B$105,"Vertrieb",AE38:AE49)+SUMIF(Annahmen!$B$94:$B$105,"Marketing",AE38:AE49)</f>
        <v>10269.512</v>
      </c>
      <c r="AF51" s="26" t="n">
        <f aca="false">SUMIF(Annahmen!$B$94:$B$105,"Vertrieb",AF38:AF49)+SUMIF(Annahmen!$B$94:$B$105,"Marketing",AF38:AF49)</f>
        <v>10269.512</v>
      </c>
      <c r="AG51" s="26" t="n">
        <f aca="false">SUMIF(Annahmen!$B$94:$B$105,"Vertrieb",AG38:AG49)+SUMIF(Annahmen!$B$94:$B$105,"Marketing",AG38:AG49)</f>
        <v>15404.268</v>
      </c>
      <c r="AH51" s="26" t="n">
        <f aca="false">SUMIF(Annahmen!$B$94:$B$105,"Vertrieb",AH38:AH49)+SUMIF(Annahmen!$B$94:$B$105,"Marketing",AH38:AH49)</f>
        <v>15404.268</v>
      </c>
      <c r="AI51" s="26" t="n">
        <f aca="false">SUMIF(Annahmen!$B$94:$B$105,"Vertrieb",AI38:AI49)+SUMIF(Annahmen!$B$94:$B$105,"Marketing",AI38:AI49)</f>
        <v>15404.268</v>
      </c>
      <c r="AJ51" s="26" t="n">
        <f aca="false">SUMIF(Annahmen!$B$94:$B$105,"Vertrieb",AJ38:AJ49)+SUMIF(Annahmen!$B$94:$B$105,"Marketing",AJ38:AJ49)</f>
        <v>15404.268</v>
      </c>
      <c r="AK51" s="26" t="n">
        <f aca="false">SUMIF(Annahmen!$B$94:$B$105,"Vertrieb",AK38:AK49)+SUMIF(Annahmen!$B$94:$B$105,"Marketing",AK38:AK49)</f>
        <v>15404.268</v>
      </c>
      <c r="AL51" s="26" t="n">
        <f aca="false">SUMIF(Annahmen!$B$94:$B$105,"Vertrieb",AL38:AL49)+SUMIF(Annahmen!$B$94:$B$105,"Marketing",AL38:AL49)</f>
        <v>15404.268</v>
      </c>
    </row>
    <row r="52" customFormat="false" ht="15" hidden="false" customHeight="false" outlineLevel="0" collapsed="false">
      <c r="A52" s="5" t="s">
        <v>250</v>
      </c>
      <c r="B52" s="25" t="n">
        <v>0</v>
      </c>
      <c r="C52" s="25" t="n">
        <f aca="false">1+COUNTIF(Annahmen!$C$94:$C$105,"&lt;="&amp;C$2)</f>
        <v>1</v>
      </c>
      <c r="D52" s="25" t="n">
        <f aca="false">1+COUNTIF(Annahmen!$C$94:$C$105,"&lt;="&amp;D$2)</f>
        <v>1</v>
      </c>
      <c r="E52" s="25" t="n">
        <f aca="false">1+COUNTIF(Annahmen!$C$94:$C$105,"&lt;="&amp;E$2)</f>
        <v>1</v>
      </c>
      <c r="F52" s="25" t="n">
        <f aca="false">1+COUNTIF(Annahmen!$C$94:$C$105,"&lt;="&amp;F$2)</f>
        <v>1</v>
      </c>
      <c r="G52" s="25" t="n">
        <f aca="false">1+COUNTIF(Annahmen!$C$94:$C$105,"&lt;="&amp;G$2)</f>
        <v>1</v>
      </c>
      <c r="H52" s="25" t="n">
        <f aca="false">1+COUNTIF(Annahmen!$C$94:$C$105,"&lt;="&amp;H$2)</f>
        <v>1</v>
      </c>
      <c r="I52" s="25" t="n">
        <f aca="false">1+COUNTIF(Annahmen!$C$94:$C$105,"&lt;="&amp;I$2)</f>
        <v>2</v>
      </c>
      <c r="J52" s="25" t="n">
        <f aca="false">1+COUNTIF(Annahmen!$C$94:$C$105,"&lt;="&amp;J$2)</f>
        <v>2</v>
      </c>
      <c r="K52" s="25" t="n">
        <f aca="false">1+COUNTIF(Annahmen!$C$94:$C$105,"&lt;="&amp;K$2)</f>
        <v>2</v>
      </c>
      <c r="L52" s="25" t="n">
        <f aca="false">1+COUNTIF(Annahmen!$C$94:$C$105,"&lt;="&amp;L$2)</f>
        <v>3</v>
      </c>
      <c r="M52" s="25" t="n">
        <f aca="false">1+COUNTIF(Annahmen!$C$94:$C$105,"&lt;="&amp;M$2)</f>
        <v>3</v>
      </c>
      <c r="N52" s="25" t="n">
        <f aca="false">1+COUNTIF(Annahmen!$C$94:$C$105,"&lt;="&amp;N$2)</f>
        <v>3</v>
      </c>
      <c r="O52" s="25" t="n">
        <f aca="false">1+COUNTIF(Annahmen!$C$94:$C$105,"&lt;="&amp;O$2)</f>
        <v>5</v>
      </c>
      <c r="P52" s="25" t="n">
        <f aca="false">1+COUNTIF(Annahmen!$C$94:$C$105,"&lt;="&amp;P$2)</f>
        <v>5</v>
      </c>
      <c r="Q52" s="25" t="n">
        <f aca="false">1+COUNTIF(Annahmen!$C$94:$C$105,"&lt;="&amp;Q$2)</f>
        <v>5</v>
      </c>
      <c r="R52" s="25" t="n">
        <f aca="false">1+COUNTIF(Annahmen!$C$94:$C$105,"&lt;="&amp;R$2)</f>
        <v>5</v>
      </c>
      <c r="S52" s="25" t="n">
        <f aca="false">1+COUNTIF(Annahmen!$C$94:$C$105,"&lt;="&amp;S$2)</f>
        <v>5</v>
      </c>
      <c r="T52" s="25" t="n">
        <f aca="false">1+COUNTIF(Annahmen!$C$94:$C$105,"&lt;="&amp;T$2)</f>
        <v>5</v>
      </c>
      <c r="U52" s="25" t="n">
        <f aca="false">1+COUNTIF(Annahmen!$C$94:$C$105,"&lt;="&amp;U$2)</f>
        <v>5</v>
      </c>
      <c r="V52" s="25" t="n">
        <f aca="false">1+COUNTIF(Annahmen!$C$94:$C$105,"&lt;="&amp;V$2)</f>
        <v>5</v>
      </c>
      <c r="W52" s="25" t="n">
        <f aca="false">1+COUNTIF(Annahmen!$C$94:$C$105,"&lt;="&amp;W$2)</f>
        <v>5</v>
      </c>
      <c r="X52" s="25" t="n">
        <f aca="false">1+COUNTIF(Annahmen!$C$94:$C$105,"&lt;="&amp;X$2)</f>
        <v>6</v>
      </c>
      <c r="Y52" s="25" t="n">
        <f aca="false">1+COUNTIF(Annahmen!$C$94:$C$105,"&lt;="&amp;Y$2)</f>
        <v>6</v>
      </c>
      <c r="Z52" s="25" t="n">
        <f aca="false">1+COUNTIF(Annahmen!$C$94:$C$105,"&lt;="&amp;Z$2)</f>
        <v>6</v>
      </c>
      <c r="AA52" s="25" t="n">
        <f aca="false">1+COUNTIF(Annahmen!$C$94:$C$105,"&lt;="&amp;AA$2)</f>
        <v>6</v>
      </c>
      <c r="AB52" s="25" t="n">
        <f aca="false">1+COUNTIF(Annahmen!$C$94:$C$105,"&lt;="&amp;AB$2)</f>
        <v>6</v>
      </c>
      <c r="AC52" s="25" t="n">
        <f aca="false">1+COUNTIF(Annahmen!$C$94:$C$105,"&lt;="&amp;AC$2)</f>
        <v>6</v>
      </c>
      <c r="AD52" s="25" t="n">
        <f aca="false">1+COUNTIF(Annahmen!$C$94:$C$105,"&lt;="&amp;AD$2)</f>
        <v>7</v>
      </c>
      <c r="AE52" s="25" t="n">
        <f aca="false">1+COUNTIF(Annahmen!$C$94:$C$105,"&lt;="&amp;AE$2)</f>
        <v>7</v>
      </c>
      <c r="AF52" s="25" t="n">
        <f aca="false">1+COUNTIF(Annahmen!$C$94:$C$105,"&lt;="&amp;AF$2)</f>
        <v>7</v>
      </c>
      <c r="AG52" s="25" t="n">
        <f aca="false">1+COUNTIF(Annahmen!$C$94:$C$105,"&lt;="&amp;AG$2)</f>
        <v>8</v>
      </c>
      <c r="AH52" s="25" t="n">
        <f aca="false">1+COUNTIF(Annahmen!$C$94:$C$105,"&lt;="&amp;AH$2)</f>
        <v>8</v>
      </c>
      <c r="AI52" s="25" t="n">
        <f aca="false">1+COUNTIF(Annahmen!$C$94:$C$105,"&lt;="&amp;AI$2)</f>
        <v>8</v>
      </c>
      <c r="AJ52" s="25" t="n">
        <f aca="false">1+COUNTIF(Annahmen!$C$94:$C$105,"&lt;="&amp;AJ$2)</f>
        <v>8</v>
      </c>
      <c r="AK52" s="25" t="n">
        <f aca="false">1+COUNTIF(Annahmen!$C$94:$C$105,"&lt;="&amp;AK$2)</f>
        <v>8</v>
      </c>
      <c r="AL52" s="25" t="n">
        <f aca="false">1+COUNTIF(Annahmen!$C$94:$C$105,"&lt;="&amp;AL$2)</f>
        <v>8</v>
      </c>
    </row>
    <row r="53" customFormat="false" ht="15" hidden="false" customHeight="false" outlineLevel="0" collapsed="false">
      <c r="A53" s="19" t="s">
        <v>251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customFormat="false" ht="15" hidden="false" customHeight="false" outlineLevel="0" collapsed="false">
      <c r="A54" s="5" t="s">
        <v>252</v>
      </c>
      <c r="C54" s="26" t="n">
        <f aca="false">INDEX(Annahmen!$B$63:$F$63,1,C$4)</f>
        <v>2500</v>
      </c>
      <c r="D54" s="26" t="n">
        <f aca="false">INDEX(Annahmen!$B$63:$F$63,1,D$4)</f>
        <v>2500</v>
      </c>
      <c r="E54" s="26" t="n">
        <f aca="false">INDEX(Annahmen!$B$63:$F$63,1,E$4)</f>
        <v>2500</v>
      </c>
      <c r="F54" s="26" t="n">
        <f aca="false">INDEX(Annahmen!$B$63:$F$63,1,F$4)</f>
        <v>2500</v>
      </c>
      <c r="G54" s="26" t="n">
        <f aca="false">INDEX(Annahmen!$B$63:$F$63,1,G$4)</f>
        <v>2500</v>
      </c>
      <c r="H54" s="26" t="n">
        <f aca="false">INDEX(Annahmen!$B$63:$F$63,1,H$4)</f>
        <v>2500</v>
      </c>
      <c r="I54" s="26" t="n">
        <f aca="false">INDEX(Annahmen!$B$63:$F$63,1,I$4)</f>
        <v>2500</v>
      </c>
      <c r="J54" s="26" t="n">
        <f aca="false">INDEX(Annahmen!$B$63:$F$63,1,J$4)</f>
        <v>2500</v>
      </c>
      <c r="K54" s="26" t="n">
        <f aca="false">INDEX(Annahmen!$B$63:$F$63,1,K$4)</f>
        <v>2500</v>
      </c>
      <c r="L54" s="26" t="n">
        <f aca="false">INDEX(Annahmen!$B$63:$F$63,1,L$4)</f>
        <v>2500</v>
      </c>
      <c r="M54" s="26" t="n">
        <f aca="false">INDEX(Annahmen!$B$63:$F$63,1,M$4)</f>
        <v>2500</v>
      </c>
      <c r="N54" s="26" t="n">
        <f aca="false">INDEX(Annahmen!$B$63:$F$63,1,N$4)</f>
        <v>2500</v>
      </c>
      <c r="O54" s="26" t="n">
        <f aca="false">INDEX(Annahmen!$B$63:$F$63,1,O$4)</f>
        <v>4000</v>
      </c>
      <c r="P54" s="26" t="n">
        <f aca="false">INDEX(Annahmen!$B$63:$F$63,1,P$4)</f>
        <v>4000</v>
      </c>
      <c r="Q54" s="26" t="n">
        <f aca="false">INDEX(Annahmen!$B$63:$F$63,1,Q$4)</f>
        <v>4000</v>
      </c>
      <c r="R54" s="26" t="n">
        <f aca="false">INDEX(Annahmen!$B$63:$F$63,1,R$4)</f>
        <v>4000</v>
      </c>
      <c r="S54" s="26" t="n">
        <f aca="false">INDEX(Annahmen!$B$63:$F$63,1,S$4)</f>
        <v>4000</v>
      </c>
      <c r="T54" s="26" t="n">
        <f aca="false">INDEX(Annahmen!$B$63:$F$63,1,T$4)</f>
        <v>4000</v>
      </c>
      <c r="U54" s="26" t="n">
        <f aca="false">INDEX(Annahmen!$B$63:$F$63,1,U$4)</f>
        <v>4000</v>
      </c>
      <c r="V54" s="26" t="n">
        <f aca="false">INDEX(Annahmen!$B$63:$F$63,1,V$4)</f>
        <v>4000</v>
      </c>
      <c r="W54" s="26" t="n">
        <f aca="false">INDEX(Annahmen!$B$63:$F$63,1,W$4)</f>
        <v>4000</v>
      </c>
      <c r="X54" s="26" t="n">
        <f aca="false">INDEX(Annahmen!$B$63:$F$63,1,X$4)</f>
        <v>4000</v>
      </c>
      <c r="Y54" s="26" t="n">
        <f aca="false">INDEX(Annahmen!$B$63:$F$63,1,Y$4)</f>
        <v>4000</v>
      </c>
      <c r="Z54" s="26" t="n">
        <f aca="false">INDEX(Annahmen!$B$63:$F$63,1,Z$4)</f>
        <v>4000</v>
      </c>
      <c r="AA54" s="26" t="n">
        <f aca="false">INDEX(Annahmen!$B$63:$F$63,1,AA$4)</f>
        <v>6000</v>
      </c>
      <c r="AB54" s="26" t="n">
        <f aca="false">INDEX(Annahmen!$B$63:$F$63,1,AB$4)</f>
        <v>6000</v>
      </c>
      <c r="AC54" s="26" t="n">
        <f aca="false">INDEX(Annahmen!$B$63:$F$63,1,AC$4)</f>
        <v>6000</v>
      </c>
      <c r="AD54" s="26" t="n">
        <f aca="false">INDEX(Annahmen!$B$63:$F$63,1,AD$4)</f>
        <v>6000</v>
      </c>
      <c r="AE54" s="26" t="n">
        <f aca="false">INDEX(Annahmen!$B$63:$F$63,1,AE$4)</f>
        <v>6000</v>
      </c>
      <c r="AF54" s="26" t="n">
        <f aca="false">INDEX(Annahmen!$B$63:$F$63,1,AF$4)</f>
        <v>6000</v>
      </c>
      <c r="AG54" s="26" t="n">
        <f aca="false">INDEX(Annahmen!$B$63:$F$63,1,AG$4)</f>
        <v>6000</v>
      </c>
      <c r="AH54" s="26" t="n">
        <f aca="false">INDEX(Annahmen!$B$63:$F$63,1,AH$4)</f>
        <v>6000</v>
      </c>
      <c r="AI54" s="26" t="n">
        <f aca="false">INDEX(Annahmen!$B$63:$F$63,1,AI$4)</f>
        <v>6000</v>
      </c>
      <c r="AJ54" s="26" t="n">
        <f aca="false">INDEX(Annahmen!$B$63:$F$63,1,AJ$4)</f>
        <v>6000</v>
      </c>
      <c r="AK54" s="26" t="n">
        <f aca="false">INDEX(Annahmen!$B$63:$F$63,1,AK$4)</f>
        <v>6000</v>
      </c>
      <c r="AL54" s="26" t="n">
        <f aca="false">INDEX(Annahmen!$B$63:$F$63,1,AL$4)</f>
        <v>6000</v>
      </c>
    </row>
    <row r="55" customFormat="false" ht="15" hidden="false" customHeight="false" outlineLevel="0" collapsed="false">
      <c r="A55" s="5" t="s">
        <v>253</v>
      </c>
      <c r="C55" s="26" t="n">
        <f aca="false">SUMIF(Annahmen!$B$76:$B$87,C$2,Annahmen!$C$76:$C$87)</f>
        <v>0</v>
      </c>
      <c r="D55" s="26" t="n">
        <f aca="false">SUMIF(Annahmen!$B$76:$B$87,D$2,Annahmen!$C$76:$C$87)</f>
        <v>0</v>
      </c>
      <c r="E55" s="26" t="n">
        <f aca="false">SUMIF(Annahmen!$B$76:$B$87,E$2,Annahmen!$C$76:$C$87)</f>
        <v>800</v>
      </c>
      <c r="F55" s="26" t="n">
        <f aca="false">SUMIF(Annahmen!$B$76:$B$87,F$2,Annahmen!$C$76:$C$87)</f>
        <v>9000</v>
      </c>
      <c r="G55" s="26" t="n">
        <f aca="false">SUMIF(Annahmen!$B$76:$B$87,G$2,Annahmen!$C$76:$C$87)</f>
        <v>0</v>
      </c>
      <c r="H55" s="26" t="n">
        <f aca="false">SUMIF(Annahmen!$B$76:$B$87,H$2,Annahmen!$C$76:$C$87)</f>
        <v>0</v>
      </c>
      <c r="I55" s="26" t="n">
        <f aca="false">SUMIF(Annahmen!$B$76:$B$87,I$2,Annahmen!$C$76:$C$87)</f>
        <v>0</v>
      </c>
      <c r="J55" s="26" t="n">
        <f aca="false">SUMIF(Annahmen!$B$76:$B$87,J$2,Annahmen!$C$76:$C$87)</f>
        <v>0</v>
      </c>
      <c r="K55" s="26" t="n">
        <f aca="false">SUMIF(Annahmen!$B$76:$B$87,K$2,Annahmen!$C$76:$C$87)</f>
        <v>0</v>
      </c>
      <c r="L55" s="26" t="n">
        <f aca="false">SUMIF(Annahmen!$B$76:$B$87,L$2,Annahmen!$C$76:$C$87)</f>
        <v>2500</v>
      </c>
      <c r="M55" s="26" t="n">
        <f aca="false">SUMIF(Annahmen!$B$76:$B$87,M$2,Annahmen!$C$76:$C$87)</f>
        <v>0</v>
      </c>
      <c r="N55" s="26" t="n">
        <f aca="false">SUMIF(Annahmen!$B$76:$B$87,N$2,Annahmen!$C$76:$C$87)</f>
        <v>0</v>
      </c>
      <c r="O55" s="26" t="n">
        <f aca="false">SUMIF(Annahmen!$B$76:$B$87,O$2,Annahmen!$C$76:$C$87)</f>
        <v>0</v>
      </c>
      <c r="P55" s="26" t="n">
        <f aca="false">SUMIF(Annahmen!$B$76:$B$87,P$2,Annahmen!$C$76:$C$87)</f>
        <v>0</v>
      </c>
      <c r="Q55" s="26" t="n">
        <f aca="false">SUMIF(Annahmen!$B$76:$B$87,Q$2,Annahmen!$C$76:$C$87)</f>
        <v>7000</v>
      </c>
      <c r="R55" s="26" t="n">
        <f aca="false">SUMIF(Annahmen!$B$76:$B$87,R$2,Annahmen!$C$76:$C$87)</f>
        <v>0</v>
      </c>
      <c r="S55" s="26" t="n">
        <f aca="false">SUMIF(Annahmen!$B$76:$B$87,S$2,Annahmen!$C$76:$C$87)</f>
        <v>0</v>
      </c>
      <c r="T55" s="26" t="n">
        <f aca="false">SUMIF(Annahmen!$B$76:$B$87,T$2,Annahmen!$C$76:$C$87)</f>
        <v>0</v>
      </c>
      <c r="U55" s="26" t="n">
        <f aca="false">SUMIF(Annahmen!$B$76:$B$87,U$2,Annahmen!$C$76:$C$87)</f>
        <v>0</v>
      </c>
      <c r="V55" s="26" t="n">
        <f aca="false">SUMIF(Annahmen!$B$76:$B$87,V$2,Annahmen!$C$76:$C$87)</f>
        <v>0</v>
      </c>
      <c r="W55" s="26" t="n">
        <f aca="false">SUMIF(Annahmen!$B$76:$B$87,W$2,Annahmen!$C$76:$C$87)</f>
        <v>14000</v>
      </c>
      <c r="X55" s="26" t="n">
        <f aca="false">SUMIF(Annahmen!$B$76:$B$87,X$2,Annahmen!$C$76:$C$87)</f>
        <v>3000</v>
      </c>
      <c r="Y55" s="26" t="n">
        <f aca="false">SUMIF(Annahmen!$B$76:$B$87,Y$2,Annahmen!$C$76:$C$87)</f>
        <v>0</v>
      </c>
      <c r="Z55" s="26" t="n">
        <f aca="false">SUMIF(Annahmen!$B$76:$B$87,Z$2,Annahmen!$C$76:$C$87)</f>
        <v>0</v>
      </c>
      <c r="AA55" s="26" t="n">
        <f aca="false">SUMIF(Annahmen!$B$76:$B$87,AA$2,Annahmen!$C$76:$C$87)</f>
        <v>0</v>
      </c>
      <c r="AB55" s="26" t="n">
        <f aca="false">SUMIF(Annahmen!$B$76:$B$87,AB$2,Annahmen!$C$76:$C$87)</f>
        <v>0</v>
      </c>
      <c r="AC55" s="26" t="n">
        <f aca="false">SUMIF(Annahmen!$B$76:$B$87,AC$2,Annahmen!$C$76:$C$87)</f>
        <v>0</v>
      </c>
      <c r="AD55" s="26" t="n">
        <f aca="false">SUMIF(Annahmen!$B$76:$B$87,AD$2,Annahmen!$C$76:$C$87)</f>
        <v>15000</v>
      </c>
      <c r="AE55" s="26" t="n">
        <f aca="false">SUMIF(Annahmen!$B$76:$B$87,AE$2,Annahmen!$C$76:$C$87)</f>
        <v>0</v>
      </c>
      <c r="AF55" s="26" t="n">
        <f aca="false">SUMIF(Annahmen!$B$76:$B$87,AF$2,Annahmen!$C$76:$C$87)</f>
        <v>0</v>
      </c>
      <c r="AG55" s="26" t="n">
        <f aca="false">SUMIF(Annahmen!$B$76:$B$87,AG$2,Annahmen!$C$76:$C$87)</f>
        <v>0</v>
      </c>
      <c r="AH55" s="26" t="n">
        <f aca="false">SUMIF(Annahmen!$B$76:$B$87,AH$2,Annahmen!$C$76:$C$87)</f>
        <v>0</v>
      </c>
      <c r="AI55" s="26" t="n">
        <f aca="false">SUMIF(Annahmen!$B$76:$B$87,AI$2,Annahmen!$C$76:$C$87)</f>
        <v>0</v>
      </c>
      <c r="AJ55" s="26" t="n">
        <f aca="false">SUMIF(Annahmen!$B$76:$B$87,AJ$2,Annahmen!$C$76:$C$87)</f>
        <v>4000</v>
      </c>
      <c r="AK55" s="26" t="n">
        <f aca="false">SUMIF(Annahmen!$B$76:$B$87,AK$2,Annahmen!$C$76:$C$87)</f>
        <v>0</v>
      </c>
      <c r="AL55" s="26" t="n">
        <f aca="false">SUMIF(Annahmen!$B$76:$B$87,AL$2,Annahmen!$C$76:$C$87)</f>
        <v>0</v>
      </c>
    </row>
    <row r="56" customFormat="false" ht="15" hidden="false" customHeight="false" outlineLevel="0" collapsed="false">
      <c r="A56" s="5" t="s">
        <v>254</v>
      </c>
      <c r="C56" s="26" t="n">
        <f aca="false">INDEX(Annahmen!$B$62:$F$62,1,C$4)</f>
        <v>300</v>
      </c>
      <c r="D56" s="26" t="n">
        <f aca="false">INDEX(Annahmen!$B$62:$F$62,1,D$4)</f>
        <v>300</v>
      </c>
      <c r="E56" s="26" t="n">
        <f aca="false">INDEX(Annahmen!$B$62:$F$62,1,E$4)</f>
        <v>300</v>
      </c>
      <c r="F56" s="26" t="n">
        <f aca="false">INDEX(Annahmen!$B$62:$F$62,1,F$4)</f>
        <v>300</v>
      </c>
      <c r="G56" s="26" t="n">
        <f aca="false">INDEX(Annahmen!$B$62:$F$62,1,G$4)</f>
        <v>300</v>
      </c>
      <c r="H56" s="26" t="n">
        <f aca="false">INDEX(Annahmen!$B$62:$F$62,1,H$4)</f>
        <v>300</v>
      </c>
      <c r="I56" s="26" t="n">
        <f aca="false">INDEX(Annahmen!$B$62:$F$62,1,I$4)</f>
        <v>300</v>
      </c>
      <c r="J56" s="26" t="n">
        <f aca="false">INDEX(Annahmen!$B$62:$F$62,1,J$4)</f>
        <v>300</v>
      </c>
      <c r="K56" s="26" t="n">
        <f aca="false">INDEX(Annahmen!$B$62:$F$62,1,K$4)</f>
        <v>300</v>
      </c>
      <c r="L56" s="26" t="n">
        <f aca="false">INDEX(Annahmen!$B$62:$F$62,1,L$4)</f>
        <v>300</v>
      </c>
      <c r="M56" s="26" t="n">
        <f aca="false">INDEX(Annahmen!$B$62:$F$62,1,M$4)</f>
        <v>300</v>
      </c>
      <c r="N56" s="26" t="n">
        <f aca="false">INDEX(Annahmen!$B$62:$F$62,1,N$4)</f>
        <v>300</v>
      </c>
      <c r="O56" s="26" t="n">
        <f aca="false">INDEX(Annahmen!$B$62:$F$62,1,O$4)</f>
        <v>400</v>
      </c>
      <c r="P56" s="26" t="n">
        <f aca="false">INDEX(Annahmen!$B$62:$F$62,1,P$4)</f>
        <v>400</v>
      </c>
      <c r="Q56" s="26" t="n">
        <f aca="false">INDEX(Annahmen!$B$62:$F$62,1,Q$4)</f>
        <v>400</v>
      </c>
      <c r="R56" s="26" t="n">
        <f aca="false">INDEX(Annahmen!$B$62:$F$62,1,R$4)</f>
        <v>400</v>
      </c>
      <c r="S56" s="26" t="n">
        <f aca="false">INDEX(Annahmen!$B$62:$F$62,1,S$4)</f>
        <v>400</v>
      </c>
      <c r="T56" s="26" t="n">
        <f aca="false">INDEX(Annahmen!$B$62:$F$62,1,T$4)</f>
        <v>400</v>
      </c>
      <c r="U56" s="26" t="n">
        <f aca="false">INDEX(Annahmen!$B$62:$F$62,1,U$4)</f>
        <v>400</v>
      </c>
      <c r="V56" s="26" t="n">
        <f aca="false">INDEX(Annahmen!$B$62:$F$62,1,V$4)</f>
        <v>400</v>
      </c>
      <c r="W56" s="26" t="n">
        <f aca="false">INDEX(Annahmen!$B$62:$F$62,1,W$4)</f>
        <v>400</v>
      </c>
      <c r="X56" s="26" t="n">
        <f aca="false">INDEX(Annahmen!$B$62:$F$62,1,X$4)</f>
        <v>400</v>
      </c>
      <c r="Y56" s="26" t="n">
        <f aca="false">INDEX(Annahmen!$B$62:$F$62,1,Y$4)</f>
        <v>400</v>
      </c>
      <c r="Z56" s="26" t="n">
        <f aca="false">INDEX(Annahmen!$B$62:$F$62,1,Z$4)</f>
        <v>400</v>
      </c>
      <c r="AA56" s="26" t="n">
        <f aca="false">INDEX(Annahmen!$B$62:$F$62,1,AA$4)</f>
        <v>600</v>
      </c>
      <c r="AB56" s="26" t="n">
        <f aca="false">INDEX(Annahmen!$B$62:$F$62,1,AB$4)</f>
        <v>600</v>
      </c>
      <c r="AC56" s="26" t="n">
        <f aca="false">INDEX(Annahmen!$B$62:$F$62,1,AC$4)</f>
        <v>600</v>
      </c>
      <c r="AD56" s="26" t="n">
        <f aca="false">INDEX(Annahmen!$B$62:$F$62,1,AD$4)</f>
        <v>600</v>
      </c>
      <c r="AE56" s="26" t="n">
        <f aca="false">INDEX(Annahmen!$B$62:$F$62,1,AE$4)</f>
        <v>600</v>
      </c>
      <c r="AF56" s="26" t="n">
        <f aca="false">INDEX(Annahmen!$B$62:$F$62,1,AF$4)</f>
        <v>600</v>
      </c>
      <c r="AG56" s="26" t="n">
        <f aca="false">INDEX(Annahmen!$B$62:$F$62,1,AG$4)</f>
        <v>600</v>
      </c>
      <c r="AH56" s="26" t="n">
        <f aca="false">INDEX(Annahmen!$B$62:$F$62,1,AH$4)</f>
        <v>600</v>
      </c>
      <c r="AI56" s="26" t="n">
        <f aca="false">INDEX(Annahmen!$B$62:$F$62,1,AI$4)</f>
        <v>600</v>
      </c>
      <c r="AJ56" s="26" t="n">
        <f aca="false">INDEX(Annahmen!$B$62:$F$62,1,AJ$4)</f>
        <v>600</v>
      </c>
      <c r="AK56" s="26" t="n">
        <f aca="false">INDEX(Annahmen!$B$62:$F$62,1,AK$4)</f>
        <v>600</v>
      </c>
      <c r="AL56" s="26" t="n">
        <f aca="false">INDEX(Annahmen!$B$62:$F$62,1,AL$4)</f>
        <v>600</v>
      </c>
    </row>
    <row r="57" customFormat="false" ht="15" hidden="false" customHeight="false" outlineLevel="0" collapsed="false">
      <c r="A57" s="5" t="s">
        <v>109</v>
      </c>
      <c r="C57" s="26" t="n">
        <f aca="false">INDEX(Annahmen!$B$64:$F$64,1,C$4)</f>
        <v>250</v>
      </c>
      <c r="D57" s="26" t="n">
        <f aca="false">INDEX(Annahmen!$B$64:$F$64,1,D$4)</f>
        <v>250</v>
      </c>
      <c r="E57" s="26" t="n">
        <f aca="false">INDEX(Annahmen!$B$64:$F$64,1,E$4)</f>
        <v>250</v>
      </c>
      <c r="F57" s="26" t="n">
        <f aca="false">INDEX(Annahmen!$B$64:$F$64,1,F$4)</f>
        <v>250</v>
      </c>
      <c r="G57" s="26" t="n">
        <f aca="false">INDEX(Annahmen!$B$64:$F$64,1,G$4)</f>
        <v>250</v>
      </c>
      <c r="H57" s="26" t="n">
        <f aca="false">INDEX(Annahmen!$B$64:$F$64,1,H$4)</f>
        <v>250</v>
      </c>
      <c r="I57" s="26" t="n">
        <f aca="false">INDEX(Annahmen!$B$64:$F$64,1,I$4)</f>
        <v>250</v>
      </c>
      <c r="J57" s="26" t="n">
        <f aca="false">INDEX(Annahmen!$B$64:$F$64,1,J$4)</f>
        <v>250</v>
      </c>
      <c r="K57" s="26" t="n">
        <f aca="false">INDEX(Annahmen!$B$64:$F$64,1,K$4)</f>
        <v>250</v>
      </c>
      <c r="L57" s="26" t="n">
        <f aca="false">INDEX(Annahmen!$B$64:$F$64,1,L$4)</f>
        <v>250</v>
      </c>
      <c r="M57" s="26" t="n">
        <f aca="false">INDEX(Annahmen!$B$64:$F$64,1,M$4)</f>
        <v>250</v>
      </c>
      <c r="N57" s="26" t="n">
        <f aca="false">INDEX(Annahmen!$B$64:$F$64,1,N$4)</f>
        <v>250</v>
      </c>
      <c r="O57" s="26" t="n">
        <f aca="false">INDEX(Annahmen!$B$64:$F$64,1,O$4)</f>
        <v>600</v>
      </c>
      <c r="P57" s="26" t="n">
        <f aca="false">INDEX(Annahmen!$B$64:$F$64,1,P$4)</f>
        <v>600</v>
      </c>
      <c r="Q57" s="26" t="n">
        <f aca="false">INDEX(Annahmen!$B$64:$F$64,1,Q$4)</f>
        <v>600</v>
      </c>
      <c r="R57" s="26" t="n">
        <f aca="false">INDEX(Annahmen!$B$64:$F$64,1,R$4)</f>
        <v>600</v>
      </c>
      <c r="S57" s="26" t="n">
        <f aca="false">INDEX(Annahmen!$B$64:$F$64,1,S$4)</f>
        <v>600</v>
      </c>
      <c r="T57" s="26" t="n">
        <f aca="false">INDEX(Annahmen!$B$64:$F$64,1,T$4)</f>
        <v>600</v>
      </c>
      <c r="U57" s="26" t="n">
        <f aca="false">INDEX(Annahmen!$B$64:$F$64,1,U$4)</f>
        <v>600</v>
      </c>
      <c r="V57" s="26" t="n">
        <f aca="false">INDEX(Annahmen!$B$64:$F$64,1,V$4)</f>
        <v>600</v>
      </c>
      <c r="W57" s="26" t="n">
        <f aca="false">INDEX(Annahmen!$B$64:$F$64,1,W$4)</f>
        <v>600</v>
      </c>
      <c r="X57" s="26" t="n">
        <f aca="false">INDEX(Annahmen!$B$64:$F$64,1,X$4)</f>
        <v>600</v>
      </c>
      <c r="Y57" s="26" t="n">
        <f aca="false">INDEX(Annahmen!$B$64:$F$64,1,Y$4)</f>
        <v>600</v>
      </c>
      <c r="Z57" s="26" t="n">
        <f aca="false">INDEX(Annahmen!$B$64:$F$64,1,Z$4)</f>
        <v>600</v>
      </c>
      <c r="AA57" s="26" t="n">
        <f aca="false">INDEX(Annahmen!$B$64:$F$64,1,AA$4)</f>
        <v>1500</v>
      </c>
      <c r="AB57" s="26" t="n">
        <f aca="false">INDEX(Annahmen!$B$64:$F$64,1,AB$4)</f>
        <v>1500</v>
      </c>
      <c r="AC57" s="26" t="n">
        <f aca="false">INDEX(Annahmen!$B$64:$F$64,1,AC$4)</f>
        <v>1500</v>
      </c>
      <c r="AD57" s="26" t="n">
        <f aca="false">INDEX(Annahmen!$B$64:$F$64,1,AD$4)</f>
        <v>1500</v>
      </c>
      <c r="AE57" s="26" t="n">
        <f aca="false">INDEX(Annahmen!$B$64:$F$64,1,AE$4)</f>
        <v>1500</v>
      </c>
      <c r="AF57" s="26" t="n">
        <f aca="false">INDEX(Annahmen!$B$64:$F$64,1,AF$4)</f>
        <v>1500</v>
      </c>
      <c r="AG57" s="26" t="n">
        <f aca="false">INDEX(Annahmen!$B$64:$F$64,1,AG$4)</f>
        <v>1500</v>
      </c>
      <c r="AH57" s="26" t="n">
        <f aca="false">INDEX(Annahmen!$B$64:$F$64,1,AH$4)</f>
        <v>1500</v>
      </c>
      <c r="AI57" s="26" t="n">
        <f aca="false">INDEX(Annahmen!$B$64:$F$64,1,AI$4)</f>
        <v>1500</v>
      </c>
      <c r="AJ57" s="26" t="n">
        <f aca="false">INDEX(Annahmen!$B$64:$F$64,1,AJ$4)</f>
        <v>1500</v>
      </c>
      <c r="AK57" s="26" t="n">
        <f aca="false">INDEX(Annahmen!$B$64:$F$64,1,AK$4)</f>
        <v>1500</v>
      </c>
      <c r="AL57" s="26" t="n">
        <f aca="false">INDEX(Annahmen!$B$64:$F$64,1,AL$4)</f>
        <v>1500</v>
      </c>
    </row>
    <row r="58" customFormat="false" ht="15" hidden="false" customHeight="false" outlineLevel="0" collapsed="false">
      <c r="A58" s="5" t="s">
        <v>255</v>
      </c>
      <c r="C58" s="26" t="n">
        <f aca="false">INDEX(Annahmen!$B$65:$F$65,1,C$4)</f>
        <v>120</v>
      </c>
      <c r="D58" s="26" t="n">
        <f aca="false">INDEX(Annahmen!$B$65:$F$65,1,D$4)</f>
        <v>120</v>
      </c>
      <c r="E58" s="26" t="n">
        <f aca="false">INDEX(Annahmen!$B$65:$F$65,1,E$4)</f>
        <v>120</v>
      </c>
      <c r="F58" s="26" t="n">
        <f aca="false">INDEX(Annahmen!$B$65:$F$65,1,F$4)</f>
        <v>120</v>
      </c>
      <c r="G58" s="26" t="n">
        <f aca="false">INDEX(Annahmen!$B$65:$F$65,1,G$4)</f>
        <v>120</v>
      </c>
      <c r="H58" s="26" t="n">
        <f aca="false">INDEX(Annahmen!$B$65:$F$65,1,H$4)</f>
        <v>120</v>
      </c>
      <c r="I58" s="26" t="n">
        <f aca="false">INDEX(Annahmen!$B$65:$F$65,1,I$4)</f>
        <v>120</v>
      </c>
      <c r="J58" s="26" t="n">
        <f aca="false">INDEX(Annahmen!$B$65:$F$65,1,J$4)</f>
        <v>120</v>
      </c>
      <c r="K58" s="26" t="n">
        <f aca="false">INDEX(Annahmen!$B$65:$F$65,1,K$4)</f>
        <v>120</v>
      </c>
      <c r="L58" s="26" t="n">
        <f aca="false">INDEX(Annahmen!$B$65:$F$65,1,L$4)</f>
        <v>120</v>
      </c>
      <c r="M58" s="26" t="n">
        <f aca="false">INDEX(Annahmen!$B$65:$F$65,1,M$4)</f>
        <v>120</v>
      </c>
      <c r="N58" s="26" t="n">
        <f aca="false">INDEX(Annahmen!$B$65:$F$65,1,N$4)</f>
        <v>120</v>
      </c>
      <c r="O58" s="26" t="n">
        <f aca="false">INDEX(Annahmen!$B$65:$F$65,1,O$4)</f>
        <v>150</v>
      </c>
      <c r="P58" s="26" t="n">
        <f aca="false">INDEX(Annahmen!$B$65:$F$65,1,P$4)</f>
        <v>150</v>
      </c>
      <c r="Q58" s="26" t="n">
        <f aca="false">INDEX(Annahmen!$B$65:$F$65,1,Q$4)</f>
        <v>150</v>
      </c>
      <c r="R58" s="26" t="n">
        <f aca="false">INDEX(Annahmen!$B$65:$F$65,1,R$4)</f>
        <v>150</v>
      </c>
      <c r="S58" s="26" t="n">
        <f aca="false">INDEX(Annahmen!$B$65:$F$65,1,S$4)</f>
        <v>150</v>
      </c>
      <c r="T58" s="26" t="n">
        <f aca="false">INDEX(Annahmen!$B$65:$F$65,1,T$4)</f>
        <v>150</v>
      </c>
      <c r="U58" s="26" t="n">
        <f aca="false">INDEX(Annahmen!$B$65:$F$65,1,U$4)</f>
        <v>150</v>
      </c>
      <c r="V58" s="26" t="n">
        <f aca="false">INDEX(Annahmen!$B$65:$F$65,1,V$4)</f>
        <v>150</v>
      </c>
      <c r="W58" s="26" t="n">
        <f aca="false">INDEX(Annahmen!$B$65:$F$65,1,W$4)</f>
        <v>150</v>
      </c>
      <c r="X58" s="26" t="n">
        <f aca="false">INDEX(Annahmen!$B$65:$F$65,1,X$4)</f>
        <v>150</v>
      </c>
      <c r="Y58" s="26" t="n">
        <f aca="false">INDEX(Annahmen!$B$65:$F$65,1,Y$4)</f>
        <v>150</v>
      </c>
      <c r="Z58" s="26" t="n">
        <f aca="false">INDEX(Annahmen!$B$65:$F$65,1,Z$4)</f>
        <v>150</v>
      </c>
      <c r="AA58" s="26" t="n">
        <f aca="false">INDEX(Annahmen!$B$65:$F$65,1,AA$4)</f>
        <v>220</v>
      </c>
      <c r="AB58" s="26" t="n">
        <f aca="false">INDEX(Annahmen!$B$65:$F$65,1,AB$4)</f>
        <v>220</v>
      </c>
      <c r="AC58" s="26" t="n">
        <f aca="false">INDEX(Annahmen!$B$65:$F$65,1,AC$4)</f>
        <v>220</v>
      </c>
      <c r="AD58" s="26" t="n">
        <f aca="false">INDEX(Annahmen!$B$65:$F$65,1,AD$4)</f>
        <v>220</v>
      </c>
      <c r="AE58" s="26" t="n">
        <f aca="false">INDEX(Annahmen!$B$65:$F$65,1,AE$4)</f>
        <v>220</v>
      </c>
      <c r="AF58" s="26" t="n">
        <f aca="false">INDEX(Annahmen!$B$65:$F$65,1,AF$4)</f>
        <v>220</v>
      </c>
      <c r="AG58" s="26" t="n">
        <f aca="false">INDEX(Annahmen!$B$65:$F$65,1,AG$4)</f>
        <v>220</v>
      </c>
      <c r="AH58" s="26" t="n">
        <f aca="false">INDEX(Annahmen!$B$65:$F$65,1,AH$4)</f>
        <v>220</v>
      </c>
      <c r="AI58" s="26" t="n">
        <f aca="false">INDEX(Annahmen!$B$65:$F$65,1,AI$4)</f>
        <v>220</v>
      </c>
      <c r="AJ58" s="26" t="n">
        <f aca="false">INDEX(Annahmen!$B$65:$F$65,1,AJ$4)</f>
        <v>220</v>
      </c>
      <c r="AK58" s="26" t="n">
        <f aca="false">INDEX(Annahmen!$B$65:$F$65,1,AK$4)</f>
        <v>220</v>
      </c>
      <c r="AL58" s="26" t="n">
        <f aca="false">INDEX(Annahmen!$B$65:$F$65,1,AL$4)</f>
        <v>220</v>
      </c>
    </row>
    <row r="59" customFormat="false" ht="15" hidden="false" customHeight="false" outlineLevel="0" collapsed="false">
      <c r="A59" s="5" t="s">
        <v>256</v>
      </c>
      <c r="C59" s="26" t="n">
        <f aca="false">INDEX(Annahmen!$B$66:$F$66,1,C$4)</f>
        <v>350</v>
      </c>
      <c r="D59" s="26" t="n">
        <f aca="false">INDEX(Annahmen!$B$66:$F$66,1,D$4)</f>
        <v>350</v>
      </c>
      <c r="E59" s="26" t="n">
        <f aca="false">INDEX(Annahmen!$B$66:$F$66,1,E$4)</f>
        <v>350</v>
      </c>
      <c r="F59" s="26" t="n">
        <f aca="false">INDEX(Annahmen!$B$66:$F$66,1,F$4)</f>
        <v>350</v>
      </c>
      <c r="G59" s="26" t="n">
        <f aca="false">INDEX(Annahmen!$B$66:$F$66,1,G$4)</f>
        <v>350</v>
      </c>
      <c r="H59" s="26" t="n">
        <f aca="false">INDEX(Annahmen!$B$66:$F$66,1,H$4)</f>
        <v>350</v>
      </c>
      <c r="I59" s="26" t="n">
        <f aca="false">INDEX(Annahmen!$B$66:$F$66,1,I$4)</f>
        <v>350</v>
      </c>
      <c r="J59" s="26" t="n">
        <f aca="false">INDEX(Annahmen!$B$66:$F$66,1,J$4)</f>
        <v>350</v>
      </c>
      <c r="K59" s="26" t="n">
        <f aca="false">INDEX(Annahmen!$B$66:$F$66,1,K$4)</f>
        <v>350</v>
      </c>
      <c r="L59" s="26" t="n">
        <f aca="false">INDEX(Annahmen!$B$66:$F$66,1,L$4)</f>
        <v>350</v>
      </c>
      <c r="M59" s="26" t="n">
        <f aca="false">INDEX(Annahmen!$B$66:$F$66,1,M$4)</f>
        <v>350</v>
      </c>
      <c r="N59" s="26" t="n">
        <f aca="false">INDEX(Annahmen!$B$66:$F$66,1,N$4)</f>
        <v>350</v>
      </c>
      <c r="O59" s="26" t="n">
        <f aca="false">INDEX(Annahmen!$B$66:$F$66,1,O$4)</f>
        <v>500</v>
      </c>
      <c r="P59" s="26" t="n">
        <f aca="false">INDEX(Annahmen!$B$66:$F$66,1,P$4)</f>
        <v>500</v>
      </c>
      <c r="Q59" s="26" t="n">
        <f aca="false">INDEX(Annahmen!$B$66:$F$66,1,Q$4)</f>
        <v>500</v>
      </c>
      <c r="R59" s="26" t="n">
        <f aca="false">INDEX(Annahmen!$B$66:$F$66,1,R$4)</f>
        <v>500</v>
      </c>
      <c r="S59" s="26" t="n">
        <f aca="false">INDEX(Annahmen!$B$66:$F$66,1,S$4)</f>
        <v>500</v>
      </c>
      <c r="T59" s="26" t="n">
        <f aca="false">INDEX(Annahmen!$B$66:$F$66,1,T$4)</f>
        <v>500</v>
      </c>
      <c r="U59" s="26" t="n">
        <f aca="false">INDEX(Annahmen!$B$66:$F$66,1,U$4)</f>
        <v>500</v>
      </c>
      <c r="V59" s="26" t="n">
        <f aca="false">INDEX(Annahmen!$B$66:$F$66,1,V$4)</f>
        <v>500</v>
      </c>
      <c r="W59" s="26" t="n">
        <f aca="false">INDEX(Annahmen!$B$66:$F$66,1,W$4)</f>
        <v>500</v>
      </c>
      <c r="X59" s="26" t="n">
        <f aca="false">INDEX(Annahmen!$B$66:$F$66,1,X$4)</f>
        <v>500</v>
      </c>
      <c r="Y59" s="26" t="n">
        <f aca="false">INDEX(Annahmen!$B$66:$F$66,1,Y$4)</f>
        <v>500</v>
      </c>
      <c r="Z59" s="26" t="n">
        <f aca="false">INDEX(Annahmen!$B$66:$F$66,1,Z$4)</f>
        <v>500</v>
      </c>
      <c r="AA59" s="26" t="n">
        <f aca="false">INDEX(Annahmen!$B$66:$F$66,1,AA$4)</f>
        <v>800</v>
      </c>
      <c r="AB59" s="26" t="n">
        <f aca="false">INDEX(Annahmen!$B$66:$F$66,1,AB$4)</f>
        <v>800</v>
      </c>
      <c r="AC59" s="26" t="n">
        <f aca="false">INDEX(Annahmen!$B$66:$F$66,1,AC$4)</f>
        <v>800</v>
      </c>
      <c r="AD59" s="26" t="n">
        <f aca="false">INDEX(Annahmen!$B$66:$F$66,1,AD$4)</f>
        <v>800</v>
      </c>
      <c r="AE59" s="26" t="n">
        <f aca="false">INDEX(Annahmen!$B$66:$F$66,1,AE$4)</f>
        <v>800</v>
      </c>
      <c r="AF59" s="26" t="n">
        <f aca="false">INDEX(Annahmen!$B$66:$F$66,1,AF$4)</f>
        <v>800</v>
      </c>
      <c r="AG59" s="26" t="n">
        <f aca="false">INDEX(Annahmen!$B$66:$F$66,1,AG$4)</f>
        <v>800</v>
      </c>
      <c r="AH59" s="26" t="n">
        <f aca="false">INDEX(Annahmen!$B$66:$F$66,1,AH$4)</f>
        <v>800</v>
      </c>
      <c r="AI59" s="26" t="n">
        <f aca="false">INDEX(Annahmen!$B$66:$F$66,1,AI$4)</f>
        <v>800</v>
      </c>
      <c r="AJ59" s="26" t="n">
        <f aca="false">INDEX(Annahmen!$B$66:$F$66,1,AJ$4)</f>
        <v>800</v>
      </c>
      <c r="AK59" s="26" t="n">
        <f aca="false">INDEX(Annahmen!$B$66:$F$66,1,AK$4)</f>
        <v>800</v>
      </c>
      <c r="AL59" s="26" t="n">
        <f aca="false">INDEX(Annahmen!$B$66:$F$66,1,AL$4)</f>
        <v>800</v>
      </c>
    </row>
    <row r="60" customFormat="false" ht="15" hidden="false" customHeight="false" outlineLevel="0" collapsed="false">
      <c r="A60" s="5" t="s">
        <v>257</v>
      </c>
      <c r="C60" s="26" t="n">
        <f aca="false">INDEX(Annahmen!$B$67:$F$67,1,C$4)</f>
        <v>300</v>
      </c>
      <c r="D60" s="26" t="n">
        <f aca="false">INDEX(Annahmen!$B$67:$F$67,1,D$4)</f>
        <v>300</v>
      </c>
      <c r="E60" s="26" t="n">
        <f aca="false">INDEX(Annahmen!$B$67:$F$67,1,E$4)</f>
        <v>300</v>
      </c>
      <c r="F60" s="26" t="n">
        <f aca="false">INDEX(Annahmen!$B$67:$F$67,1,F$4)</f>
        <v>300</v>
      </c>
      <c r="G60" s="26" t="n">
        <f aca="false">INDEX(Annahmen!$B$67:$F$67,1,G$4)</f>
        <v>300</v>
      </c>
      <c r="H60" s="26" t="n">
        <f aca="false">INDEX(Annahmen!$B$67:$F$67,1,H$4)</f>
        <v>300</v>
      </c>
      <c r="I60" s="26" t="n">
        <f aca="false">INDEX(Annahmen!$B$67:$F$67,1,I$4)</f>
        <v>300</v>
      </c>
      <c r="J60" s="26" t="n">
        <f aca="false">INDEX(Annahmen!$B$67:$F$67,1,J$4)</f>
        <v>300</v>
      </c>
      <c r="K60" s="26" t="n">
        <f aca="false">INDEX(Annahmen!$B$67:$F$67,1,K$4)</f>
        <v>300</v>
      </c>
      <c r="L60" s="26" t="n">
        <f aca="false">INDEX(Annahmen!$B$67:$F$67,1,L$4)</f>
        <v>300</v>
      </c>
      <c r="M60" s="26" t="n">
        <f aca="false">INDEX(Annahmen!$B$67:$F$67,1,M$4)</f>
        <v>300</v>
      </c>
      <c r="N60" s="26" t="n">
        <f aca="false">INDEX(Annahmen!$B$67:$F$67,1,N$4)</f>
        <v>300</v>
      </c>
      <c r="O60" s="26" t="n">
        <f aca="false">INDEX(Annahmen!$B$67:$F$67,1,O$4)</f>
        <v>350</v>
      </c>
      <c r="P60" s="26" t="n">
        <f aca="false">INDEX(Annahmen!$B$67:$F$67,1,P$4)</f>
        <v>350</v>
      </c>
      <c r="Q60" s="26" t="n">
        <f aca="false">INDEX(Annahmen!$B$67:$F$67,1,Q$4)</f>
        <v>350</v>
      </c>
      <c r="R60" s="26" t="n">
        <f aca="false">INDEX(Annahmen!$B$67:$F$67,1,R$4)</f>
        <v>350</v>
      </c>
      <c r="S60" s="26" t="n">
        <f aca="false">INDEX(Annahmen!$B$67:$F$67,1,S$4)</f>
        <v>350</v>
      </c>
      <c r="T60" s="26" t="n">
        <f aca="false">INDEX(Annahmen!$B$67:$F$67,1,T$4)</f>
        <v>350</v>
      </c>
      <c r="U60" s="26" t="n">
        <f aca="false">INDEX(Annahmen!$B$67:$F$67,1,U$4)</f>
        <v>350</v>
      </c>
      <c r="V60" s="26" t="n">
        <f aca="false">INDEX(Annahmen!$B$67:$F$67,1,V$4)</f>
        <v>350</v>
      </c>
      <c r="W60" s="26" t="n">
        <f aca="false">INDEX(Annahmen!$B$67:$F$67,1,W$4)</f>
        <v>350</v>
      </c>
      <c r="X60" s="26" t="n">
        <f aca="false">INDEX(Annahmen!$B$67:$F$67,1,X$4)</f>
        <v>350</v>
      </c>
      <c r="Y60" s="26" t="n">
        <f aca="false">INDEX(Annahmen!$B$67:$F$67,1,Y$4)</f>
        <v>350</v>
      </c>
      <c r="Z60" s="26" t="n">
        <f aca="false">INDEX(Annahmen!$B$67:$F$67,1,Z$4)</f>
        <v>350</v>
      </c>
      <c r="AA60" s="26" t="n">
        <f aca="false">INDEX(Annahmen!$B$67:$F$67,1,AA$4)</f>
        <v>450</v>
      </c>
      <c r="AB60" s="26" t="n">
        <f aca="false">INDEX(Annahmen!$B$67:$F$67,1,AB$4)</f>
        <v>450</v>
      </c>
      <c r="AC60" s="26" t="n">
        <f aca="false">INDEX(Annahmen!$B$67:$F$67,1,AC$4)</f>
        <v>450</v>
      </c>
      <c r="AD60" s="26" t="n">
        <f aca="false">INDEX(Annahmen!$B$67:$F$67,1,AD$4)</f>
        <v>450</v>
      </c>
      <c r="AE60" s="26" t="n">
        <f aca="false">INDEX(Annahmen!$B$67:$F$67,1,AE$4)</f>
        <v>450</v>
      </c>
      <c r="AF60" s="26" t="n">
        <f aca="false">INDEX(Annahmen!$B$67:$F$67,1,AF$4)</f>
        <v>450</v>
      </c>
      <c r="AG60" s="26" t="n">
        <f aca="false">INDEX(Annahmen!$B$67:$F$67,1,AG$4)</f>
        <v>450</v>
      </c>
      <c r="AH60" s="26" t="n">
        <f aca="false">INDEX(Annahmen!$B$67:$F$67,1,AH$4)</f>
        <v>450</v>
      </c>
      <c r="AI60" s="26" t="n">
        <f aca="false">INDEX(Annahmen!$B$67:$F$67,1,AI$4)</f>
        <v>450</v>
      </c>
      <c r="AJ60" s="26" t="n">
        <f aca="false">INDEX(Annahmen!$B$67:$F$67,1,AJ$4)</f>
        <v>450</v>
      </c>
      <c r="AK60" s="26" t="n">
        <f aca="false">INDEX(Annahmen!$B$67:$F$67,1,AK$4)</f>
        <v>450</v>
      </c>
      <c r="AL60" s="26" t="n">
        <f aca="false">INDEX(Annahmen!$B$67:$F$67,1,AL$4)</f>
        <v>450</v>
      </c>
    </row>
    <row r="61" customFormat="false" ht="15" hidden="false" customHeight="false" outlineLevel="0" collapsed="false">
      <c r="A61" s="5" t="s">
        <v>258</v>
      </c>
      <c r="C61" s="26" t="n">
        <f aca="false">INDEX(Annahmen!$B$68:$F$68,1,C$4)</f>
        <v>500</v>
      </c>
      <c r="D61" s="26" t="n">
        <f aca="false">INDEX(Annahmen!$B$68:$F$68,1,D$4)</f>
        <v>500</v>
      </c>
      <c r="E61" s="26" t="n">
        <f aca="false">INDEX(Annahmen!$B$68:$F$68,1,E$4)</f>
        <v>500</v>
      </c>
      <c r="F61" s="26" t="n">
        <f aca="false">INDEX(Annahmen!$B$68:$F$68,1,F$4)</f>
        <v>500</v>
      </c>
      <c r="G61" s="26" t="n">
        <f aca="false">INDEX(Annahmen!$B$68:$F$68,1,G$4)</f>
        <v>500</v>
      </c>
      <c r="H61" s="26" t="n">
        <f aca="false">INDEX(Annahmen!$B$68:$F$68,1,H$4)</f>
        <v>500</v>
      </c>
      <c r="I61" s="26" t="n">
        <f aca="false">INDEX(Annahmen!$B$68:$F$68,1,I$4)</f>
        <v>500</v>
      </c>
      <c r="J61" s="26" t="n">
        <f aca="false">INDEX(Annahmen!$B$68:$F$68,1,J$4)</f>
        <v>500</v>
      </c>
      <c r="K61" s="26" t="n">
        <f aca="false">INDEX(Annahmen!$B$68:$F$68,1,K$4)</f>
        <v>500</v>
      </c>
      <c r="L61" s="26" t="n">
        <f aca="false">INDEX(Annahmen!$B$68:$F$68,1,L$4)</f>
        <v>500</v>
      </c>
      <c r="M61" s="26" t="n">
        <f aca="false">INDEX(Annahmen!$B$68:$F$68,1,M$4)</f>
        <v>500</v>
      </c>
      <c r="N61" s="26" t="n">
        <f aca="false">INDEX(Annahmen!$B$68:$F$68,1,N$4)</f>
        <v>500</v>
      </c>
      <c r="O61" s="26" t="n">
        <f aca="false">INDEX(Annahmen!$B$68:$F$68,1,O$4)</f>
        <v>800</v>
      </c>
      <c r="P61" s="26" t="n">
        <f aca="false">INDEX(Annahmen!$B$68:$F$68,1,P$4)</f>
        <v>800</v>
      </c>
      <c r="Q61" s="26" t="n">
        <f aca="false">INDEX(Annahmen!$B$68:$F$68,1,Q$4)</f>
        <v>800</v>
      </c>
      <c r="R61" s="26" t="n">
        <f aca="false">INDEX(Annahmen!$B$68:$F$68,1,R$4)</f>
        <v>800</v>
      </c>
      <c r="S61" s="26" t="n">
        <f aca="false">INDEX(Annahmen!$B$68:$F$68,1,S$4)</f>
        <v>800</v>
      </c>
      <c r="T61" s="26" t="n">
        <f aca="false">INDEX(Annahmen!$B$68:$F$68,1,T$4)</f>
        <v>800</v>
      </c>
      <c r="U61" s="26" t="n">
        <f aca="false">INDEX(Annahmen!$B$68:$F$68,1,U$4)</f>
        <v>800</v>
      </c>
      <c r="V61" s="26" t="n">
        <f aca="false">INDEX(Annahmen!$B$68:$F$68,1,V$4)</f>
        <v>800</v>
      </c>
      <c r="W61" s="26" t="n">
        <f aca="false">INDEX(Annahmen!$B$68:$F$68,1,W$4)</f>
        <v>800</v>
      </c>
      <c r="X61" s="26" t="n">
        <f aca="false">INDEX(Annahmen!$B$68:$F$68,1,X$4)</f>
        <v>800</v>
      </c>
      <c r="Y61" s="26" t="n">
        <f aca="false">INDEX(Annahmen!$B$68:$F$68,1,Y$4)</f>
        <v>800</v>
      </c>
      <c r="Z61" s="26" t="n">
        <f aca="false">INDEX(Annahmen!$B$68:$F$68,1,Z$4)</f>
        <v>800</v>
      </c>
      <c r="AA61" s="26" t="n">
        <f aca="false">INDEX(Annahmen!$B$68:$F$68,1,AA$4)</f>
        <v>1200</v>
      </c>
      <c r="AB61" s="26" t="n">
        <f aca="false">INDEX(Annahmen!$B$68:$F$68,1,AB$4)</f>
        <v>1200</v>
      </c>
      <c r="AC61" s="26" t="n">
        <f aca="false">INDEX(Annahmen!$B$68:$F$68,1,AC$4)</f>
        <v>1200</v>
      </c>
      <c r="AD61" s="26" t="n">
        <f aca="false">INDEX(Annahmen!$B$68:$F$68,1,AD$4)</f>
        <v>1200</v>
      </c>
      <c r="AE61" s="26" t="n">
        <f aca="false">INDEX(Annahmen!$B$68:$F$68,1,AE$4)</f>
        <v>1200</v>
      </c>
      <c r="AF61" s="26" t="n">
        <f aca="false">INDEX(Annahmen!$B$68:$F$68,1,AF$4)</f>
        <v>1200</v>
      </c>
      <c r="AG61" s="26" t="n">
        <f aca="false">INDEX(Annahmen!$B$68:$F$68,1,AG$4)</f>
        <v>1200</v>
      </c>
      <c r="AH61" s="26" t="n">
        <f aca="false">INDEX(Annahmen!$B$68:$F$68,1,AH$4)</f>
        <v>1200</v>
      </c>
      <c r="AI61" s="26" t="n">
        <f aca="false">INDEX(Annahmen!$B$68:$F$68,1,AI$4)</f>
        <v>1200</v>
      </c>
      <c r="AJ61" s="26" t="n">
        <f aca="false">INDEX(Annahmen!$B$68:$F$68,1,AJ$4)</f>
        <v>1200</v>
      </c>
      <c r="AK61" s="26" t="n">
        <f aca="false">INDEX(Annahmen!$B$68:$F$68,1,AK$4)</f>
        <v>1200</v>
      </c>
      <c r="AL61" s="26" t="n">
        <f aca="false">INDEX(Annahmen!$B$68:$F$68,1,AL$4)</f>
        <v>1200</v>
      </c>
    </row>
    <row r="62" customFormat="false" ht="15" hidden="false" customHeight="false" outlineLevel="0" collapsed="false">
      <c r="A62" s="5" t="s">
        <v>259</v>
      </c>
      <c r="C62" s="26" t="n">
        <f aca="false">INDEX(Annahmen!$B$69:$F$69,1,C$4)</f>
        <v>150</v>
      </c>
      <c r="D62" s="26" t="n">
        <f aca="false">INDEX(Annahmen!$B$69:$F$69,1,D$4)</f>
        <v>150</v>
      </c>
      <c r="E62" s="26" t="n">
        <f aca="false">INDEX(Annahmen!$B$69:$F$69,1,E$4)</f>
        <v>150</v>
      </c>
      <c r="F62" s="26" t="n">
        <f aca="false">INDEX(Annahmen!$B$69:$F$69,1,F$4)</f>
        <v>150</v>
      </c>
      <c r="G62" s="26" t="n">
        <f aca="false">INDEX(Annahmen!$B$69:$F$69,1,G$4)</f>
        <v>150</v>
      </c>
      <c r="H62" s="26" t="n">
        <f aca="false">INDEX(Annahmen!$B$69:$F$69,1,H$4)</f>
        <v>150</v>
      </c>
      <c r="I62" s="26" t="n">
        <f aca="false">INDEX(Annahmen!$B$69:$F$69,1,I$4)</f>
        <v>150</v>
      </c>
      <c r="J62" s="26" t="n">
        <f aca="false">INDEX(Annahmen!$B$69:$F$69,1,J$4)</f>
        <v>150</v>
      </c>
      <c r="K62" s="26" t="n">
        <f aca="false">INDEX(Annahmen!$B$69:$F$69,1,K$4)</f>
        <v>150</v>
      </c>
      <c r="L62" s="26" t="n">
        <f aca="false">INDEX(Annahmen!$B$69:$F$69,1,L$4)</f>
        <v>150</v>
      </c>
      <c r="M62" s="26" t="n">
        <f aca="false">INDEX(Annahmen!$B$69:$F$69,1,M$4)</f>
        <v>150</v>
      </c>
      <c r="N62" s="26" t="n">
        <f aca="false">INDEX(Annahmen!$B$69:$F$69,1,N$4)</f>
        <v>150</v>
      </c>
      <c r="O62" s="26" t="n">
        <f aca="false">INDEX(Annahmen!$B$69:$F$69,1,O$4)</f>
        <v>200</v>
      </c>
      <c r="P62" s="26" t="n">
        <f aca="false">INDEX(Annahmen!$B$69:$F$69,1,P$4)</f>
        <v>200</v>
      </c>
      <c r="Q62" s="26" t="n">
        <f aca="false">INDEX(Annahmen!$B$69:$F$69,1,Q$4)</f>
        <v>200</v>
      </c>
      <c r="R62" s="26" t="n">
        <f aca="false">INDEX(Annahmen!$B$69:$F$69,1,R$4)</f>
        <v>200</v>
      </c>
      <c r="S62" s="26" t="n">
        <f aca="false">INDEX(Annahmen!$B$69:$F$69,1,S$4)</f>
        <v>200</v>
      </c>
      <c r="T62" s="26" t="n">
        <f aca="false">INDEX(Annahmen!$B$69:$F$69,1,T$4)</f>
        <v>200</v>
      </c>
      <c r="U62" s="26" t="n">
        <f aca="false">INDEX(Annahmen!$B$69:$F$69,1,U$4)</f>
        <v>200</v>
      </c>
      <c r="V62" s="26" t="n">
        <f aca="false">INDEX(Annahmen!$B$69:$F$69,1,V$4)</f>
        <v>200</v>
      </c>
      <c r="W62" s="26" t="n">
        <f aca="false">INDEX(Annahmen!$B$69:$F$69,1,W$4)</f>
        <v>200</v>
      </c>
      <c r="X62" s="26" t="n">
        <f aca="false">INDEX(Annahmen!$B$69:$F$69,1,X$4)</f>
        <v>200</v>
      </c>
      <c r="Y62" s="26" t="n">
        <f aca="false">INDEX(Annahmen!$B$69:$F$69,1,Y$4)</f>
        <v>200</v>
      </c>
      <c r="Z62" s="26" t="n">
        <f aca="false">INDEX(Annahmen!$B$69:$F$69,1,Z$4)</f>
        <v>200</v>
      </c>
      <c r="AA62" s="26" t="n">
        <f aca="false">INDEX(Annahmen!$B$69:$F$69,1,AA$4)</f>
        <v>300</v>
      </c>
      <c r="AB62" s="26" t="n">
        <f aca="false">INDEX(Annahmen!$B$69:$F$69,1,AB$4)</f>
        <v>300</v>
      </c>
      <c r="AC62" s="26" t="n">
        <f aca="false">INDEX(Annahmen!$B$69:$F$69,1,AC$4)</f>
        <v>300</v>
      </c>
      <c r="AD62" s="26" t="n">
        <f aca="false">INDEX(Annahmen!$B$69:$F$69,1,AD$4)</f>
        <v>300</v>
      </c>
      <c r="AE62" s="26" t="n">
        <f aca="false">INDEX(Annahmen!$B$69:$F$69,1,AE$4)</f>
        <v>300</v>
      </c>
      <c r="AF62" s="26" t="n">
        <f aca="false">INDEX(Annahmen!$B$69:$F$69,1,AF$4)</f>
        <v>300</v>
      </c>
      <c r="AG62" s="26" t="n">
        <f aca="false">INDEX(Annahmen!$B$69:$F$69,1,AG$4)</f>
        <v>300</v>
      </c>
      <c r="AH62" s="26" t="n">
        <f aca="false">INDEX(Annahmen!$B$69:$F$69,1,AH$4)</f>
        <v>300</v>
      </c>
      <c r="AI62" s="26" t="n">
        <f aca="false">INDEX(Annahmen!$B$69:$F$69,1,AI$4)</f>
        <v>300</v>
      </c>
      <c r="AJ62" s="26" t="n">
        <f aca="false">INDEX(Annahmen!$B$69:$F$69,1,AJ$4)</f>
        <v>300</v>
      </c>
      <c r="AK62" s="26" t="n">
        <f aca="false">INDEX(Annahmen!$B$69:$F$69,1,AK$4)</f>
        <v>300</v>
      </c>
      <c r="AL62" s="26" t="n">
        <f aca="false">INDEX(Annahmen!$B$69:$F$69,1,AL$4)</f>
        <v>300</v>
      </c>
    </row>
    <row r="63" customFormat="false" ht="15" hidden="false" customHeight="false" outlineLevel="0" collapsed="false">
      <c r="A63" s="5" t="s">
        <v>260</v>
      </c>
      <c r="C63" s="26" t="n">
        <f aca="false">Annahmen!$B$70+Annahmen!$B$71*C52</f>
        <v>190</v>
      </c>
      <c r="D63" s="26" t="n">
        <f aca="false">Annahmen!$B$70+Annahmen!$B$71*D52</f>
        <v>190</v>
      </c>
      <c r="E63" s="26" t="n">
        <f aca="false">Annahmen!$B$70+Annahmen!$B$71*E52</f>
        <v>190</v>
      </c>
      <c r="F63" s="26" t="n">
        <f aca="false">Annahmen!$B$70+Annahmen!$B$71*F52</f>
        <v>190</v>
      </c>
      <c r="G63" s="26" t="n">
        <f aca="false">Annahmen!$B$70+Annahmen!$B$71*G52</f>
        <v>190</v>
      </c>
      <c r="H63" s="26" t="n">
        <f aca="false">Annahmen!$B$70+Annahmen!$B$71*H52</f>
        <v>190</v>
      </c>
      <c r="I63" s="26" t="n">
        <f aca="false">Annahmen!$B$70+Annahmen!$B$71*I52</f>
        <v>230</v>
      </c>
      <c r="J63" s="26" t="n">
        <f aca="false">Annahmen!$B$70+Annahmen!$B$71*J52</f>
        <v>230</v>
      </c>
      <c r="K63" s="26" t="n">
        <f aca="false">Annahmen!$B$70+Annahmen!$B$71*K52</f>
        <v>230</v>
      </c>
      <c r="L63" s="26" t="n">
        <f aca="false">Annahmen!$B$70+Annahmen!$B$71*L52</f>
        <v>270</v>
      </c>
      <c r="M63" s="26" t="n">
        <f aca="false">Annahmen!$B$70+Annahmen!$B$71*M52</f>
        <v>270</v>
      </c>
      <c r="N63" s="26" t="n">
        <f aca="false">Annahmen!$B$70+Annahmen!$B$71*N52</f>
        <v>270</v>
      </c>
      <c r="O63" s="26" t="n">
        <f aca="false">Annahmen!$B$70+Annahmen!$B$71*O52</f>
        <v>350</v>
      </c>
      <c r="P63" s="26" t="n">
        <f aca="false">Annahmen!$B$70+Annahmen!$B$71*P52</f>
        <v>350</v>
      </c>
      <c r="Q63" s="26" t="n">
        <f aca="false">Annahmen!$B$70+Annahmen!$B$71*Q52</f>
        <v>350</v>
      </c>
      <c r="R63" s="26" t="n">
        <f aca="false">Annahmen!$B$70+Annahmen!$B$71*R52</f>
        <v>350</v>
      </c>
      <c r="S63" s="26" t="n">
        <f aca="false">Annahmen!$B$70+Annahmen!$B$71*S52</f>
        <v>350</v>
      </c>
      <c r="T63" s="26" t="n">
        <f aca="false">Annahmen!$B$70+Annahmen!$B$71*T52</f>
        <v>350</v>
      </c>
      <c r="U63" s="26" t="n">
        <f aca="false">Annahmen!$B$70+Annahmen!$B$71*U52</f>
        <v>350</v>
      </c>
      <c r="V63" s="26" t="n">
        <f aca="false">Annahmen!$B$70+Annahmen!$B$71*V52</f>
        <v>350</v>
      </c>
      <c r="W63" s="26" t="n">
        <f aca="false">Annahmen!$B$70+Annahmen!$B$71*W52</f>
        <v>350</v>
      </c>
      <c r="X63" s="26" t="n">
        <f aca="false">Annahmen!$B$70+Annahmen!$B$71*X52</f>
        <v>390</v>
      </c>
      <c r="Y63" s="26" t="n">
        <f aca="false">Annahmen!$B$70+Annahmen!$B$71*Y52</f>
        <v>390</v>
      </c>
      <c r="Z63" s="26" t="n">
        <f aca="false">Annahmen!$B$70+Annahmen!$B$71*Z52</f>
        <v>390</v>
      </c>
      <c r="AA63" s="26" t="n">
        <f aca="false">Annahmen!$B$70+Annahmen!$B$71*AA52</f>
        <v>390</v>
      </c>
      <c r="AB63" s="26" t="n">
        <f aca="false">Annahmen!$B$70+Annahmen!$B$71*AB52</f>
        <v>390</v>
      </c>
      <c r="AC63" s="26" t="n">
        <f aca="false">Annahmen!$B$70+Annahmen!$B$71*AC52</f>
        <v>390</v>
      </c>
      <c r="AD63" s="26" t="n">
        <f aca="false">Annahmen!$B$70+Annahmen!$B$71*AD52</f>
        <v>430</v>
      </c>
      <c r="AE63" s="26" t="n">
        <f aca="false">Annahmen!$B$70+Annahmen!$B$71*AE52</f>
        <v>430</v>
      </c>
      <c r="AF63" s="26" t="n">
        <f aca="false">Annahmen!$B$70+Annahmen!$B$71*AF52</f>
        <v>430</v>
      </c>
      <c r="AG63" s="26" t="n">
        <f aca="false">Annahmen!$B$70+Annahmen!$B$71*AG52</f>
        <v>470</v>
      </c>
      <c r="AH63" s="26" t="n">
        <f aca="false">Annahmen!$B$70+Annahmen!$B$71*AH52</f>
        <v>470</v>
      </c>
      <c r="AI63" s="26" t="n">
        <f aca="false">Annahmen!$B$70+Annahmen!$B$71*AI52</f>
        <v>470</v>
      </c>
      <c r="AJ63" s="26" t="n">
        <f aca="false">Annahmen!$B$70+Annahmen!$B$71*AJ52</f>
        <v>470</v>
      </c>
      <c r="AK63" s="26" t="n">
        <f aca="false">Annahmen!$B$70+Annahmen!$B$71*AK52</f>
        <v>470</v>
      </c>
      <c r="AL63" s="26" t="n">
        <f aca="false">Annahmen!$B$70+Annahmen!$B$71*AL52</f>
        <v>470</v>
      </c>
    </row>
    <row r="64" customFormat="false" ht="15" hidden="false" customHeight="false" outlineLevel="0" collapsed="false">
      <c r="A64" s="5" t="s">
        <v>261</v>
      </c>
      <c r="C64" s="26" t="n">
        <f aca="false">MAX(0,C52-B52)*Annahmen!$B$72</f>
        <v>1800</v>
      </c>
      <c r="D64" s="26" t="n">
        <f aca="false">MAX(0,D52-C52)*Annahmen!$B$72</f>
        <v>0</v>
      </c>
      <c r="E64" s="26" t="n">
        <f aca="false">MAX(0,E52-D52)*Annahmen!$B$72</f>
        <v>0</v>
      </c>
      <c r="F64" s="26" t="n">
        <f aca="false">MAX(0,F52-E52)*Annahmen!$B$72</f>
        <v>0</v>
      </c>
      <c r="G64" s="26" t="n">
        <f aca="false">MAX(0,G52-F52)*Annahmen!$B$72</f>
        <v>0</v>
      </c>
      <c r="H64" s="26" t="n">
        <f aca="false">MAX(0,H52-G52)*Annahmen!$B$72</f>
        <v>0</v>
      </c>
      <c r="I64" s="26" t="n">
        <f aca="false">MAX(0,I52-H52)*Annahmen!$B$72</f>
        <v>1800</v>
      </c>
      <c r="J64" s="26" t="n">
        <f aca="false">MAX(0,J52-I52)*Annahmen!$B$72</f>
        <v>0</v>
      </c>
      <c r="K64" s="26" t="n">
        <f aca="false">MAX(0,K52-J52)*Annahmen!$B$72</f>
        <v>0</v>
      </c>
      <c r="L64" s="26" t="n">
        <f aca="false">MAX(0,L52-K52)*Annahmen!$B$72</f>
        <v>1800</v>
      </c>
      <c r="M64" s="26" t="n">
        <f aca="false">MAX(0,M52-L52)*Annahmen!$B$72</f>
        <v>0</v>
      </c>
      <c r="N64" s="26" t="n">
        <f aca="false">MAX(0,N52-M52)*Annahmen!$B$72</f>
        <v>0</v>
      </c>
      <c r="O64" s="26" t="n">
        <f aca="false">MAX(0,O52-N52)*Annahmen!$B$72</f>
        <v>3600</v>
      </c>
      <c r="P64" s="26" t="n">
        <f aca="false">MAX(0,P52-O52)*Annahmen!$B$72</f>
        <v>0</v>
      </c>
      <c r="Q64" s="26" t="n">
        <f aca="false">MAX(0,Q52-P52)*Annahmen!$B$72</f>
        <v>0</v>
      </c>
      <c r="R64" s="26" t="n">
        <f aca="false">MAX(0,R52-Q52)*Annahmen!$B$72</f>
        <v>0</v>
      </c>
      <c r="S64" s="26" t="n">
        <f aca="false">MAX(0,S52-R52)*Annahmen!$B$72</f>
        <v>0</v>
      </c>
      <c r="T64" s="26" t="n">
        <f aca="false">MAX(0,T52-S52)*Annahmen!$B$72</f>
        <v>0</v>
      </c>
      <c r="U64" s="26" t="n">
        <f aca="false">MAX(0,U52-T52)*Annahmen!$B$72</f>
        <v>0</v>
      </c>
      <c r="V64" s="26" t="n">
        <f aca="false">MAX(0,V52-U52)*Annahmen!$B$72</f>
        <v>0</v>
      </c>
      <c r="W64" s="26" t="n">
        <f aca="false">MAX(0,W52-V52)*Annahmen!$B$72</f>
        <v>0</v>
      </c>
      <c r="X64" s="26" t="n">
        <f aca="false">MAX(0,X52-W52)*Annahmen!$B$72</f>
        <v>1800</v>
      </c>
      <c r="Y64" s="26" t="n">
        <f aca="false">MAX(0,Y52-X52)*Annahmen!$B$72</f>
        <v>0</v>
      </c>
      <c r="Z64" s="26" t="n">
        <f aca="false">MAX(0,Z52-Y52)*Annahmen!$B$72</f>
        <v>0</v>
      </c>
      <c r="AA64" s="26" t="n">
        <f aca="false">MAX(0,AA52-Z52)*Annahmen!$B$72</f>
        <v>0</v>
      </c>
      <c r="AB64" s="26" t="n">
        <f aca="false">MAX(0,AB52-AA52)*Annahmen!$B$72</f>
        <v>0</v>
      </c>
      <c r="AC64" s="26" t="n">
        <f aca="false">MAX(0,AC52-AB52)*Annahmen!$B$72</f>
        <v>0</v>
      </c>
      <c r="AD64" s="26" t="n">
        <f aca="false">MAX(0,AD52-AC52)*Annahmen!$B$72</f>
        <v>1800</v>
      </c>
      <c r="AE64" s="26" t="n">
        <f aca="false">MAX(0,AE52-AD52)*Annahmen!$B$72</f>
        <v>0</v>
      </c>
      <c r="AF64" s="26" t="n">
        <f aca="false">MAX(0,AF52-AE52)*Annahmen!$B$72</f>
        <v>0</v>
      </c>
      <c r="AG64" s="26" t="n">
        <f aca="false">MAX(0,AG52-AF52)*Annahmen!$B$72</f>
        <v>1800</v>
      </c>
      <c r="AH64" s="26" t="n">
        <f aca="false">MAX(0,AH52-AG52)*Annahmen!$B$72</f>
        <v>0</v>
      </c>
      <c r="AI64" s="26" t="n">
        <f aca="false">MAX(0,AI52-AH52)*Annahmen!$B$72</f>
        <v>0</v>
      </c>
      <c r="AJ64" s="26" t="n">
        <f aca="false">MAX(0,AJ52-AI52)*Annahmen!$B$72</f>
        <v>0</v>
      </c>
      <c r="AK64" s="26" t="n">
        <f aca="false">MAX(0,AK52-AJ52)*Annahmen!$B$72</f>
        <v>0</v>
      </c>
      <c r="AL64" s="26" t="n">
        <f aca="false">MAX(0,AL52-AK52)*Annahmen!$B$72</f>
        <v>0</v>
      </c>
    </row>
    <row r="65" customFormat="false" ht="15" hidden="false" customHeight="false" outlineLevel="0" collapsed="false">
      <c r="A65" s="5" t="s">
        <v>262</v>
      </c>
      <c r="C65" s="26" t="n">
        <f aca="false">IF(C$2=1,Annahmen!$B$73,0)</f>
        <v>8000</v>
      </c>
      <c r="D65" s="26" t="n">
        <f aca="false">IF(D$2=1,Annahmen!$B$73,0)</f>
        <v>0</v>
      </c>
      <c r="E65" s="26" t="n">
        <f aca="false">IF(E$2=1,Annahmen!$B$73,0)</f>
        <v>0</v>
      </c>
      <c r="F65" s="26" t="n">
        <f aca="false">IF(F$2=1,Annahmen!$B$73,0)</f>
        <v>0</v>
      </c>
      <c r="G65" s="26" t="n">
        <f aca="false">IF(G$2=1,Annahmen!$B$73,0)</f>
        <v>0</v>
      </c>
      <c r="H65" s="26" t="n">
        <f aca="false">IF(H$2=1,Annahmen!$B$73,0)</f>
        <v>0</v>
      </c>
      <c r="I65" s="26" t="n">
        <f aca="false">IF(I$2=1,Annahmen!$B$73,0)</f>
        <v>0</v>
      </c>
      <c r="J65" s="26" t="n">
        <f aca="false">IF(J$2=1,Annahmen!$B$73,0)</f>
        <v>0</v>
      </c>
      <c r="K65" s="26" t="n">
        <f aca="false">IF(K$2=1,Annahmen!$B$73,0)</f>
        <v>0</v>
      </c>
      <c r="L65" s="26" t="n">
        <f aca="false">IF(L$2=1,Annahmen!$B$73,0)</f>
        <v>0</v>
      </c>
      <c r="M65" s="26" t="n">
        <f aca="false">IF(M$2=1,Annahmen!$B$73,0)</f>
        <v>0</v>
      </c>
      <c r="N65" s="26" t="n">
        <f aca="false">IF(N$2=1,Annahmen!$B$73,0)</f>
        <v>0</v>
      </c>
      <c r="O65" s="26" t="n">
        <f aca="false">IF(O$2=1,Annahmen!$B$73,0)</f>
        <v>0</v>
      </c>
      <c r="P65" s="26" t="n">
        <f aca="false">IF(P$2=1,Annahmen!$B$73,0)</f>
        <v>0</v>
      </c>
      <c r="Q65" s="26" t="n">
        <f aca="false">IF(Q$2=1,Annahmen!$B$73,0)</f>
        <v>0</v>
      </c>
      <c r="R65" s="26" t="n">
        <f aca="false">IF(R$2=1,Annahmen!$B$73,0)</f>
        <v>0</v>
      </c>
      <c r="S65" s="26" t="n">
        <f aca="false">IF(S$2=1,Annahmen!$B$73,0)</f>
        <v>0</v>
      </c>
      <c r="T65" s="26" t="n">
        <f aca="false">IF(T$2=1,Annahmen!$B$73,0)</f>
        <v>0</v>
      </c>
      <c r="U65" s="26" t="n">
        <f aca="false">IF(U$2=1,Annahmen!$B$73,0)</f>
        <v>0</v>
      </c>
      <c r="V65" s="26" t="n">
        <f aca="false">IF(V$2=1,Annahmen!$B$73,0)</f>
        <v>0</v>
      </c>
      <c r="W65" s="26" t="n">
        <f aca="false">IF(W$2=1,Annahmen!$B$73,0)</f>
        <v>0</v>
      </c>
      <c r="X65" s="26" t="n">
        <f aca="false">IF(X$2=1,Annahmen!$B$73,0)</f>
        <v>0</v>
      </c>
      <c r="Y65" s="26" t="n">
        <f aca="false">IF(Y$2=1,Annahmen!$B$73,0)</f>
        <v>0</v>
      </c>
      <c r="Z65" s="26" t="n">
        <f aca="false">IF(Z$2=1,Annahmen!$B$73,0)</f>
        <v>0</v>
      </c>
      <c r="AA65" s="26" t="n">
        <f aca="false">IF(AA$2=1,Annahmen!$B$73,0)</f>
        <v>0</v>
      </c>
      <c r="AB65" s="26" t="n">
        <f aca="false">IF(AB$2=1,Annahmen!$B$73,0)</f>
        <v>0</v>
      </c>
      <c r="AC65" s="26" t="n">
        <f aca="false">IF(AC$2=1,Annahmen!$B$73,0)</f>
        <v>0</v>
      </c>
      <c r="AD65" s="26" t="n">
        <f aca="false">IF(AD$2=1,Annahmen!$B$73,0)</f>
        <v>0</v>
      </c>
      <c r="AE65" s="26" t="n">
        <f aca="false">IF(AE$2=1,Annahmen!$B$73,0)</f>
        <v>0</v>
      </c>
      <c r="AF65" s="26" t="n">
        <f aca="false">IF(AF$2=1,Annahmen!$B$73,0)</f>
        <v>0</v>
      </c>
      <c r="AG65" s="26" t="n">
        <f aca="false">IF(AG$2=1,Annahmen!$B$73,0)</f>
        <v>0</v>
      </c>
      <c r="AH65" s="26" t="n">
        <f aca="false">IF(AH$2=1,Annahmen!$B$73,0)</f>
        <v>0</v>
      </c>
      <c r="AI65" s="26" t="n">
        <f aca="false">IF(AI$2=1,Annahmen!$B$73,0)</f>
        <v>0</v>
      </c>
      <c r="AJ65" s="26" t="n">
        <f aca="false">IF(AJ$2=1,Annahmen!$B$73,0)</f>
        <v>0</v>
      </c>
      <c r="AK65" s="26" t="n">
        <f aca="false">IF(AK$2=1,Annahmen!$B$73,0)</f>
        <v>0</v>
      </c>
      <c r="AL65" s="26" t="n">
        <f aca="false">IF(AL$2=1,Annahmen!$B$73,0)</f>
        <v>0</v>
      </c>
    </row>
    <row r="66" customFormat="false" ht="15" hidden="false" customHeight="false" outlineLevel="0" collapsed="false">
      <c r="A66" s="3" t="s">
        <v>263</v>
      </c>
      <c r="C66" s="30" t="n">
        <f aca="false">SUM(C54:C65)</f>
        <v>14460</v>
      </c>
      <c r="D66" s="30" t="n">
        <f aca="false">SUM(D54:D65)</f>
        <v>4660</v>
      </c>
      <c r="E66" s="30" t="n">
        <f aca="false">SUM(E54:E65)</f>
        <v>5460</v>
      </c>
      <c r="F66" s="30" t="n">
        <f aca="false">SUM(F54:F65)</f>
        <v>13660</v>
      </c>
      <c r="G66" s="30" t="n">
        <f aca="false">SUM(G54:G65)</f>
        <v>4660</v>
      </c>
      <c r="H66" s="30" t="n">
        <f aca="false">SUM(H54:H65)</f>
        <v>4660</v>
      </c>
      <c r="I66" s="30" t="n">
        <f aca="false">SUM(I54:I65)</f>
        <v>6500</v>
      </c>
      <c r="J66" s="30" t="n">
        <f aca="false">SUM(J54:J65)</f>
        <v>4700</v>
      </c>
      <c r="K66" s="30" t="n">
        <f aca="false">SUM(K54:K65)</f>
        <v>4700</v>
      </c>
      <c r="L66" s="30" t="n">
        <f aca="false">SUM(L54:L65)</f>
        <v>9040</v>
      </c>
      <c r="M66" s="30" t="n">
        <f aca="false">SUM(M54:M65)</f>
        <v>4740</v>
      </c>
      <c r="N66" s="30" t="n">
        <f aca="false">SUM(N54:N65)</f>
        <v>4740</v>
      </c>
      <c r="O66" s="30" t="n">
        <f aca="false">SUM(O54:O65)</f>
        <v>10950</v>
      </c>
      <c r="P66" s="30" t="n">
        <f aca="false">SUM(P54:P65)</f>
        <v>7350</v>
      </c>
      <c r="Q66" s="30" t="n">
        <f aca="false">SUM(Q54:Q65)</f>
        <v>14350</v>
      </c>
      <c r="R66" s="30" t="n">
        <f aca="false">SUM(R54:R65)</f>
        <v>7350</v>
      </c>
      <c r="S66" s="30" t="n">
        <f aca="false">SUM(S54:S65)</f>
        <v>7350</v>
      </c>
      <c r="T66" s="30" t="n">
        <f aca="false">SUM(T54:T65)</f>
        <v>7350</v>
      </c>
      <c r="U66" s="30" t="n">
        <f aca="false">SUM(U54:U65)</f>
        <v>7350</v>
      </c>
      <c r="V66" s="30" t="n">
        <f aca="false">SUM(V54:V65)</f>
        <v>7350</v>
      </c>
      <c r="W66" s="30" t="n">
        <f aca="false">SUM(W54:W65)</f>
        <v>21350</v>
      </c>
      <c r="X66" s="30" t="n">
        <f aca="false">SUM(X54:X65)</f>
        <v>12190</v>
      </c>
      <c r="Y66" s="30" t="n">
        <f aca="false">SUM(Y54:Y65)</f>
        <v>7390</v>
      </c>
      <c r="Z66" s="30" t="n">
        <f aca="false">SUM(Z54:Z65)</f>
        <v>7390</v>
      </c>
      <c r="AA66" s="30" t="n">
        <f aca="false">SUM(AA54:AA65)</f>
        <v>11460</v>
      </c>
      <c r="AB66" s="30" t="n">
        <f aca="false">SUM(AB54:AB65)</f>
        <v>11460</v>
      </c>
      <c r="AC66" s="30" t="n">
        <f aca="false">SUM(AC54:AC65)</f>
        <v>11460</v>
      </c>
      <c r="AD66" s="30" t="n">
        <f aca="false">SUM(AD54:AD65)</f>
        <v>28300</v>
      </c>
      <c r="AE66" s="30" t="n">
        <f aca="false">SUM(AE54:AE65)</f>
        <v>11500</v>
      </c>
      <c r="AF66" s="30" t="n">
        <f aca="false">SUM(AF54:AF65)</f>
        <v>11500</v>
      </c>
      <c r="AG66" s="30" t="n">
        <f aca="false">SUM(AG54:AG65)</f>
        <v>13340</v>
      </c>
      <c r="AH66" s="30" t="n">
        <f aca="false">SUM(AH54:AH65)</f>
        <v>11540</v>
      </c>
      <c r="AI66" s="30" t="n">
        <f aca="false">SUM(AI54:AI65)</f>
        <v>11540</v>
      </c>
      <c r="AJ66" s="30" t="n">
        <f aca="false">SUM(AJ54:AJ65)</f>
        <v>15540</v>
      </c>
      <c r="AK66" s="30" t="n">
        <f aca="false">SUM(AK54:AK65)</f>
        <v>11540</v>
      </c>
      <c r="AL66" s="30" t="n">
        <f aca="false">SUM(AL54:AL65)</f>
        <v>11540</v>
      </c>
    </row>
    <row r="67" customFormat="false" ht="15" hidden="false" customHeight="false" outlineLevel="0" collapsed="false">
      <c r="A67" s="3" t="s">
        <v>264</v>
      </c>
      <c r="C67" s="30" t="n">
        <f aca="false">C50+C66</f>
        <v>16960</v>
      </c>
      <c r="D67" s="30" t="n">
        <f aca="false">D50+D66</f>
        <v>7160</v>
      </c>
      <c r="E67" s="30" t="n">
        <f aca="false">E50+E66</f>
        <v>7960</v>
      </c>
      <c r="F67" s="30" t="n">
        <f aca="false">F50+F66</f>
        <v>16160</v>
      </c>
      <c r="G67" s="30" t="n">
        <f aca="false">G50+G66</f>
        <v>7160</v>
      </c>
      <c r="H67" s="30" t="n">
        <f aca="false">H50+H66</f>
        <v>7160</v>
      </c>
      <c r="I67" s="30" t="n">
        <f aca="false">I50+I66</f>
        <v>13598</v>
      </c>
      <c r="J67" s="30" t="n">
        <f aca="false">J50+J66</f>
        <v>11798</v>
      </c>
      <c r="K67" s="30" t="n">
        <f aca="false">K50+K66</f>
        <v>11798</v>
      </c>
      <c r="L67" s="30" t="n">
        <f aca="false">L50+L66</f>
        <v>22430</v>
      </c>
      <c r="M67" s="30" t="n">
        <f aca="false">M50+M66</f>
        <v>18130</v>
      </c>
      <c r="N67" s="30" t="n">
        <f aca="false">N50+N66</f>
        <v>18130</v>
      </c>
      <c r="O67" s="30" t="n">
        <f aca="false">O50+O66</f>
        <v>33395.24</v>
      </c>
      <c r="P67" s="30" t="n">
        <f aca="false">P50+P66</f>
        <v>29795.24</v>
      </c>
      <c r="Q67" s="30" t="n">
        <f aca="false">Q50+Q66</f>
        <v>36795.24</v>
      </c>
      <c r="R67" s="30" t="n">
        <f aca="false">R50+R66</f>
        <v>29795.24</v>
      </c>
      <c r="S67" s="30" t="n">
        <f aca="false">S50+S66</f>
        <v>29795.24</v>
      </c>
      <c r="T67" s="30" t="n">
        <f aca="false">T50+T66</f>
        <v>29795.24</v>
      </c>
      <c r="U67" s="30" t="n">
        <f aca="false">U50+U66</f>
        <v>29795.24</v>
      </c>
      <c r="V67" s="30" t="n">
        <f aca="false">V50+V66</f>
        <v>29795.24</v>
      </c>
      <c r="W67" s="30" t="n">
        <f aca="false">W50+W66</f>
        <v>43795.24</v>
      </c>
      <c r="X67" s="30" t="n">
        <f aca="false">X50+X66</f>
        <v>41116</v>
      </c>
      <c r="Y67" s="30" t="n">
        <f aca="false">Y50+Y66</f>
        <v>36316</v>
      </c>
      <c r="Z67" s="30" t="n">
        <f aca="false">Z50+Z66</f>
        <v>36316</v>
      </c>
      <c r="AA67" s="30" t="n">
        <f aca="false">AA50+AA66</f>
        <v>42633.78</v>
      </c>
      <c r="AB67" s="30" t="n">
        <f aca="false">AB50+AB66</f>
        <v>42633.78</v>
      </c>
      <c r="AC67" s="30" t="n">
        <f aca="false">AC50+AC66</f>
        <v>42633.78</v>
      </c>
      <c r="AD67" s="30" t="n">
        <f aca="false">AD50+AD66</f>
        <v>64351.7982</v>
      </c>
      <c r="AE67" s="30" t="n">
        <f aca="false">AE50+AE66</f>
        <v>47551.7982</v>
      </c>
      <c r="AF67" s="30" t="n">
        <f aca="false">AF50+AF66</f>
        <v>47551.7982</v>
      </c>
      <c r="AG67" s="30" t="n">
        <f aca="false">AG50+AG66</f>
        <v>54526.5542</v>
      </c>
      <c r="AH67" s="30" t="n">
        <f aca="false">AH50+AH66</f>
        <v>52726.5542</v>
      </c>
      <c r="AI67" s="30" t="n">
        <f aca="false">AI50+AI66</f>
        <v>52726.5542</v>
      </c>
      <c r="AJ67" s="30" t="n">
        <f aca="false">AJ50+AJ66</f>
        <v>56726.5542</v>
      </c>
      <c r="AK67" s="30" t="n">
        <f aca="false">AK50+AK66</f>
        <v>52726.5542</v>
      </c>
      <c r="AL67" s="30" t="n">
        <f aca="false">AL50+AL66</f>
        <v>52726.5542</v>
      </c>
    </row>
    <row r="68" customFormat="false" ht="15" hidden="false" customHeight="false" outlineLevel="0" collapsed="false">
      <c r="A68" s="19" t="s">
        <v>265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customFormat="false" ht="15" hidden="false" customHeight="false" outlineLevel="0" collapsed="false">
      <c r="A69" s="3" t="s">
        <v>266</v>
      </c>
      <c r="C69" s="30" t="n">
        <f aca="false">C34+C67</f>
        <v>16995.782318864</v>
      </c>
      <c r="D69" s="30" t="n">
        <f aca="false">D34+D67</f>
        <v>7204.35837379443</v>
      </c>
      <c r="E69" s="30" t="n">
        <f aca="false">E34+E67</f>
        <v>8012.76417495576</v>
      </c>
      <c r="F69" s="30" t="n">
        <f aca="false">F34+F67</f>
        <v>16242.0012757962</v>
      </c>
      <c r="G69" s="30" t="n">
        <f aca="false">G34+G67</f>
        <v>7258.9485047029</v>
      </c>
      <c r="H69" s="30" t="n">
        <f aca="false">H34+H67</f>
        <v>7275.55971553408</v>
      </c>
      <c r="I69" s="30" t="n">
        <f aca="false">I34+I67</f>
        <v>13750.8401227527</v>
      </c>
      <c r="J69" s="30" t="n">
        <f aca="false">J34+J67</f>
        <v>11975.6721274226</v>
      </c>
      <c r="K69" s="30" t="n">
        <f aca="false">K34+K67</f>
        <v>12000.0130700176</v>
      </c>
      <c r="L69" s="30" t="n">
        <f aca="false">L34+L67</f>
        <v>22676.8715677711</v>
      </c>
      <c r="M69" s="30" t="n">
        <f aca="false">M34+M67</f>
        <v>18409.1333428281</v>
      </c>
      <c r="N69" s="30" t="n">
        <f aca="false">N34+N67</f>
        <v>18440.7589771518</v>
      </c>
      <c r="O69" s="30" t="n">
        <f aca="false">O34+O67</f>
        <v>34072.5870650749</v>
      </c>
      <c r="P69" s="30" t="n">
        <f aca="false">P34+P67</f>
        <v>30554.6702449981</v>
      </c>
      <c r="Q69" s="30" t="n">
        <f aca="false">Q34+Q67</f>
        <v>37635.1663758632</v>
      </c>
      <c r="R69" s="30" t="n">
        <f aca="false">R34+R67</f>
        <v>30758.2225242849</v>
      </c>
      <c r="S69" s="30" t="n">
        <f aca="false">S34+S67</f>
        <v>30858.5956350359</v>
      </c>
      <c r="T69" s="30" t="n">
        <f aca="false">T34+T67</f>
        <v>30957.0327272365</v>
      </c>
      <c r="U69" s="30" t="n">
        <f aca="false">U34+U67</f>
        <v>31097.6883065898</v>
      </c>
      <c r="V69" s="30" t="n">
        <f aca="false">V34+V67</f>
        <v>31215.3265828089</v>
      </c>
      <c r="W69" s="30" t="n">
        <f aca="false">W34+W67</f>
        <v>45330.7016701902</v>
      </c>
      <c r="X69" s="30" t="n">
        <f aca="false">X34+X67</f>
        <v>42808.7350041142</v>
      </c>
      <c r="Y69" s="30" t="n">
        <f aca="false">Y34+Y67</f>
        <v>38142.6775626268</v>
      </c>
      <c r="Z69" s="30" t="n">
        <f aca="false">Z34+Z67</f>
        <v>38274.0500710557</v>
      </c>
      <c r="AA69" s="30" t="n">
        <f aca="false">AA34+AA67</f>
        <v>45727.6192795937</v>
      </c>
      <c r="AB69" s="30" t="n">
        <f aca="false">AB34+AB67</f>
        <v>45932.5723889895</v>
      </c>
      <c r="AC69" s="30" t="n">
        <f aca="false">AC34+AC67</f>
        <v>46133.634673152</v>
      </c>
      <c r="AD69" s="30" t="n">
        <f aca="false">AD34+AD67</f>
        <v>68094.0782776205</v>
      </c>
      <c r="AE69" s="30" t="n">
        <f aca="false">AE34+AE67</f>
        <v>51513.1574921847</v>
      </c>
      <c r="AF69" s="30" t="n">
        <f aca="false">AF34+AF67</f>
        <v>51728.0905143377</v>
      </c>
      <c r="AG69" s="30" t="n">
        <f aca="false">AG34+AG67</f>
        <v>58958.8924516787</v>
      </c>
      <c r="AH69" s="30" t="n">
        <f aca="false">AH34+AH67</f>
        <v>57391.3470407424</v>
      </c>
      <c r="AI69" s="30" t="n">
        <f aca="false">AI34+AI67</f>
        <v>57619.4152132453</v>
      </c>
      <c r="AJ69" s="30" t="n">
        <f aca="false">AJ34+AJ67</f>
        <v>61903.4180478107</v>
      </c>
      <c r="AK69" s="30" t="n">
        <f aca="false">AK34+AK67</f>
        <v>58157.0593669418</v>
      </c>
      <c r="AL69" s="30" t="n">
        <f aca="false">AL34+AL67</f>
        <v>58405.9224776124</v>
      </c>
    </row>
    <row r="70" customFormat="false" ht="15" hidden="false" customHeight="false" outlineLevel="0" collapsed="false">
      <c r="A70" s="22" t="s">
        <v>267</v>
      </c>
      <c r="B70" s="27"/>
      <c r="C70" s="28" t="n">
        <f aca="false">C26-C69</f>
        <v>-15956.233710864</v>
      </c>
      <c r="D70" s="28" t="n">
        <f aca="false">D26-D69</f>
        <v>-5841.84336699043</v>
      </c>
      <c r="E70" s="28" t="n">
        <f aca="false">E26-E69</f>
        <v>-6333.46152700041</v>
      </c>
      <c r="F70" s="28" t="n">
        <f aca="false">F26-F69</f>
        <v>-13768.4848541602</v>
      </c>
      <c r="G70" s="28" t="n">
        <f aca="false">G26-G69</f>
        <v>-4146.96436371527</v>
      </c>
      <c r="H70" s="28" t="n">
        <f aca="false">H26-H69</f>
        <v>-3537.30775400685</v>
      </c>
      <c r="I70" s="28" t="n">
        <f aca="false">I26-I69</f>
        <v>-8914.78721308101</v>
      </c>
      <c r="J70" s="28" t="n">
        <f aca="false">J26-J69</f>
        <v>-6203.33218331164</v>
      </c>
      <c r="K70" s="28" t="n">
        <f aca="false">K26-K69</f>
        <v>-5309.23161978265</v>
      </c>
      <c r="L70" s="28" t="n">
        <f aca="false">L26-L69</f>
        <v>-14601.6417260862</v>
      </c>
      <c r="M70" s="28" t="n">
        <f aca="false">M26-M69</f>
        <v>-9116.37865000445</v>
      </c>
      <c r="N70" s="28" t="n">
        <f aca="false">N26-N69</f>
        <v>-7953.62067476948</v>
      </c>
      <c r="O70" s="28" t="n">
        <f aca="false">O26-O69</f>
        <v>-21769.0850026682</v>
      </c>
      <c r="P70" s="28" t="n">
        <f aca="false">P26-P69</f>
        <v>-16656.7462870515</v>
      </c>
      <c r="Q70" s="28" t="n">
        <f aca="false">Q26-Q69</f>
        <v>-22173.067067267</v>
      </c>
      <c r="R70" s="28" t="n">
        <f aca="false">R26-R69</f>
        <v>-13116.9235402436</v>
      </c>
      <c r="S70" s="28" t="n">
        <f aca="false">S26-S69</f>
        <v>-11266.8486429726</v>
      </c>
      <c r="T70" s="28" t="n">
        <f aca="false">T26-T69</f>
        <v>-9451.75142116781</v>
      </c>
      <c r="U70" s="28" t="n">
        <f aca="false">U26-U69</f>
        <v>-7070.37614222533</v>
      </c>
      <c r="V70" s="28" t="n">
        <f aca="false">V26-V69</f>
        <v>-4901.12684311963</v>
      </c>
      <c r="W70" s="28" t="n">
        <f aca="false">W26-W69</f>
        <v>-16772.7866240581</v>
      </c>
      <c r="X70" s="28" t="n">
        <f aca="false">X26-X69</f>
        <v>-11404.7366884006</v>
      </c>
      <c r="Y70" s="28" t="n">
        <f aca="false">Y26-Y69</f>
        <v>-4133.74081942565</v>
      </c>
      <c r="Z70" s="28" t="n">
        <f aca="false">Z26-Z69</f>
        <v>-1709.22460471473</v>
      </c>
      <c r="AA70" s="28" t="n">
        <f aca="false">AA26-AA69</f>
        <v>-6332.60866575596</v>
      </c>
      <c r="AB70" s="28" t="n">
        <f aca="false">AB26-AB69</f>
        <v>-3854.27387248458</v>
      </c>
      <c r="AC70" s="28" t="n">
        <f aca="false">AC26-AC69</f>
        <v>-1422.3481459344</v>
      </c>
      <c r="AD70" s="28" t="n">
        <f aca="false">AD26-AD69</f>
        <v>-20315.5780115431</v>
      </c>
      <c r="AE70" s="28" t="n">
        <f aca="false">AE26-AE69</f>
        <v>-865.490350247754</v>
      </c>
      <c r="AF70" s="28" t="n">
        <f aca="false">AF26-AF69</f>
        <v>1735.121780595</v>
      </c>
      <c r="AG70" s="28" t="n">
        <f aca="false">AG26-AG69</f>
        <v>-2249.16481725348</v>
      </c>
      <c r="AH70" s="28" t="n">
        <f aca="false">AH26-AH69</f>
        <v>2363.65835571838</v>
      </c>
      <c r="AI70" s="28" t="n">
        <f aca="false">AI26-AI69</f>
        <v>5124.11890807631</v>
      </c>
      <c r="AJ70" s="28" t="n">
        <f aca="false">AJ26-AJ69</f>
        <v>4417.70737778064</v>
      </c>
      <c r="AK70" s="28" t="n">
        <f aca="false">AK26-AK69</f>
        <v>11487.472527528</v>
      </c>
      <c r="AL70" s="28" t="n">
        <f aca="false">AL26-AL69</f>
        <v>14500.1857281201</v>
      </c>
    </row>
    <row r="71" customFormat="false" ht="15" hidden="false" customHeight="false" outlineLevel="0" collapsed="false">
      <c r="A71" s="19" t="s">
        <v>268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customFormat="false" ht="15" hidden="false" customHeight="false" outlineLevel="0" collapsed="false">
      <c r="A72" s="5" t="s">
        <v>269</v>
      </c>
      <c r="C72" s="26" t="n">
        <f aca="false">IF(C$2=Annahmen!$B$109,Annahmen!$B$108,0)</f>
        <v>25000</v>
      </c>
      <c r="D72" s="26" t="n">
        <f aca="false">IF(D$2=Annahmen!$B$109,Annahmen!$B$108,0)</f>
        <v>0</v>
      </c>
      <c r="E72" s="26" t="n">
        <f aca="false">IF(E$2=Annahmen!$B$109,Annahmen!$B$108,0)</f>
        <v>0</v>
      </c>
      <c r="F72" s="26" t="n">
        <f aca="false">IF(F$2=Annahmen!$B$109,Annahmen!$B$108,0)</f>
        <v>0</v>
      </c>
      <c r="G72" s="26" t="n">
        <f aca="false">IF(G$2=Annahmen!$B$109,Annahmen!$B$108,0)</f>
        <v>0</v>
      </c>
      <c r="H72" s="26" t="n">
        <f aca="false">IF(H$2=Annahmen!$B$109,Annahmen!$B$108,0)</f>
        <v>0</v>
      </c>
      <c r="I72" s="26" t="n">
        <f aca="false">IF(I$2=Annahmen!$B$109,Annahmen!$B$108,0)</f>
        <v>0</v>
      </c>
      <c r="J72" s="26" t="n">
        <f aca="false">IF(J$2=Annahmen!$B$109,Annahmen!$B$108,0)</f>
        <v>0</v>
      </c>
      <c r="K72" s="26" t="n">
        <f aca="false">IF(K$2=Annahmen!$B$109,Annahmen!$B$108,0)</f>
        <v>0</v>
      </c>
      <c r="L72" s="26" t="n">
        <f aca="false">IF(L$2=Annahmen!$B$109,Annahmen!$B$108,0)</f>
        <v>0</v>
      </c>
      <c r="M72" s="26" t="n">
        <f aca="false">IF(M$2=Annahmen!$B$109,Annahmen!$B$108,0)</f>
        <v>0</v>
      </c>
      <c r="N72" s="26" t="n">
        <f aca="false">IF(N$2=Annahmen!$B$109,Annahmen!$B$108,0)</f>
        <v>0</v>
      </c>
      <c r="O72" s="26" t="n">
        <f aca="false">IF(O$2=Annahmen!$B$109,Annahmen!$B$108,0)</f>
        <v>0</v>
      </c>
      <c r="P72" s="26" t="n">
        <f aca="false">IF(P$2=Annahmen!$B$109,Annahmen!$B$108,0)</f>
        <v>0</v>
      </c>
      <c r="Q72" s="26" t="n">
        <f aca="false">IF(Q$2=Annahmen!$B$109,Annahmen!$B$108,0)</f>
        <v>0</v>
      </c>
      <c r="R72" s="26" t="n">
        <f aca="false">IF(R$2=Annahmen!$B$109,Annahmen!$B$108,0)</f>
        <v>0</v>
      </c>
      <c r="S72" s="26" t="n">
        <f aca="false">IF(S$2=Annahmen!$B$109,Annahmen!$B$108,0)</f>
        <v>0</v>
      </c>
      <c r="T72" s="26" t="n">
        <f aca="false">IF(T$2=Annahmen!$B$109,Annahmen!$B$108,0)</f>
        <v>0</v>
      </c>
      <c r="U72" s="26" t="n">
        <f aca="false">IF(U$2=Annahmen!$B$109,Annahmen!$B$108,0)</f>
        <v>0</v>
      </c>
      <c r="V72" s="26" t="n">
        <f aca="false">IF(V$2=Annahmen!$B$109,Annahmen!$B$108,0)</f>
        <v>0</v>
      </c>
      <c r="W72" s="26" t="n">
        <f aca="false">IF(W$2=Annahmen!$B$109,Annahmen!$B$108,0)</f>
        <v>0</v>
      </c>
      <c r="X72" s="26" t="n">
        <f aca="false">IF(X$2=Annahmen!$B$109,Annahmen!$B$108,0)</f>
        <v>0</v>
      </c>
      <c r="Y72" s="26" t="n">
        <f aca="false">IF(Y$2=Annahmen!$B$109,Annahmen!$B$108,0)</f>
        <v>0</v>
      </c>
      <c r="Z72" s="26" t="n">
        <f aca="false">IF(Z$2=Annahmen!$B$109,Annahmen!$B$108,0)</f>
        <v>0</v>
      </c>
      <c r="AA72" s="26" t="n">
        <f aca="false">IF(AA$2=Annahmen!$B$109,Annahmen!$B$108,0)</f>
        <v>0</v>
      </c>
      <c r="AB72" s="26" t="n">
        <f aca="false">IF(AB$2=Annahmen!$B$109,Annahmen!$B$108,0)</f>
        <v>0</v>
      </c>
      <c r="AC72" s="26" t="n">
        <f aca="false">IF(AC$2=Annahmen!$B$109,Annahmen!$B$108,0)</f>
        <v>0</v>
      </c>
      <c r="AD72" s="26" t="n">
        <f aca="false">IF(AD$2=Annahmen!$B$109,Annahmen!$B$108,0)</f>
        <v>0</v>
      </c>
      <c r="AE72" s="26" t="n">
        <f aca="false">IF(AE$2=Annahmen!$B$109,Annahmen!$B$108,0)</f>
        <v>0</v>
      </c>
      <c r="AF72" s="26" t="n">
        <f aca="false">IF(AF$2=Annahmen!$B$109,Annahmen!$B$108,0)</f>
        <v>0</v>
      </c>
      <c r="AG72" s="26" t="n">
        <f aca="false">IF(AG$2=Annahmen!$B$109,Annahmen!$B$108,0)</f>
        <v>0</v>
      </c>
      <c r="AH72" s="26" t="n">
        <f aca="false">IF(AH$2=Annahmen!$B$109,Annahmen!$B$108,0)</f>
        <v>0</v>
      </c>
      <c r="AI72" s="26" t="n">
        <f aca="false">IF(AI$2=Annahmen!$B$109,Annahmen!$B$108,0)</f>
        <v>0</v>
      </c>
      <c r="AJ72" s="26" t="n">
        <f aca="false">IF(AJ$2=Annahmen!$B$109,Annahmen!$B$108,0)</f>
        <v>0</v>
      </c>
      <c r="AK72" s="26" t="n">
        <f aca="false">IF(AK$2=Annahmen!$B$109,Annahmen!$B$108,0)</f>
        <v>0</v>
      </c>
      <c r="AL72" s="26" t="n">
        <f aca="false">IF(AL$2=Annahmen!$B$109,Annahmen!$B$108,0)</f>
        <v>0</v>
      </c>
    </row>
    <row r="73" customFormat="false" ht="15" hidden="false" customHeight="false" outlineLevel="0" collapsed="false">
      <c r="A73" s="5" t="s">
        <v>270</v>
      </c>
      <c r="C73" s="26" t="n">
        <f aca="false">IF(C$2=Annahmen!$B$111,Annahmen!$B$110,0)</f>
        <v>125000</v>
      </c>
      <c r="D73" s="26" t="n">
        <f aca="false">IF(D$2=Annahmen!$B$111,Annahmen!$B$110,0)</f>
        <v>0</v>
      </c>
      <c r="E73" s="26" t="n">
        <f aca="false">IF(E$2=Annahmen!$B$111,Annahmen!$B$110,0)</f>
        <v>0</v>
      </c>
      <c r="F73" s="26" t="n">
        <f aca="false">IF(F$2=Annahmen!$B$111,Annahmen!$B$110,0)</f>
        <v>0</v>
      </c>
      <c r="G73" s="26" t="n">
        <f aca="false">IF(G$2=Annahmen!$B$111,Annahmen!$B$110,0)</f>
        <v>0</v>
      </c>
      <c r="H73" s="26" t="n">
        <f aca="false">IF(H$2=Annahmen!$B$111,Annahmen!$B$110,0)</f>
        <v>0</v>
      </c>
      <c r="I73" s="26" t="n">
        <f aca="false">IF(I$2=Annahmen!$B$111,Annahmen!$B$110,0)</f>
        <v>0</v>
      </c>
      <c r="J73" s="26" t="n">
        <f aca="false">IF(J$2=Annahmen!$B$111,Annahmen!$B$110,0)</f>
        <v>0</v>
      </c>
      <c r="K73" s="26" t="n">
        <f aca="false">IF(K$2=Annahmen!$B$111,Annahmen!$B$110,0)</f>
        <v>0</v>
      </c>
      <c r="L73" s="26" t="n">
        <f aca="false">IF(L$2=Annahmen!$B$111,Annahmen!$B$110,0)</f>
        <v>0</v>
      </c>
      <c r="M73" s="26" t="n">
        <f aca="false">IF(M$2=Annahmen!$B$111,Annahmen!$B$110,0)</f>
        <v>0</v>
      </c>
      <c r="N73" s="26" t="n">
        <f aca="false">IF(N$2=Annahmen!$B$111,Annahmen!$B$110,0)</f>
        <v>0</v>
      </c>
      <c r="O73" s="26" t="n">
        <f aca="false">IF(O$2=Annahmen!$B$111,Annahmen!$B$110,0)</f>
        <v>0</v>
      </c>
      <c r="P73" s="26" t="n">
        <f aca="false">IF(P$2=Annahmen!$B$111,Annahmen!$B$110,0)</f>
        <v>0</v>
      </c>
      <c r="Q73" s="26" t="n">
        <f aca="false">IF(Q$2=Annahmen!$B$111,Annahmen!$B$110,0)</f>
        <v>0</v>
      </c>
      <c r="R73" s="26" t="n">
        <f aca="false">IF(R$2=Annahmen!$B$111,Annahmen!$B$110,0)</f>
        <v>0</v>
      </c>
      <c r="S73" s="26" t="n">
        <f aca="false">IF(S$2=Annahmen!$B$111,Annahmen!$B$110,0)</f>
        <v>0</v>
      </c>
      <c r="T73" s="26" t="n">
        <f aca="false">IF(T$2=Annahmen!$B$111,Annahmen!$B$110,0)</f>
        <v>0</v>
      </c>
      <c r="U73" s="26" t="n">
        <f aca="false">IF(U$2=Annahmen!$B$111,Annahmen!$B$110,0)</f>
        <v>0</v>
      </c>
      <c r="V73" s="26" t="n">
        <f aca="false">IF(V$2=Annahmen!$B$111,Annahmen!$B$110,0)</f>
        <v>0</v>
      </c>
      <c r="W73" s="26" t="n">
        <f aca="false">IF(W$2=Annahmen!$B$111,Annahmen!$B$110,0)</f>
        <v>0</v>
      </c>
      <c r="X73" s="26" t="n">
        <f aca="false">IF(X$2=Annahmen!$B$111,Annahmen!$B$110,0)</f>
        <v>0</v>
      </c>
      <c r="Y73" s="26" t="n">
        <f aca="false">IF(Y$2=Annahmen!$B$111,Annahmen!$B$110,0)</f>
        <v>0</v>
      </c>
      <c r="Z73" s="26" t="n">
        <f aca="false">IF(Z$2=Annahmen!$B$111,Annahmen!$B$110,0)</f>
        <v>0</v>
      </c>
      <c r="AA73" s="26" t="n">
        <f aca="false">IF(AA$2=Annahmen!$B$111,Annahmen!$B$110,0)</f>
        <v>0</v>
      </c>
      <c r="AB73" s="26" t="n">
        <f aca="false">IF(AB$2=Annahmen!$B$111,Annahmen!$B$110,0)</f>
        <v>0</v>
      </c>
      <c r="AC73" s="26" t="n">
        <f aca="false">IF(AC$2=Annahmen!$B$111,Annahmen!$B$110,0)</f>
        <v>0</v>
      </c>
      <c r="AD73" s="26" t="n">
        <f aca="false">IF(AD$2=Annahmen!$B$111,Annahmen!$B$110,0)</f>
        <v>0</v>
      </c>
      <c r="AE73" s="26" t="n">
        <f aca="false">IF(AE$2=Annahmen!$B$111,Annahmen!$B$110,0)</f>
        <v>0</v>
      </c>
      <c r="AF73" s="26" t="n">
        <f aca="false">IF(AF$2=Annahmen!$B$111,Annahmen!$B$110,0)</f>
        <v>0</v>
      </c>
      <c r="AG73" s="26" t="n">
        <f aca="false">IF(AG$2=Annahmen!$B$111,Annahmen!$B$110,0)</f>
        <v>0</v>
      </c>
      <c r="AH73" s="26" t="n">
        <f aca="false">IF(AH$2=Annahmen!$B$111,Annahmen!$B$110,0)</f>
        <v>0</v>
      </c>
      <c r="AI73" s="26" t="n">
        <f aca="false">IF(AI$2=Annahmen!$B$111,Annahmen!$B$110,0)</f>
        <v>0</v>
      </c>
      <c r="AJ73" s="26" t="n">
        <f aca="false">IF(AJ$2=Annahmen!$B$111,Annahmen!$B$110,0)</f>
        <v>0</v>
      </c>
      <c r="AK73" s="26" t="n">
        <f aca="false">IF(AK$2=Annahmen!$B$111,Annahmen!$B$110,0)</f>
        <v>0</v>
      </c>
      <c r="AL73" s="26" t="n">
        <f aca="false">IF(AL$2=Annahmen!$B$111,Annahmen!$B$110,0)</f>
        <v>0</v>
      </c>
    </row>
    <row r="74" customFormat="false" ht="15" hidden="false" customHeight="false" outlineLevel="0" collapsed="false">
      <c r="A74" s="5" t="s">
        <v>271</v>
      </c>
      <c r="C74" s="26" t="n">
        <f aca="false">IF(C$2=Annahmen!$B$116,Annahmen!$B$115,0)</f>
        <v>0</v>
      </c>
      <c r="D74" s="26" t="n">
        <f aca="false">IF(D$2=Annahmen!$B$116,Annahmen!$B$115,0)</f>
        <v>0</v>
      </c>
      <c r="E74" s="26" t="n">
        <f aca="false">IF(E$2=Annahmen!$B$116,Annahmen!$B$115,0)</f>
        <v>0</v>
      </c>
      <c r="F74" s="26" t="n">
        <f aca="false">IF(F$2=Annahmen!$B$116,Annahmen!$B$115,0)</f>
        <v>0</v>
      </c>
      <c r="G74" s="26" t="n">
        <f aca="false">IF(G$2=Annahmen!$B$116,Annahmen!$B$115,0)</f>
        <v>0</v>
      </c>
      <c r="H74" s="26" t="n">
        <f aca="false">IF(H$2=Annahmen!$B$116,Annahmen!$B$115,0)</f>
        <v>0</v>
      </c>
      <c r="I74" s="26" t="n">
        <f aca="false">IF(I$2=Annahmen!$B$116,Annahmen!$B$115,0)</f>
        <v>0</v>
      </c>
      <c r="J74" s="26" t="n">
        <f aca="false">IF(J$2=Annahmen!$B$116,Annahmen!$B$115,0)</f>
        <v>0</v>
      </c>
      <c r="K74" s="26" t="n">
        <f aca="false">IF(K$2=Annahmen!$B$116,Annahmen!$B$115,0)</f>
        <v>0</v>
      </c>
      <c r="L74" s="26" t="n">
        <f aca="false">IF(L$2=Annahmen!$B$116,Annahmen!$B$115,0)</f>
        <v>200000</v>
      </c>
      <c r="M74" s="26" t="n">
        <f aca="false">IF(M$2=Annahmen!$B$116,Annahmen!$B$115,0)</f>
        <v>0</v>
      </c>
      <c r="N74" s="26" t="n">
        <f aca="false">IF(N$2=Annahmen!$B$116,Annahmen!$B$115,0)</f>
        <v>0</v>
      </c>
      <c r="O74" s="26" t="n">
        <f aca="false">IF(O$2=Annahmen!$B$116,Annahmen!$B$115,0)</f>
        <v>0</v>
      </c>
      <c r="P74" s="26" t="n">
        <f aca="false">IF(P$2=Annahmen!$B$116,Annahmen!$B$115,0)</f>
        <v>0</v>
      </c>
      <c r="Q74" s="26" t="n">
        <f aca="false">IF(Q$2=Annahmen!$B$116,Annahmen!$B$115,0)</f>
        <v>0</v>
      </c>
      <c r="R74" s="26" t="n">
        <f aca="false">IF(R$2=Annahmen!$B$116,Annahmen!$B$115,0)</f>
        <v>0</v>
      </c>
      <c r="S74" s="26" t="n">
        <f aca="false">IF(S$2=Annahmen!$B$116,Annahmen!$B$115,0)</f>
        <v>0</v>
      </c>
      <c r="T74" s="26" t="n">
        <f aca="false">IF(T$2=Annahmen!$B$116,Annahmen!$B$115,0)</f>
        <v>0</v>
      </c>
      <c r="U74" s="26" t="n">
        <f aca="false">IF(U$2=Annahmen!$B$116,Annahmen!$B$115,0)</f>
        <v>0</v>
      </c>
      <c r="V74" s="26" t="n">
        <f aca="false">IF(V$2=Annahmen!$B$116,Annahmen!$B$115,0)</f>
        <v>0</v>
      </c>
      <c r="W74" s="26" t="n">
        <f aca="false">IF(W$2=Annahmen!$B$116,Annahmen!$B$115,0)</f>
        <v>0</v>
      </c>
      <c r="X74" s="26" t="n">
        <f aca="false">IF(X$2=Annahmen!$B$116,Annahmen!$B$115,0)</f>
        <v>0</v>
      </c>
      <c r="Y74" s="26" t="n">
        <f aca="false">IF(Y$2=Annahmen!$B$116,Annahmen!$B$115,0)</f>
        <v>0</v>
      </c>
      <c r="Z74" s="26" t="n">
        <f aca="false">IF(Z$2=Annahmen!$B$116,Annahmen!$B$115,0)</f>
        <v>0</v>
      </c>
      <c r="AA74" s="26" t="n">
        <f aca="false">IF(AA$2=Annahmen!$B$116,Annahmen!$B$115,0)</f>
        <v>0</v>
      </c>
      <c r="AB74" s="26" t="n">
        <f aca="false">IF(AB$2=Annahmen!$B$116,Annahmen!$B$115,0)</f>
        <v>0</v>
      </c>
      <c r="AC74" s="26" t="n">
        <f aca="false">IF(AC$2=Annahmen!$B$116,Annahmen!$B$115,0)</f>
        <v>0</v>
      </c>
      <c r="AD74" s="26" t="n">
        <f aca="false">IF(AD$2=Annahmen!$B$116,Annahmen!$B$115,0)</f>
        <v>0</v>
      </c>
      <c r="AE74" s="26" t="n">
        <f aca="false">IF(AE$2=Annahmen!$B$116,Annahmen!$B$115,0)</f>
        <v>0</v>
      </c>
      <c r="AF74" s="26" t="n">
        <f aca="false">IF(AF$2=Annahmen!$B$116,Annahmen!$B$115,0)</f>
        <v>0</v>
      </c>
      <c r="AG74" s="26" t="n">
        <f aca="false">IF(AG$2=Annahmen!$B$116,Annahmen!$B$115,0)</f>
        <v>0</v>
      </c>
      <c r="AH74" s="26" t="n">
        <f aca="false">IF(AH$2=Annahmen!$B$116,Annahmen!$B$115,0)</f>
        <v>0</v>
      </c>
      <c r="AI74" s="26" t="n">
        <f aca="false">IF(AI$2=Annahmen!$B$116,Annahmen!$B$115,0)</f>
        <v>0</v>
      </c>
      <c r="AJ74" s="26" t="n">
        <f aca="false">IF(AJ$2=Annahmen!$B$116,Annahmen!$B$115,0)</f>
        <v>0</v>
      </c>
      <c r="AK74" s="26" t="n">
        <f aca="false">IF(AK$2=Annahmen!$B$116,Annahmen!$B$115,0)</f>
        <v>0</v>
      </c>
      <c r="AL74" s="26" t="n">
        <f aca="false">IF(AL$2=Annahmen!$B$116,Annahmen!$B$115,0)</f>
        <v>0</v>
      </c>
    </row>
    <row r="75" customFormat="false" ht="15" hidden="false" customHeight="false" outlineLevel="0" collapsed="false">
      <c r="A75" s="5" t="s">
        <v>272</v>
      </c>
      <c r="C75" s="26" t="n">
        <f aca="false">IF(C$2&lt;=6,Annahmen!$B$117,IF(C$2&lt;=15,Annahmen!$B$118,0))</f>
        <v>0</v>
      </c>
      <c r="D75" s="26" t="n">
        <f aca="false">IF(D$2&lt;=6,Annahmen!$B$117,IF(D$2&lt;=15,Annahmen!$B$118,0))</f>
        <v>0</v>
      </c>
      <c r="E75" s="26" t="n">
        <f aca="false">IF(E$2&lt;=6,Annahmen!$B$117,IF(E$2&lt;=15,Annahmen!$B$118,0))</f>
        <v>0</v>
      </c>
      <c r="F75" s="26" t="n">
        <f aca="false">IF(F$2&lt;=6,Annahmen!$B$117,IF(F$2&lt;=15,Annahmen!$B$118,0))</f>
        <v>0</v>
      </c>
      <c r="G75" s="26" t="n">
        <f aca="false">IF(G$2&lt;=6,Annahmen!$B$117,IF(G$2&lt;=15,Annahmen!$B$118,0))</f>
        <v>0</v>
      </c>
      <c r="H75" s="26" t="n">
        <f aca="false">IF(H$2&lt;=6,Annahmen!$B$117,IF(H$2&lt;=15,Annahmen!$B$118,0))</f>
        <v>0</v>
      </c>
      <c r="I75" s="26" t="n">
        <f aca="false">IF(I$2&lt;=6,Annahmen!$B$117,IF(I$2&lt;=15,Annahmen!$B$118,0))</f>
        <v>0</v>
      </c>
      <c r="J75" s="26" t="n">
        <f aca="false">IF(J$2&lt;=6,Annahmen!$B$117,IF(J$2&lt;=15,Annahmen!$B$118,0))</f>
        <v>0</v>
      </c>
      <c r="K75" s="26" t="n">
        <f aca="false">IF(K$2&lt;=6,Annahmen!$B$117,IF(K$2&lt;=15,Annahmen!$B$118,0))</f>
        <v>0</v>
      </c>
      <c r="L75" s="26" t="n">
        <f aca="false">IF(L$2&lt;=6,Annahmen!$B$117,IF(L$2&lt;=15,Annahmen!$B$118,0))</f>
        <v>0</v>
      </c>
      <c r="M75" s="26" t="n">
        <f aca="false">IF(M$2&lt;=6,Annahmen!$B$117,IF(M$2&lt;=15,Annahmen!$B$118,0))</f>
        <v>0</v>
      </c>
      <c r="N75" s="26" t="n">
        <f aca="false">IF(N$2&lt;=6,Annahmen!$B$117,IF(N$2&lt;=15,Annahmen!$B$118,0))</f>
        <v>0</v>
      </c>
      <c r="O75" s="26" t="n">
        <f aca="false">IF(O$2&lt;=6,Annahmen!$B$117,IF(O$2&lt;=15,Annahmen!$B$118,0))</f>
        <v>0</v>
      </c>
      <c r="P75" s="26" t="n">
        <f aca="false">IF(P$2&lt;=6,Annahmen!$B$117,IF(P$2&lt;=15,Annahmen!$B$118,0))</f>
        <v>0</v>
      </c>
      <c r="Q75" s="26" t="n">
        <f aca="false">IF(Q$2&lt;=6,Annahmen!$B$117,IF(Q$2&lt;=15,Annahmen!$B$118,0))</f>
        <v>0</v>
      </c>
      <c r="R75" s="26" t="n">
        <f aca="false">IF(R$2&lt;=6,Annahmen!$B$117,IF(R$2&lt;=15,Annahmen!$B$118,0))</f>
        <v>0</v>
      </c>
      <c r="S75" s="26" t="n">
        <f aca="false">IF(S$2&lt;=6,Annahmen!$B$117,IF(S$2&lt;=15,Annahmen!$B$118,0))</f>
        <v>0</v>
      </c>
      <c r="T75" s="26" t="n">
        <f aca="false">IF(T$2&lt;=6,Annahmen!$B$117,IF(T$2&lt;=15,Annahmen!$B$118,0))</f>
        <v>0</v>
      </c>
      <c r="U75" s="26" t="n">
        <f aca="false">IF(U$2&lt;=6,Annahmen!$B$117,IF(U$2&lt;=15,Annahmen!$B$118,0))</f>
        <v>0</v>
      </c>
      <c r="V75" s="26" t="n">
        <f aca="false">IF(V$2&lt;=6,Annahmen!$B$117,IF(V$2&lt;=15,Annahmen!$B$118,0))</f>
        <v>0</v>
      </c>
      <c r="W75" s="26" t="n">
        <f aca="false">IF(W$2&lt;=6,Annahmen!$B$117,IF(W$2&lt;=15,Annahmen!$B$118,0))</f>
        <v>0</v>
      </c>
      <c r="X75" s="26" t="n">
        <f aca="false">IF(X$2&lt;=6,Annahmen!$B$117,IF(X$2&lt;=15,Annahmen!$B$118,0))</f>
        <v>0</v>
      </c>
      <c r="Y75" s="26" t="n">
        <f aca="false">IF(Y$2&lt;=6,Annahmen!$B$117,IF(Y$2&lt;=15,Annahmen!$B$118,0))</f>
        <v>0</v>
      </c>
      <c r="Z75" s="26" t="n">
        <f aca="false">IF(Z$2&lt;=6,Annahmen!$B$117,IF(Z$2&lt;=15,Annahmen!$B$118,0))</f>
        <v>0</v>
      </c>
      <c r="AA75" s="26" t="n">
        <f aca="false">IF(AA$2&lt;=6,Annahmen!$B$117,IF(AA$2&lt;=15,Annahmen!$B$118,0))</f>
        <v>0</v>
      </c>
      <c r="AB75" s="26" t="n">
        <f aca="false">IF(AB$2&lt;=6,Annahmen!$B$117,IF(AB$2&lt;=15,Annahmen!$B$118,0))</f>
        <v>0</v>
      </c>
      <c r="AC75" s="26" t="n">
        <f aca="false">IF(AC$2&lt;=6,Annahmen!$B$117,IF(AC$2&lt;=15,Annahmen!$B$118,0))</f>
        <v>0</v>
      </c>
      <c r="AD75" s="26" t="n">
        <f aca="false">IF(AD$2&lt;=6,Annahmen!$B$117,IF(AD$2&lt;=15,Annahmen!$B$118,0))</f>
        <v>0</v>
      </c>
      <c r="AE75" s="26" t="n">
        <f aca="false">IF(AE$2&lt;=6,Annahmen!$B$117,IF(AE$2&lt;=15,Annahmen!$B$118,0))</f>
        <v>0</v>
      </c>
      <c r="AF75" s="26" t="n">
        <f aca="false">IF(AF$2&lt;=6,Annahmen!$B$117,IF(AF$2&lt;=15,Annahmen!$B$118,0))</f>
        <v>0</v>
      </c>
      <c r="AG75" s="26" t="n">
        <f aca="false">IF(AG$2&lt;=6,Annahmen!$B$117,IF(AG$2&lt;=15,Annahmen!$B$118,0))</f>
        <v>0</v>
      </c>
      <c r="AH75" s="26" t="n">
        <f aca="false">IF(AH$2&lt;=6,Annahmen!$B$117,IF(AH$2&lt;=15,Annahmen!$B$118,0))</f>
        <v>0</v>
      </c>
      <c r="AI75" s="26" t="n">
        <f aca="false">IF(AI$2&lt;=6,Annahmen!$B$117,IF(AI$2&lt;=15,Annahmen!$B$118,0))</f>
        <v>0</v>
      </c>
      <c r="AJ75" s="26" t="n">
        <f aca="false">IF(AJ$2&lt;=6,Annahmen!$B$117,IF(AJ$2&lt;=15,Annahmen!$B$118,0))</f>
        <v>0</v>
      </c>
      <c r="AK75" s="26" t="n">
        <f aca="false">IF(AK$2&lt;=6,Annahmen!$B$117,IF(AK$2&lt;=15,Annahmen!$B$118,0))</f>
        <v>0</v>
      </c>
      <c r="AL75" s="26" t="n">
        <f aca="false">IF(AL$2&lt;=6,Annahmen!$B$117,IF(AL$2&lt;=15,Annahmen!$B$118,0))</f>
        <v>0</v>
      </c>
    </row>
    <row r="76" customFormat="false" ht="15" hidden="false" customHeight="false" outlineLevel="0" collapsed="false">
      <c r="A76" s="5" t="s">
        <v>273</v>
      </c>
      <c r="C76" s="26" t="n">
        <f aca="false">(B78+C73)*Annahmen!$B$112/12</f>
        <v>416.666666666667</v>
      </c>
      <c r="D76" s="26" t="n">
        <f aca="false">(C78+D73)*Annahmen!$B$112/12</f>
        <v>416.666666666667</v>
      </c>
      <c r="E76" s="26" t="n">
        <f aca="false">(D78+E73)*Annahmen!$B$112/12</f>
        <v>416.666666666667</v>
      </c>
      <c r="F76" s="26" t="n">
        <f aca="false">(E78+F73)*Annahmen!$B$112/12</f>
        <v>416.666666666667</v>
      </c>
      <c r="G76" s="26" t="n">
        <f aca="false">(F78+G73)*Annahmen!$B$112/12</f>
        <v>416.666666666667</v>
      </c>
      <c r="H76" s="26" t="n">
        <f aca="false">(G78+H73)*Annahmen!$B$112/12</f>
        <v>416.666666666667</v>
      </c>
      <c r="I76" s="26" t="n">
        <f aca="false">(H78+I73)*Annahmen!$B$112/12</f>
        <v>416.666666666667</v>
      </c>
      <c r="J76" s="26" t="n">
        <f aca="false">(I78+J73)*Annahmen!$B$112/12</f>
        <v>416.666666666667</v>
      </c>
      <c r="K76" s="26" t="n">
        <f aca="false">(J78+K73)*Annahmen!$B$112/12</f>
        <v>416.666666666667</v>
      </c>
      <c r="L76" s="26" t="n">
        <f aca="false">(K78+L73)*Annahmen!$B$112/12</f>
        <v>416.666666666667</v>
      </c>
      <c r="M76" s="26" t="n">
        <f aca="false">(L78+M73)*Annahmen!$B$112/12</f>
        <v>416.666666666667</v>
      </c>
      <c r="N76" s="26" t="n">
        <f aca="false">(M78+N73)*Annahmen!$B$112/12</f>
        <v>416.666666666667</v>
      </c>
      <c r="O76" s="26" t="n">
        <f aca="false">(N78+O73)*Annahmen!$B$112/12</f>
        <v>416.666666666667</v>
      </c>
      <c r="P76" s="26" t="n">
        <f aca="false">(O78+P73)*Annahmen!$B$112/12</f>
        <v>416.666666666667</v>
      </c>
      <c r="Q76" s="26" t="n">
        <f aca="false">(P78+Q73)*Annahmen!$B$112/12</f>
        <v>416.666666666667</v>
      </c>
      <c r="R76" s="26" t="n">
        <f aca="false">(Q78+R73)*Annahmen!$B$112/12</f>
        <v>416.666666666667</v>
      </c>
      <c r="S76" s="26" t="n">
        <f aca="false">(R78+S73)*Annahmen!$B$112/12</f>
        <v>416.666666666667</v>
      </c>
      <c r="T76" s="26" t="n">
        <f aca="false">(S78+T73)*Annahmen!$B$112/12</f>
        <v>416.666666666667</v>
      </c>
      <c r="U76" s="26" t="n">
        <f aca="false">(T78+U73)*Annahmen!$B$112/12</f>
        <v>416.666666666667</v>
      </c>
      <c r="V76" s="26" t="n">
        <f aca="false">(U78+V73)*Annahmen!$B$112/12</f>
        <v>416.666666666667</v>
      </c>
      <c r="W76" s="26" t="n">
        <f aca="false">(V78+W73)*Annahmen!$B$112/12</f>
        <v>416.666666666667</v>
      </c>
      <c r="X76" s="26" t="n">
        <f aca="false">(W78+X73)*Annahmen!$B$112/12</f>
        <v>416.666666666667</v>
      </c>
      <c r="Y76" s="26" t="n">
        <f aca="false">(X78+Y73)*Annahmen!$B$112/12</f>
        <v>416.666666666667</v>
      </c>
      <c r="Z76" s="26" t="n">
        <f aca="false">(Y78+Z73)*Annahmen!$B$112/12</f>
        <v>416.666666666667</v>
      </c>
      <c r="AA76" s="26" t="n">
        <f aca="false">(Z78+AA73)*Annahmen!$B$112/12</f>
        <v>416.666666666667</v>
      </c>
      <c r="AB76" s="26" t="n">
        <f aca="false">(AA78+AB73)*Annahmen!$B$112/12</f>
        <v>412.326388888889</v>
      </c>
      <c r="AC76" s="26" t="n">
        <f aca="false">(AB78+AC73)*Annahmen!$B$112/12</f>
        <v>407.986111111111</v>
      </c>
      <c r="AD76" s="26" t="n">
        <f aca="false">(AC78+AD73)*Annahmen!$B$112/12</f>
        <v>403.645833333333</v>
      </c>
      <c r="AE76" s="26" t="n">
        <f aca="false">(AD78+AE73)*Annahmen!$B$112/12</f>
        <v>399.305555555556</v>
      </c>
      <c r="AF76" s="26" t="n">
        <f aca="false">(AE78+AF73)*Annahmen!$B$112/12</f>
        <v>394.965277777778</v>
      </c>
      <c r="AG76" s="26" t="n">
        <f aca="false">(AF78+AG73)*Annahmen!$B$112/12</f>
        <v>390.625</v>
      </c>
      <c r="AH76" s="26" t="n">
        <f aca="false">(AG78+AH73)*Annahmen!$B$112/12</f>
        <v>386.284722222222</v>
      </c>
      <c r="AI76" s="26" t="n">
        <f aca="false">(AH78+AI73)*Annahmen!$B$112/12</f>
        <v>381.944444444445</v>
      </c>
      <c r="AJ76" s="26" t="n">
        <f aca="false">(AI78+AJ73)*Annahmen!$B$112/12</f>
        <v>377.604166666667</v>
      </c>
      <c r="AK76" s="26" t="n">
        <f aca="false">(AJ78+AK73)*Annahmen!$B$112/12</f>
        <v>373.263888888889</v>
      </c>
      <c r="AL76" s="26" t="n">
        <f aca="false">(AK78+AL73)*Annahmen!$B$112/12</f>
        <v>368.923611111111</v>
      </c>
    </row>
    <row r="77" customFormat="false" ht="15" hidden="false" customHeight="false" outlineLevel="0" collapsed="false">
      <c r="A77" s="5" t="s">
        <v>274</v>
      </c>
      <c r="C77" s="26" t="n">
        <f aca="false">IF(C$2&gt;Annahmen!$B$111-1+Annahmen!$B$113,MIN(B78,Annahmen!$B$110/(Annahmen!$B$114-Annahmen!$B$113)),0)</f>
        <v>0</v>
      </c>
      <c r="D77" s="26" t="n">
        <f aca="false">IF(D$2&gt;Annahmen!$B$111-1+Annahmen!$B$113,MIN(C78,Annahmen!$B$110/(Annahmen!$B$114-Annahmen!$B$113)),0)</f>
        <v>0</v>
      </c>
      <c r="E77" s="26" t="n">
        <f aca="false">IF(E$2&gt;Annahmen!$B$111-1+Annahmen!$B$113,MIN(D78,Annahmen!$B$110/(Annahmen!$B$114-Annahmen!$B$113)),0)</f>
        <v>0</v>
      </c>
      <c r="F77" s="26" t="n">
        <f aca="false">IF(F$2&gt;Annahmen!$B$111-1+Annahmen!$B$113,MIN(E78,Annahmen!$B$110/(Annahmen!$B$114-Annahmen!$B$113)),0)</f>
        <v>0</v>
      </c>
      <c r="G77" s="26" t="n">
        <f aca="false">IF(G$2&gt;Annahmen!$B$111-1+Annahmen!$B$113,MIN(F78,Annahmen!$B$110/(Annahmen!$B$114-Annahmen!$B$113)),0)</f>
        <v>0</v>
      </c>
      <c r="H77" s="26" t="n">
        <f aca="false">IF(H$2&gt;Annahmen!$B$111-1+Annahmen!$B$113,MIN(G78,Annahmen!$B$110/(Annahmen!$B$114-Annahmen!$B$113)),0)</f>
        <v>0</v>
      </c>
      <c r="I77" s="26" t="n">
        <f aca="false">IF(I$2&gt;Annahmen!$B$111-1+Annahmen!$B$113,MIN(H78,Annahmen!$B$110/(Annahmen!$B$114-Annahmen!$B$113)),0)</f>
        <v>0</v>
      </c>
      <c r="J77" s="26" t="n">
        <f aca="false">IF(J$2&gt;Annahmen!$B$111-1+Annahmen!$B$113,MIN(I78,Annahmen!$B$110/(Annahmen!$B$114-Annahmen!$B$113)),0)</f>
        <v>0</v>
      </c>
      <c r="K77" s="26" t="n">
        <f aca="false">IF(K$2&gt;Annahmen!$B$111-1+Annahmen!$B$113,MIN(J78,Annahmen!$B$110/(Annahmen!$B$114-Annahmen!$B$113)),0)</f>
        <v>0</v>
      </c>
      <c r="L77" s="26" t="n">
        <f aca="false">IF(L$2&gt;Annahmen!$B$111-1+Annahmen!$B$113,MIN(K78,Annahmen!$B$110/(Annahmen!$B$114-Annahmen!$B$113)),0)</f>
        <v>0</v>
      </c>
      <c r="M77" s="26" t="n">
        <f aca="false">IF(M$2&gt;Annahmen!$B$111-1+Annahmen!$B$113,MIN(L78,Annahmen!$B$110/(Annahmen!$B$114-Annahmen!$B$113)),0)</f>
        <v>0</v>
      </c>
      <c r="N77" s="26" t="n">
        <f aca="false">IF(N$2&gt;Annahmen!$B$111-1+Annahmen!$B$113,MIN(M78,Annahmen!$B$110/(Annahmen!$B$114-Annahmen!$B$113)),0)</f>
        <v>0</v>
      </c>
      <c r="O77" s="26" t="n">
        <f aca="false">IF(O$2&gt;Annahmen!$B$111-1+Annahmen!$B$113,MIN(N78,Annahmen!$B$110/(Annahmen!$B$114-Annahmen!$B$113)),0)</f>
        <v>0</v>
      </c>
      <c r="P77" s="26" t="n">
        <f aca="false">IF(P$2&gt;Annahmen!$B$111-1+Annahmen!$B$113,MIN(O78,Annahmen!$B$110/(Annahmen!$B$114-Annahmen!$B$113)),0)</f>
        <v>0</v>
      </c>
      <c r="Q77" s="26" t="n">
        <f aca="false">IF(Q$2&gt;Annahmen!$B$111-1+Annahmen!$B$113,MIN(P78,Annahmen!$B$110/(Annahmen!$B$114-Annahmen!$B$113)),0)</f>
        <v>0</v>
      </c>
      <c r="R77" s="26" t="n">
        <f aca="false">IF(R$2&gt;Annahmen!$B$111-1+Annahmen!$B$113,MIN(Q78,Annahmen!$B$110/(Annahmen!$B$114-Annahmen!$B$113)),0)</f>
        <v>0</v>
      </c>
      <c r="S77" s="26" t="n">
        <f aca="false">IF(S$2&gt;Annahmen!$B$111-1+Annahmen!$B$113,MIN(R78,Annahmen!$B$110/(Annahmen!$B$114-Annahmen!$B$113)),0)</f>
        <v>0</v>
      </c>
      <c r="T77" s="26" t="n">
        <f aca="false">IF(T$2&gt;Annahmen!$B$111-1+Annahmen!$B$113,MIN(S78,Annahmen!$B$110/(Annahmen!$B$114-Annahmen!$B$113)),0)</f>
        <v>0</v>
      </c>
      <c r="U77" s="26" t="n">
        <f aca="false">IF(U$2&gt;Annahmen!$B$111-1+Annahmen!$B$113,MIN(T78,Annahmen!$B$110/(Annahmen!$B$114-Annahmen!$B$113)),0)</f>
        <v>0</v>
      </c>
      <c r="V77" s="26" t="n">
        <f aca="false">IF(V$2&gt;Annahmen!$B$111-1+Annahmen!$B$113,MIN(U78,Annahmen!$B$110/(Annahmen!$B$114-Annahmen!$B$113)),0)</f>
        <v>0</v>
      </c>
      <c r="W77" s="26" t="n">
        <f aca="false">IF(W$2&gt;Annahmen!$B$111-1+Annahmen!$B$113,MIN(V78,Annahmen!$B$110/(Annahmen!$B$114-Annahmen!$B$113)),0)</f>
        <v>0</v>
      </c>
      <c r="X77" s="26" t="n">
        <f aca="false">IF(X$2&gt;Annahmen!$B$111-1+Annahmen!$B$113,MIN(W78,Annahmen!$B$110/(Annahmen!$B$114-Annahmen!$B$113)),0)</f>
        <v>0</v>
      </c>
      <c r="Y77" s="26" t="n">
        <f aca="false">IF(Y$2&gt;Annahmen!$B$111-1+Annahmen!$B$113,MIN(X78,Annahmen!$B$110/(Annahmen!$B$114-Annahmen!$B$113)),0)</f>
        <v>0</v>
      </c>
      <c r="Z77" s="26" t="n">
        <f aca="false">IF(Z$2&gt;Annahmen!$B$111-1+Annahmen!$B$113,MIN(Y78,Annahmen!$B$110/(Annahmen!$B$114-Annahmen!$B$113)),0)</f>
        <v>0</v>
      </c>
      <c r="AA77" s="26" t="n">
        <f aca="false">IF(AA$2&gt;Annahmen!$B$111-1+Annahmen!$B$113,MIN(Z78,Annahmen!$B$110/(Annahmen!$B$114-Annahmen!$B$113)),0)</f>
        <v>1302.08333333333</v>
      </c>
      <c r="AB77" s="26" t="n">
        <f aca="false">IF(AB$2&gt;Annahmen!$B$111-1+Annahmen!$B$113,MIN(AA78,Annahmen!$B$110/(Annahmen!$B$114-Annahmen!$B$113)),0)</f>
        <v>1302.08333333333</v>
      </c>
      <c r="AC77" s="26" t="n">
        <f aca="false">IF(AC$2&gt;Annahmen!$B$111-1+Annahmen!$B$113,MIN(AB78,Annahmen!$B$110/(Annahmen!$B$114-Annahmen!$B$113)),0)</f>
        <v>1302.08333333333</v>
      </c>
      <c r="AD77" s="26" t="n">
        <f aca="false">IF(AD$2&gt;Annahmen!$B$111-1+Annahmen!$B$113,MIN(AC78,Annahmen!$B$110/(Annahmen!$B$114-Annahmen!$B$113)),0)</f>
        <v>1302.08333333333</v>
      </c>
      <c r="AE77" s="26" t="n">
        <f aca="false">IF(AE$2&gt;Annahmen!$B$111-1+Annahmen!$B$113,MIN(AD78,Annahmen!$B$110/(Annahmen!$B$114-Annahmen!$B$113)),0)</f>
        <v>1302.08333333333</v>
      </c>
      <c r="AF77" s="26" t="n">
        <f aca="false">IF(AF$2&gt;Annahmen!$B$111-1+Annahmen!$B$113,MIN(AE78,Annahmen!$B$110/(Annahmen!$B$114-Annahmen!$B$113)),0)</f>
        <v>1302.08333333333</v>
      </c>
      <c r="AG77" s="26" t="n">
        <f aca="false">IF(AG$2&gt;Annahmen!$B$111-1+Annahmen!$B$113,MIN(AF78,Annahmen!$B$110/(Annahmen!$B$114-Annahmen!$B$113)),0)</f>
        <v>1302.08333333333</v>
      </c>
      <c r="AH77" s="26" t="n">
        <f aca="false">IF(AH$2&gt;Annahmen!$B$111-1+Annahmen!$B$113,MIN(AG78,Annahmen!$B$110/(Annahmen!$B$114-Annahmen!$B$113)),0)</f>
        <v>1302.08333333333</v>
      </c>
      <c r="AI77" s="26" t="n">
        <f aca="false">IF(AI$2&gt;Annahmen!$B$111-1+Annahmen!$B$113,MIN(AH78,Annahmen!$B$110/(Annahmen!$B$114-Annahmen!$B$113)),0)</f>
        <v>1302.08333333333</v>
      </c>
      <c r="AJ77" s="26" t="n">
        <f aca="false">IF(AJ$2&gt;Annahmen!$B$111-1+Annahmen!$B$113,MIN(AI78,Annahmen!$B$110/(Annahmen!$B$114-Annahmen!$B$113)),0)</f>
        <v>1302.08333333333</v>
      </c>
      <c r="AK77" s="26" t="n">
        <f aca="false">IF(AK$2&gt;Annahmen!$B$111-1+Annahmen!$B$113,MIN(AJ78,Annahmen!$B$110/(Annahmen!$B$114-Annahmen!$B$113)),0)</f>
        <v>1302.08333333333</v>
      </c>
      <c r="AL77" s="26" t="n">
        <f aca="false">IF(AL$2&gt;Annahmen!$B$111-1+Annahmen!$B$113,MIN(AK78,Annahmen!$B$110/(Annahmen!$B$114-Annahmen!$B$113)),0)</f>
        <v>1302.08333333333</v>
      </c>
    </row>
    <row r="78" customFormat="false" ht="15" hidden="false" customHeight="false" outlineLevel="0" collapsed="false">
      <c r="A78" s="5" t="s">
        <v>275</v>
      </c>
      <c r="B78" s="26" t="n">
        <v>0</v>
      </c>
      <c r="C78" s="26" t="n">
        <f aca="false">B78+C73-C77</f>
        <v>125000</v>
      </c>
      <c r="D78" s="26" t="n">
        <f aca="false">C78+D73-D77</f>
        <v>125000</v>
      </c>
      <c r="E78" s="26" t="n">
        <f aca="false">D78+E73-E77</f>
        <v>125000</v>
      </c>
      <c r="F78" s="26" t="n">
        <f aca="false">E78+F73-F77</f>
        <v>125000</v>
      </c>
      <c r="G78" s="26" t="n">
        <f aca="false">F78+G73-G77</f>
        <v>125000</v>
      </c>
      <c r="H78" s="26" t="n">
        <f aca="false">G78+H73-H77</f>
        <v>125000</v>
      </c>
      <c r="I78" s="26" t="n">
        <f aca="false">H78+I73-I77</f>
        <v>125000</v>
      </c>
      <c r="J78" s="26" t="n">
        <f aca="false">I78+J73-J77</f>
        <v>125000</v>
      </c>
      <c r="K78" s="26" t="n">
        <f aca="false">J78+K73-K77</f>
        <v>125000</v>
      </c>
      <c r="L78" s="26" t="n">
        <f aca="false">K78+L73-L77</f>
        <v>125000</v>
      </c>
      <c r="M78" s="26" t="n">
        <f aca="false">L78+M73-M77</f>
        <v>125000</v>
      </c>
      <c r="N78" s="26" t="n">
        <f aca="false">M78+N73-N77</f>
        <v>125000</v>
      </c>
      <c r="O78" s="26" t="n">
        <f aca="false">N78+O73-O77</f>
        <v>125000</v>
      </c>
      <c r="P78" s="26" t="n">
        <f aca="false">O78+P73-P77</f>
        <v>125000</v>
      </c>
      <c r="Q78" s="26" t="n">
        <f aca="false">P78+Q73-Q77</f>
        <v>125000</v>
      </c>
      <c r="R78" s="26" t="n">
        <f aca="false">Q78+R73-R77</f>
        <v>125000</v>
      </c>
      <c r="S78" s="26" t="n">
        <f aca="false">R78+S73-S77</f>
        <v>125000</v>
      </c>
      <c r="T78" s="26" t="n">
        <f aca="false">S78+T73-T77</f>
        <v>125000</v>
      </c>
      <c r="U78" s="26" t="n">
        <f aca="false">T78+U73-U77</f>
        <v>125000</v>
      </c>
      <c r="V78" s="26" t="n">
        <f aca="false">U78+V73-V77</f>
        <v>125000</v>
      </c>
      <c r="W78" s="26" t="n">
        <f aca="false">V78+W73-W77</f>
        <v>125000</v>
      </c>
      <c r="X78" s="26" t="n">
        <f aca="false">W78+X73-X77</f>
        <v>125000</v>
      </c>
      <c r="Y78" s="26" t="n">
        <f aca="false">X78+Y73-Y77</f>
        <v>125000</v>
      </c>
      <c r="Z78" s="26" t="n">
        <f aca="false">Y78+Z73-Z77</f>
        <v>125000</v>
      </c>
      <c r="AA78" s="26" t="n">
        <f aca="false">Z78+AA73-AA77</f>
        <v>123697.916666667</v>
      </c>
      <c r="AB78" s="26" t="n">
        <f aca="false">AA78+AB73-AB77</f>
        <v>122395.833333333</v>
      </c>
      <c r="AC78" s="26" t="n">
        <f aca="false">AB78+AC73-AC77</f>
        <v>121093.75</v>
      </c>
      <c r="AD78" s="26" t="n">
        <f aca="false">AC78+AD73-AD77</f>
        <v>119791.666666667</v>
      </c>
      <c r="AE78" s="26" t="n">
        <f aca="false">AD78+AE73-AE77</f>
        <v>118489.583333333</v>
      </c>
      <c r="AF78" s="26" t="n">
        <f aca="false">AE78+AF73-AF77</f>
        <v>117187.5</v>
      </c>
      <c r="AG78" s="26" t="n">
        <f aca="false">AF78+AG73-AG77</f>
        <v>115885.416666667</v>
      </c>
      <c r="AH78" s="26" t="n">
        <f aca="false">AG78+AH73-AH77</f>
        <v>114583.333333333</v>
      </c>
      <c r="AI78" s="26" t="n">
        <f aca="false">AH78+AI73-AI77</f>
        <v>113281.25</v>
      </c>
      <c r="AJ78" s="26" t="n">
        <f aca="false">AI78+AJ73-AJ77</f>
        <v>111979.166666667</v>
      </c>
      <c r="AK78" s="26" t="n">
        <f aca="false">AJ78+AK73-AK77</f>
        <v>110677.083333333</v>
      </c>
      <c r="AL78" s="26" t="n">
        <f aca="false">AK78+AL73-AL77</f>
        <v>109375</v>
      </c>
    </row>
    <row r="79" customFormat="false" ht="15" hidden="false" customHeight="false" outlineLevel="0" collapsed="false">
      <c r="A79" s="3" t="s">
        <v>276</v>
      </c>
      <c r="C79" s="30" t="n">
        <f aca="false">C70-C76</f>
        <v>-16372.9003775307</v>
      </c>
      <c r="D79" s="30" t="n">
        <f aca="false">D70-D76</f>
        <v>-6258.5100336571</v>
      </c>
      <c r="E79" s="30" t="n">
        <f aca="false">E70-E76</f>
        <v>-6750.12819366708</v>
      </c>
      <c r="F79" s="30" t="n">
        <f aca="false">F70-F76</f>
        <v>-14185.1515208268</v>
      </c>
      <c r="G79" s="30" t="n">
        <f aca="false">G70-G76</f>
        <v>-4563.63103038194</v>
      </c>
      <c r="H79" s="30" t="n">
        <f aca="false">H70-H76</f>
        <v>-3953.97442067352</v>
      </c>
      <c r="I79" s="30" t="n">
        <f aca="false">I70-I76</f>
        <v>-9331.45387974768</v>
      </c>
      <c r="J79" s="30" t="n">
        <f aca="false">J70-J76</f>
        <v>-6619.99884997831</v>
      </c>
      <c r="K79" s="30" t="n">
        <f aca="false">K70-K76</f>
        <v>-5725.89828644932</v>
      </c>
      <c r="L79" s="30" t="n">
        <f aca="false">L70-L76</f>
        <v>-15018.3083927529</v>
      </c>
      <c r="M79" s="30" t="n">
        <f aca="false">M70-M76</f>
        <v>-9533.04531667111</v>
      </c>
      <c r="N79" s="30" t="n">
        <f aca="false">N70-N76</f>
        <v>-8370.28734143614</v>
      </c>
      <c r="O79" s="30" t="n">
        <f aca="false">O70-O76</f>
        <v>-22185.7516693348</v>
      </c>
      <c r="P79" s="30" t="n">
        <f aca="false">P70-P76</f>
        <v>-17073.4129537182</v>
      </c>
      <c r="Q79" s="30" t="n">
        <f aca="false">Q70-Q76</f>
        <v>-22589.7337339336</v>
      </c>
      <c r="R79" s="30" t="n">
        <f aca="false">R70-R76</f>
        <v>-13533.5902069103</v>
      </c>
      <c r="S79" s="30" t="n">
        <f aca="false">S70-S76</f>
        <v>-11683.5153096393</v>
      </c>
      <c r="T79" s="30" t="n">
        <f aca="false">T70-T76</f>
        <v>-9868.41808783447</v>
      </c>
      <c r="U79" s="30" t="n">
        <f aca="false">U70-U76</f>
        <v>-7487.042808892</v>
      </c>
      <c r="V79" s="30" t="n">
        <f aca="false">V70-V76</f>
        <v>-5317.7935097863</v>
      </c>
      <c r="W79" s="30" t="n">
        <f aca="false">W70-W76</f>
        <v>-17189.4532907248</v>
      </c>
      <c r="X79" s="30" t="n">
        <f aca="false">X70-X76</f>
        <v>-11821.4033550673</v>
      </c>
      <c r="Y79" s="30" t="n">
        <f aca="false">Y70-Y76</f>
        <v>-4550.40748609232</v>
      </c>
      <c r="Z79" s="30" t="n">
        <f aca="false">Z70-Z76</f>
        <v>-2125.8912713814</v>
      </c>
      <c r="AA79" s="30" t="n">
        <f aca="false">AA70-AA76</f>
        <v>-6749.27533242263</v>
      </c>
      <c r="AB79" s="30" t="n">
        <f aca="false">AB70-AB76</f>
        <v>-4266.60026137347</v>
      </c>
      <c r="AC79" s="30" t="n">
        <f aca="false">AC70-AC76</f>
        <v>-1830.33425704552</v>
      </c>
      <c r="AD79" s="30" t="n">
        <f aca="false">AD70-AD76</f>
        <v>-20719.2238448765</v>
      </c>
      <c r="AE79" s="30" t="n">
        <f aca="false">AE70-AE76</f>
        <v>-1264.79590580331</v>
      </c>
      <c r="AF79" s="30" t="n">
        <f aca="false">AF70-AF76</f>
        <v>1340.15650281722</v>
      </c>
      <c r="AG79" s="30" t="n">
        <f aca="false">AG70-AG76</f>
        <v>-2639.78981725348</v>
      </c>
      <c r="AH79" s="30" t="n">
        <f aca="false">AH70-AH76</f>
        <v>1977.37363349615</v>
      </c>
      <c r="AI79" s="30" t="n">
        <f aca="false">AI70-AI76</f>
        <v>4742.17446363187</v>
      </c>
      <c r="AJ79" s="30" t="n">
        <f aca="false">AJ70-AJ76</f>
        <v>4040.10321111397</v>
      </c>
      <c r="AK79" s="30" t="n">
        <f aca="false">AK70-AK76</f>
        <v>11114.2086386391</v>
      </c>
      <c r="AL79" s="30" t="n">
        <f aca="false">AL70-AL76</f>
        <v>14131.262117009</v>
      </c>
    </row>
    <row r="80" customFormat="false" ht="15" hidden="false" customHeight="false" outlineLevel="0" collapsed="false">
      <c r="A80" s="5" t="s">
        <v>277</v>
      </c>
      <c r="C80" s="26" t="n">
        <f aca="false">IF(AND(MOD(C$2,12)=6,C$2&gt;12),INDEX('5 Jahre'!$B$46:$F$46,1,C$4-1),0)</f>
        <v>0</v>
      </c>
      <c r="D80" s="26" t="n">
        <f aca="false">IF(AND(MOD(D$2,12)=6,D$2&gt;12),INDEX('5 Jahre'!$B$46:$F$46,1,D$4-1),0)</f>
        <v>0</v>
      </c>
      <c r="E80" s="26" t="n">
        <f aca="false">IF(AND(MOD(E$2,12)=6,E$2&gt;12),INDEX('5 Jahre'!$B$46:$F$46,1,E$4-1),0)</f>
        <v>0</v>
      </c>
      <c r="F80" s="26" t="n">
        <f aca="false">IF(AND(MOD(F$2,12)=6,F$2&gt;12),INDEX('5 Jahre'!$B$46:$F$46,1,F$4-1),0)</f>
        <v>0</v>
      </c>
      <c r="G80" s="26" t="n">
        <f aca="false">IF(AND(MOD(G$2,12)=6,G$2&gt;12),INDEX('5 Jahre'!$B$46:$F$46,1,G$4-1),0)</f>
        <v>0</v>
      </c>
      <c r="H80" s="26" t="n">
        <f aca="false">IF(AND(MOD(H$2,12)=6,H$2&gt;12),INDEX('5 Jahre'!$B$46:$F$46,1,H$4-1),0)</f>
        <v>0</v>
      </c>
      <c r="I80" s="26" t="n">
        <f aca="false">IF(AND(MOD(I$2,12)=6,I$2&gt;12),INDEX('5 Jahre'!$B$46:$F$46,1,I$4-1),0)</f>
        <v>0</v>
      </c>
      <c r="J80" s="26" t="n">
        <f aca="false">IF(AND(MOD(J$2,12)=6,J$2&gt;12),INDEX('5 Jahre'!$B$46:$F$46,1,J$4-1),0)</f>
        <v>0</v>
      </c>
      <c r="K80" s="26" t="n">
        <f aca="false">IF(AND(MOD(K$2,12)=6,K$2&gt;12),INDEX('5 Jahre'!$B$46:$F$46,1,K$4-1),0)</f>
        <v>0</v>
      </c>
      <c r="L80" s="26" t="n">
        <f aca="false">IF(AND(MOD(L$2,12)=6,L$2&gt;12),INDEX('5 Jahre'!$B$46:$F$46,1,L$4-1),0)</f>
        <v>0</v>
      </c>
      <c r="M80" s="26" t="n">
        <f aca="false">IF(AND(MOD(M$2,12)=6,M$2&gt;12),INDEX('5 Jahre'!$B$46:$F$46,1,M$4-1),0)</f>
        <v>0</v>
      </c>
      <c r="N80" s="26" t="n">
        <f aca="false">IF(AND(MOD(N$2,12)=6,N$2&gt;12),INDEX('5 Jahre'!$B$46:$F$46,1,N$4-1),0)</f>
        <v>0</v>
      </c>
      <c r="O80" s="26" t="n">
        <f aca="false">IF(AND(MOD(O$2,12)=6,O$2&gt;12),INDEX('5 Jahre'!$B$46:$F$46,1,O$4-1),0)</f>
        <v>0</v>
      </c>
      <c r="P80" s="26" t="n">
        <f aca="false">IF(AND(MOD(P$2,12)=6,P$2&gt;12),INDEX('5 Jahre'!$B$46:$F$46,1,P$4-1),0)</f>
        <v>0</v>
      </c>
      <c r="Q80" s="26" t="n">
        <f aca="false">IF(AND(MOD(Q$2,12)=6,Q$2&gt;12),INDEX('5 Jahre'!$B$46:$F$46,1,Q$4-1),0)</f>
        <v>0</v>
      </c>
      <c r="R80" s="26" t="n">
        <f aca="false">IF(AND(MOD(R$2,12)=6,R$2&gt;12),INDEX('5 Jahre'!$B$46:$F$46,1,R$4-1),0)</f>
        <v>0</v>
      </c>
      <c r="S80" s="26" t="n">
        <f aca="false">IF(AND(MOD(S$2,12)=6,S$2&gt;12),INDEX('5 Jahre'!$B$46:$F$46,1,S$4-1),0)</f>
        <v>0</v>
      </c>
      <c r="T80" s="26" t="n">
        <f aca="false">IF(AND(MOD(T$2,12)=6,T$2&gt;12),INDEX('5 Jahre'!$B$46:$F$46,1,T$4-1),0)</f>
        <v>0</v>
      </c>
      <c r="U80" s="26" t="n">
        <f aca="false">IF(AND(MOD(U$2,12)=6,U$2&gt;12),INDEX('5 Jahre'!$B$46:$F$46,1,U$4-1),0)</f>
        <v>0</v>
      </c>
      <c r="V80" s="26" t="n">
        <f aca="false">IF(AND(MOD(V$2,12)=6,V$2&gt;12),INDEX('5 Jahre'!$B$46:$F$46,1,V$4-1),0)</f>
        <v>0</v>
      </c>
      <c r="W80" s="26" t="n">
        <f aca="false">IF(AND(MOD(W$2,12)=6,W$2&gt;12),INDEX('5 Jahre'!$B$46:$F$46,1,W$4-1),0)</f>
        <v>0</v>
      </c>
      <c r="X80" s="26" t="n">
        <f aca="false">IF(AND(MOD(X$2,12)=6,X$2&gt;12),INDEX('5 Jahre'!$B$46:$F$46,1,X$4-1),0)</f>
        <v>0</v>
      </c>
      <c r="Y80" s="26" t="n">
        <f aca="false">IF(AND(MOD(Y$2,12)=6,Y$2&gt;12),INDEX('5 Jahre'!$B$46:$F$46,1,Y$4-1),0)</f>
        <v>0</v>
      </c>
      <c r="Z80" s="26" t="n">
        <f aca="false">IF(AND(MOD(Z$2,12)=6,Z$2&gt;12),INDEX('5 Jahre'!$B$46:$F$46,1,Z$4-1),0)</f>
        <v>0</v>
      </c>
      <c r="AA80" s="26" t="n">
        <f aca="false">IF(AND(MOD(AA$2,12)=6,AA$2&gt;12),INDEX('5 Jahre'!$B$46:$F$46,1,AA$4-1),0)</f>
        <v>0</v>
      </c>
      <c r="AB80" s="26" t="n">
        <f aca="false">IF(AND(MOD(AB$2,12)=6,AB$2&gt;12),INDEX('5 Jahre'!$B$46:$F$46,1,AB$4-1),0)</f>
        <v>0</v>
      </c>
      <c r="AC80" s="26" t="n">
        <f aca="false">IF(AND(MOD(AC$2,12)=6,AC$2&gt;12),INDEX('5 Jahre'!$B$46:$F$46,1,AC$4-1),0)</f>
        <v>0</v>
      </c>
      <c r="AD80" s="26" t="n">
        <f aca="false">IF(AND(MOD(AD$2,12)=6,AD$2&gt;12),INDEX('5 Jahre'!$B$46:$F$46,1,AD$4-1),0)</f>
        <v>0</v>
      </c>
      <c r="AE80" s="26" t="n">
        <f aca="false">IF(AND(MOD(AE$2,12)=6,AE$2&gt;12),INDEX('5 Jahre'!$B$46:$F$46,1,AE$4-1),0)</f>
        <v>0</v>
      </c>
      <c r="AF80" s="26" t="n">
        <f aca="false">IF(AND(MOD(AF$2,12)=6,AF$2&gt;12),INDEX('5 Jahre'!$B$46:$F$46,1,AF$4-1),0)</f>
        <v>0</v>
      </c>
      <c r="AG80" s="26" t="n">
        <f aca="false">IF(AND(MOD(AG$2,12)=6,AG$2&gt;12),INDEX('5 Jahre'!$B$46:$F$46,1,AG$4-1),0)</f>
        <v>0</v>
      </c>
      <c r="AH80" s="26" t="n">
        <f aca="false">IF(AND(MOD(AH$2,12)=6,AH$2&gt;12),INDEX('5 Jahre'!$B$46:$F$46,1,AH$4-1),0)</f>
        <v>0</v>
      </c>
      <c r="AI80" s="26" t="n">
        <f aca="false">IF(AND(MOD(AI$2,12)=6,AI$2&gt;12),INDEX('5 Jahre'!$B$46:$F$46,1,AI$4-1),0)</f>
        <v>0</v>
      </c>
      <c r="AJ80" s="26" t="n">
        <f aca="false">IF(AND(MOD(AJ$2,12)=6,AJ$2&gt;12),INDEX('5 Jahre'!$B$46:$F$46,1,AJ$4-1),0)</f>
        <v>0</v>
      </c>
      <c r="AK80" s="26" t="n">
        <f aca="false">IF(AND(MOD(AK$2,12)=6,AK$2&gt;12),INDEX('5 Jahre'!$B$46:$F$46,1,AK$4-1),0)</f>
        <v>0</v>
      </c>
      <c r="AL80" s="26" t="n">
        <f aca="false">IF(AND(MOD(AL$2,12)=6,AL$2&gt;12),INDEX('5 Jahre'!$B$46:$F$46,1,AL$4-1),0)</f>
        <v>0</v>
      </c>
    </row>
    <row r="81" customFormat="false" ht="15" hidden="false" customHeight="false" outlineLevel="0" collapsed="false">
      <c r="A81" s="3" t="s">
        <v>278</v>
      </c>
      <c r="C81" s="30" t="n">
        <f aca="false">C70-C76-C77-C80+C72+C73+C74+C75</f>
        <v>133627.099622469</v>
      </c>
      <c r="D81" s="30" t="n">
        <f aca="false">D70-D76-D77-D80+D72+D73+D74+D75</f>
        <v>-6258.5100336571</v>
      </c>
      <c r="E81" s="30" t="n">
        <f aca="false">E70-E76-E77-E80+E72+E73+E74+E75</f>
        <v>-6750.12819366708</v>
      </c>
      <c r="F81" s="30" t="n">
        <f aca="false">F70-F76-F77-F80+F72+F73+F74+F75</f>
        <v>-14185.1515208268</v>
      </c>
      <c r="G81" s="30" t="n">
        <f aca="false">G70-G76-G77-G80+G72+G73+G74+G75</f>
        <v>-4563.63103038194</v>
      </c>
      <c r="H81" s="30" t="n">
        <f aca="false">H70-H76-H77-H80+H72+H73+H74+H75</f>
        <v>-3953.97442067352</v>
      </c>
      <c r="I81" s="30" t="n">
        <f aca="false">I70-I76-I77-I80+I72+I73+I74+I75</f>
        <v>-9331.45387974768</v>
      </c>
      <c r="J81" s="30" t="n">
        <f aca="false">J70-J76-J77-J80+J72+J73+J74+J75</f>
        <v>-6619.99884997831</v>
      </c>
      <c r="K81" s="30" t="n">
        <f aca="false">K70-K76-K77-K80+K72+K73+K74+K75</f>
        <v>-5725.89828644932</v>
      </c>
      <c r="L81" s="30" t="n">
        <f aca="false">L70-L76-L77-L80+L72+L73+L74+L75</f>
        <v>184981.691607247</v>
      </c>
      <c r="M81" s="30" t="n">
        <f aca="false">M70-M76-M77-M80+M72+M73+M74+M75</f>
        <v>-9533.04531667111</v>
      </c>
      <c r="N81" s="30" t="n">
        <f aca="false">N70-N76-N77-N80+N72+N73+N74+N75</f>
        <v>-8370.28734143614</v>
      </c>
      <c r="O81" s="30" t="n">
        <f aca="false">O70-O76-O77-O80+O72+O73+O74+O75</f>
        <v>-22185.7516693348</v>
      </c>
      <c r="P81" s="30" t="n">
        <f aca="false">P70-P76-P77-P80+P72+P73+P74+P75</f>
        <v>-17073.4129537182</v>
      </c>
      <c r="Q81" s="30" t="n">
        <f aca="false">Q70-Q76-Q77-Q80+Q72+Q73+Q74+Q75</f>
        <v>-22589.7337339336</v>
      </c>
      <c r="R81" s="30" t="n">
        <f aca="false">R70-R76-R77-R80+R72+R73+R74+R75</f>
        <v>-13533.5902069103</v>
      </c>
      <c r="S81" s="30" t="n">
        <f aca="false">S70-S76-S77-S80+S72+S73+S74+S75</f>
        <v>-11683.5153096393</v>
      </c>
      <c r="T81" s="30" t="n">
        <f aca="false">T70-T76-T77-T80+T72+T73+T74+T75</f>
        <v>-9868.41808783447</v>
      </c>
      <c r="U81" s="30" t="n">
        <f aca="false">U70-U76-U77-U80+U72+U73+U74+U75</f>
        <v>-7487.042808892</v>
      </c>
      <c r="V81" s="30" t="n">
        <f aca="false">V70-V76-V77-V80+V72+V73+V74+V75</f>
        <v>-5317.7935097863</v>
      </c>
      <c r="W81" s="30" t="n">
        <f aca="false">W70-W76-W77-W80+W72+W73+W74+W75</f>
        <v>-17189.4532907248</v>
      </c>
      <c r="X81" s="30" t="n">
        <f aca="false">X70-X76-X77-X80+X72+X73+X74+X75</f>
        <v>-11821.4033550673</v>
      </c>
      <c r="Y81" s="30" t="n">
        <f aca="false">Y70-Y76-Y77-Y80+Y72+Y73+Y74+Y75</f>
        <v>-4550.40748609232</v>
      </c>
      <c r="Z81" s="30" t="n">
        <f aca="false">Z70-Z76-Z77-Z80+Z72+Z73+Z74+Z75</f>
        <v>-2125.8912713814</v>
      </c>
      <c r="AA81" s="30" t="n">
        <f aca="false">AA70-AA76-AA77-AA80+AA72+AA73+AA74+AA75</f>
        <v>-8051.35866575596</v>
      </c>
      <c r="AB81" s="30" t="n">
        <f aca="false">AB70-AB76-AB77-AB80+AB72+AB73+AB74+AB75</f>
        <v>-5568.68359470681</v>
      </c>
      <c r="AC81" s="30" t="n">
        <f aca="false">AC70-AC76-AC77-AC80+AC72+AC73+AC74+AC75</f>
        <v>-3132.41759037885</v>
      </c>
      <c r="AD81" s="30" t="n">
        <f aca="false">AD70-AD76-AD77-AD80+AD72+AD73+AD74+AD75</f>
        <v>-22021.3071782098</v>
      </c>
      <c r="AE81" s="30" t="n">
        <f aca="false">AE70-AE76-AE77-AE80+AE72+AE73+AE74+AE75</f>
        <v>-2566.87923913664</v>
      </c>
      <c r="AF81" s="30" t="n">
        <f aca="false">AF70-AF76-AF77-AF80+AF72+AF73+AF74+AF75</f>
        <v>38.0731694838889</v>
      </c>
      <c r="AG81" s="30" t="n">
        <f aca="false">AG70-AG76-AG77-AG80+AG72+AG73+AG74+AG75</f>
        <v>-3941.87315058681</v>
      </c>
      <c r="AH81" s="30" t="n">
        <f aca="false">AH70-AH76-AH77-AH80+AH72+AH73+AH74+AH75</f>
        <v>675.290300162821</v>
      </c>
      <c r="AI81" s="30" t="n">
        <f aca="false">AI70-AI76-AI77-AI80+AI72+AI73+AI74+AI75</f>
        <v>3440.09113029854</v>
      </c>
      <c r="AJ81" s="30" t="n">
        <f aca="false">AJ70-AJ76-AJ77-AJ80+AJ72+AJ73+AJ74+AJ75</f>
        <v>2738.01987778064</v>
      </c>
      <c r="AK81" s="30" t="n">
        <f aca="false">AK70-AK76-AK77-AK80+AK72+AK73+AK74+AK75</f>
        <v>9812.12530530574</v>
      </c>
      <c r="AL81" s="30" t="n">
        <f aca="false">AL70-AL76-AL77-AL80+AL72+AL73+AL74+AL75</f>
        <v>12829.1787836756</v>
      </c>
    </row>
    <row r="82" customFormat="false" ht="15" hidden="false" customHeight="false" outlineLevel="0" collapsed="false">
      <c r="A82" s="22" t="s">
        <v>279</v>
      </c>
      <c r="B82" s="31" t="n">
        <v>0</v>
      </c>
      <c r="C82" s="28" t="n">
        <f aca="false">B82+C81</f>
        <v>133627.099622469</v>
      </c>
      <c r="D82" s="28" t="n">
        <f aca="false">C82+D81</f>
        <v>127368.589588812</v>
      </c>
      <c r="E82" s="28" t="n">
        <f aca="false">D82+E81</f>
        <v>120618.461395145</v>
      </c>
      <c r="F82" s="28" t="n">
        <f aca="false">E82+F81</f>
        <v>106433.309874318</v>
      </c>
      <c r="G82" s="28" t="n">
        <f aca="false">F82+G81</f>
        <v>101869.678843936</v>
      </c>
      <c r="H82" s="28" t="n">
        <f aca="false">G82+H81</f>
        <v>97915.7044232629</v>
      </c>
      <c r="I82" s="28" t="n">
        <f aca="false">H82+I81</f>
        <v>88584.2505435152</v>
      </c>
      <c r="J82" s="28" t="n">
        <f aca="false">I82+J81</f>
        <v>81964.2516935369</v>
      </c>
      <c r="K82" s="28" t="n">
        <f aca="false">J82+K81</f>
        <v>76238.3534070876</v>
      </c>
      <c r="L82" s="28" t="n">
        <f aca="false">K82+L81</f>
        <v>261220.045014335</v>
      </c>
      <c r="M82" s="28" t="n">
        <f aca="false">L82+M81</f>
        <v>251686.999697664</v>
      </c>
      <c r="N82" s="28" t="n">
        <f aca="false">M82+N81</f>
        <v>243316.712356227</v>
      </c>
      <c r="O82" s="28" t="n">
        <f aca="false">N82+O81</f>
        <v>221130.960686893</v>
      </c>
      <c r="P82" s="28" t="n">
        <f aca="false">O82+P81</f>
        <v>204057.547733174</v>
      </c>
      <c r="Q82" s="28" t="n">
        <f aca="false">P82+Q81</f>
        <v>181467.813999241</v>
      </c>
      <c r="R82" s="28" t="n">
        <f aca="false">Q82+R81</f>
        <v>167934.223792331</v>
      </c>
      <c r="S82" s="28" t="n">
        <f aca="false">R82+S81</f>
        <v>156250.708482691</v>
      </c>
      <c r="T82" s="28" t="n">
        <f aca="false">S82+T81</f>
        <v>146382.290394857</v>
      </c>
      <c r="U82" s="28" t="n">
        <f aca="false">T82+U81</f>
        <v>138895.247585965</v>
      </c>
      <c r="V82" s="28" t="n">
        <f aca="false">U82+V81</f>
        <v>133577.454076178</v>
      </c>
      <c r="W82" s="28" t="n">
        <f aca="false">V82+W81</f>
        <v>116388.000785454</v>
      </c>
      <c r="X82" s="28" t="n">
        <f aca="false">W82+X81</f>
        <v>104566.597430386</v>
      </c>
      <c r="Y82" s="28" t="n">
        <f aca="false">X82+Y81</f>
        <v>100016.189944294</v>
      </c>
      <c r="Z82" s="28" t="n">
        <f aca="false">Y82+Z81</f>
        <v>97890.2986729127</v>
      </c>
      <c r="AA82" s="28" t="n">
        <f aca="false">Z82+AA81</f>
        <v>89838.9400071567</v>
      </c>
      <c r="AB82" s="28" t="n">
        <f aca="false">AA82+AB81</f>
        <v>84270.2564124499</v>
      </c>
      <c r="AC82" s="28" t="n">
        <f aca="false">AB82+AC81</f>
        <v>81137.8388220711</v>
      </c>
      <c r="AD82" s="28" t="n">
        <f aca="false">AC82+AD81</f>
        <v>59116.5316438613</v>
      </c>
      <c r="AE82" s="28" t="n">
        <f aca="false">AD82+AE81</f>
        <v>56549.6524047246</v>
      </c>
      <c r="AF82" s="28" t="n">
        <f aca="false">AE82+AF81</f>
        <v>56587.7255742085</v>
      </c>
      <c r="AG82" s="28" t="n">
        <f aca="false">AF82+AG81</f>
        <v>52645.8524236217</v>
      </c>
      <c r="AH82" s="28" t="n">
        <f aca="false">AG82+AH81</f>
        <v>53321.1427237845</v>
      </c>
      <c r="AI82" s="28" t="n">
        <f aca="false">AH82+AI81</f>
        <v>56761.2338540831</v>
      </c>
      <c r="AJ82" s="28" t="n">
        <f aca="false">AI82+AJ81</f>
        <v>59499.2537318637</v>
      </c>
      <c r="AK82" s="28" t="n">
        <f aca="false">AJ82+AK81</f>
        <v>69311.3790371695</v>
      </c>
      <c r="AL82" s="28" t="n">
        <f aca="false">AK82+AL81</f>
        <v>82140.5578208451</v>
      </c>
    </row>
    <row r="83" customFormat="false" ht="15" hidden="false" customHeight="false" outlineLevel="0" collapsed="false">
      <c r="A83" s="5" t="s">
        <v>280</v>
      </c>
      <c r="B83" s="26" t="n">
        <v>0</v>
      </c>
      <c r="C83" s="26" t="n">
        <f aca="false">B83+C70-C76-C77-C80</f>
        <v>-16372.9003775307</v>
      </c>
      <c r="D83" s="26" t="n">
        <f aca="false">C83+D70-D76-D77-D80</f>
        <v>-22631.4104111878</v>
      </c>
      <c r="E83" s="26" t="n">
        <f aca="false">D83+E70-E76-E77-E80</f>
        <v>-29381.5386048548</v>
      </c>
      <c r="F83" s="26" t="n">
        <f aca="false">E83+F70-F76-F77-F80</f>
        <v>-43566.6901256817</v>
      </c>
      <c r="G83" s="26" t="n">
        <f aca="false">F83+G70-G76-G77-G80</f>
        <v>-48130.3211560636</v>
      </c>
      <c r="H83" s="26" t="n">
        <f aca="false">G83+H70-H76-H77-H80</f>
        <v>-52084.2955767371</v>
      </c>
      <c r="I83" s="26" t="n">
        <f aca="false">H83+I70-I76-I77-I80</f>
        <v>-61415.7494564848</v>
      </c>
      <c r="J83" s="26" t="n">
        <f aca="false">I83+J70-J76-J77-J80</f>
        <v>-68035.7483064631</v>
      </c>
      <c r="K83" s="26" t="n">
        <f aca="false">J83+K70-K76-K77-K80</f>
        <v>-73761.6465929125</v>
      </c>
      <c r="L83" s="26" t="n">
        <f aca="false">K83+L70-L76-L77-L80</f>
        <v>-88779.9549856653</v>
      </c>
      <c r="M83" s="26" t="n">
        <f aca="false">L83+M70-M76-M77-M80</f>
        <v>-98313.0003023365</v>
      </c>
      <c r="N83" s="26" t="n">
        <f aca="false">M83+N70-N76-N77-N80</f>
        <v>-106683.287643773</v>
      </c>
      <c r="O83" s="26" t="n">
        <f aca="false">N83+O70-O76-O77-O80</f>
        <v>-128869.039313107</v>
      </c>
      <c r="P83" s="26" t="n">
        <f aca="false">O83+P70-P76-P77-P80</f>
        <v>-145942.452266826</v>
      </c>
      <c r="Q83" s="26" t="n">
        <f aca="false">P83+Q70-Q76-Q77-Q80</f>
        <v>-168532.186000759</v>
      </c>
      <c r="R83" s="26" t="n">
        <f aca="false">Q83+R70-R76-R77-R80</f>
        <v>-182065.77620767</v>
      </c>
      <c r="S83" s="26" t="n">
        <f aca="false">R83+S70-S76-S77-S80</f>
        <v>-193749.291517309</v>
      </c>
      <c r="T83" s="26" t="n">
        <f aca="false">S83+T70-T76-T77-T80</f>
        <v>-203617.709605143</v>
      </c>
      <c r="U83" s="26" t="n">
        <f aca="false">T83+U70-U76-U77-U80</f>
        <v>-211104.752414035</v>
      </c>
      <c r="V83" s="26" t="n">
        <f aca="false">U83+V70-V76-V77-V80</f>
        <v>-216422.545923822</v>
      </c>
      <c r="W83" s="26" t="n">
        <f aca="false">V83+W70-W76-W77-W80</f>
        <v>-233611.999214546</v>
      </c>
      <c r="X83" s="26" t="n">
        <f aca="false">W83+X70-X76-X77-X80</f>
        <v>-245433.402569614</v>
      </c>
      <c r="Y83" s="26" t="n">
        <f aca="false">X83+Y70-Y76-Y77-Y80</f>
        <v>-249983.810055706</v>
      </c>
      <c r="Z83" s="26" t="n">
        <f aca="false">Y83+Z70-Z76-Z77-Z80</f>
        <v>-252109.701327087</v>
      </c>
      <c r="AA83" s="26" t="n">
        <f aca="false">Z83+AA70-AA76-AA77-AA80</f>
        <v>-260161.059992843</v>
      </c>
      <c r="AB83" s="26" t="n">
        <f aca="false">AA83+AB70-AB76-AB77-AB80</f>
        <v>-265729.74358755</v>
      </c>
      <c r="AC83" s="26" t="n">
        <f aca="false">AB83+AC70-AC76-AC77-AC80</f>
        <v>-268862.161177929</v>
      </c>
      <c r="AD83" s="26" t="n">
        <f aca="false">AC83+AD70-AD76-AD77-AD80</f>
        <v>-290883.468356139</v>
      </c>
      <c r="AE83" s="26" t="n">
        <f aca="false">AD83+AE70-AE76-AE77-AE80</f>
        <v>-293450.347595275</v>
      </c>
      <c r="AF83" s="26" t="n">
        <f aca="false">AE83+AF70-AF76-AF77-AF80</f>
        <v>-293412.274425791</v>
      </c>
      <c r="AG83" s="26" t="n">
        <f aca="false">AF83+AG70-AG76-AG77-AG80</f>
        <v>-297354.147576378</v>
      </c>
      <c r="AH83" s="26" t="n">
        <f aca="false">AG83+AH70-AH76-AH77-AH80</f>
        <v>-296678.857276215</v>
      </c>
      <c r="AI83" s="26" t="n">
        <f aca="false">AH83+AI70-AI76-AI77-AI80</f>
        <v>-293238.766145917</v>
      </c>
      <c r="AJ83" s="26" t="n">
        <f aca="false">AI83+AJ70-AJ76-AJ77-AJ80</f>
        <v>-290500.746268136</v>
      </c>
      <c r="AK83" s="26" t="n">
        <f aca="false">AJ83+AK70-AK76-AK77-AK80</f>
        <v>-280688.62096283</v>
      </c>
      <c r="AL83" s="26" t="n">
        <f aca="false">AK83+AL70-AL76-AL77-AL80</f>
        <v>-267859.442179155</v>
      </c>
    </row>
    <row r="84" customFormat="false" ht="15" hidden="false" customHeight="false" outlineLevel="0" collapsed="false">
      <c r="A84" s="5" t="s">
        <v>281</v>
      </c>
      <c r="C84" s="25" t="n">
        <f aca="false">IF(C70&gt;=0,C$2,999)</f>
        <v>999</v>
      </c>
      <c r="D84" s="25" t="n">
        <f aca="false">IF(D70&gt;=0,D$2,999)</f>
        <v>999</v>
      </c>
      <c r="E84" s="25" t="n">
        <f aca="false">IF(E70&gt;=0,E$2,999)</f>
        <v>999</v>
      </c>
      <c r="F84" s="25" t="n">
        <f aca="false">IF(F70&gt;=0,F$2,999)</f>
        <v>999</v>
      </c>
      <c r="G84" s="25" t="n">
        <f aca="false">IF(G70&gt;=0,G$2,999)</f>
        <v>999</v>
      </c>
      <c r="H84" s="25" t="n">
        <f aca="false">IF(H70&gt;=0,H$2,999)</f>
        <v>999</v>
      </c>
      <c r="I84" s="25" t="n">
        <f aca="false">IF(I70&gt;=0,I$2,999)</f>
        <v>999</v>
      </c>
      <c r="J84" s="25" t="n">
        <f aca="false">IF(J70&gt;=0,J$2,999)</f>
        <v>999</v>
      </c>
      <c r="K84" s="25" t="n">
        <f aca="false">IF(K70&gt;=0,K$2,999)</f>
        <v>999</v>
      </c>
      <c r="L84" s="25" t="n">
        <f aca="false">IF(L70&gt;=0,L$2,999)</f>
        <v>999</v>
      </c>
      <c r="M84" s="25" t="n">
        <f aca="false">IF(M70&gt;=0,M$2,999)</f>
        <v>999</v>
      </c>
      <c r="N84" s="25" t="n">
        <f aca="false">IF(N70&gt;=0,N$2,999)</f>
        <v>999</v>
      </c>
      <c r="O84" s="25" t="n">
        <f aca="false">IF(O70&gt;=0,O$2,999)</f>
        <v>999</v>
      </c>
      <c r="P84" s="25" t="n">
        <f aca="false">IF(P70&gt;=0,P$2,999)</f>
        <v>999</v>
      </c>
      <c r="Q84" s="25" t="n">
        <f aca="false">IF(Q70&gt;=0,Q$2,999)</f>
        <v>999</v>
      </c>
      <c r="R84" s="25" t="n">
        <f aca="false">IF(R70&gt;=0,R$2,999)</f>
        <v>999</v>
      </c>
      <c r="S84" s="25" t="n">
        <f aca="false">IF(S70&gt;=0,S$2,999)</f>
        <v>999</v>
      </c>
      <c r="T84" s="25" t="n">
        <f aca="false">IF(T70&gt;=0,T$2,999)</f>
        <v>999</v>
      </c>
      <c r="U84" s="25" t="n">
        <f aca="false">IF(U70&gt;=0,U$2,999)</f>
        <v>999</v>
      </c>
      <c r="V84" s="25" t="n">
        <f aca="false">IF(V70&gt;=0,V$2,999)</f>
        <v>999</v>
      </c>
      <c r="W84" s="25" t="n">
        <f aca="false">IF(W70&gt;=0,W$2,999)</f>
        <v>999</v>
      </c>
      <c r="X84" s="25" t="n">
        <f aca="false">IF(X70&gt;=0,X$2,999)</f>
        <v>999</v>
      </c>
      <c r="Y84" s="25" t="n">
        <f aca="false">IF(Y70&gt;=0,Y$2,999)</f>
        <v>999</v>
      </c>
      <c r="Z84" s="25" t="n">
        <f aca="false">IF(Z70&gt;=0,Z$2,999)</f>
        <v>999</v>
      </c>
      <c r="AA84" s="25" t="n">
        <f aca="false">IF(AA70&gt;=0,AA$2,999)</f>
        <v>999</v>
      </c>
      <c r="AB84" s="25" t="n">
        <f aca="false">IF(AB70&gt;=0,AB$2,999)</f>
        <v>999</v>
      </c>
      <c r="AC84" s="25" t="n">
        <f aca="false">IF(AC70&gt;=0,AC$2,999)</f>
        <v>999</v>
      </c>
      <c r="AD84" s="25" t="n">
        <f aca="false">IF(AD70&gt;=0,AD$2,999)</f>
        <v>999</v>
      </c>
      <c r="AE84" s="25" t="n">
        <f aca="false">IF(AE70&gt;=0,AE$2,999)</f>
        <v>999</v>
      </c>
      <c r="AF84" s="25" t="n">
        <f aca="false">IF(AF70&gt;=0,AF$2,999)</f>
        <v>30</v>
      </c>
      <c r="AG84" s="25" t="n">
        <f aca="false">IF(AG70&gt;=0,AG$2,999)</f>
        <v>999</v>
      </c>
      <c r="AH84" s="25" t="n">
        <f aca="false">IF(AH70&gt;=0,AH$2,999)</f>
        <v>32</v>
      </c>
      <c r="AI84" s="25" t="n">
        <f aca="false">IF(AI70&gt;=0,AI$2,999)</f>
        <v>33</v>
      </c>
      <c r="AJ84" s="25" t="n">
        <f aca="false">IF(AJ70&gt;=0,AJ$2,999)</f>
        <v>34</v>
      </c>
      <c r="AK84" s="25" t="n">
        <f aca="false">IF(AK70&gt;=0,AK$2,999)</f>
        <v>35</v>
      </c>
      <c r="AL84" s="25" t="n">
        <f aca="false">IF(AL70&gt;=0,AL$2,999)</f>
        <v>36</v>
      </c>
    </row>
    <row r="85" customFormat="false" ht="15" hidden="false" customHeight="false" outlineLevel="0" collapsed="false">
      <c r="A85" s="5" t="s">
        <v>282</v>
      </c>
      <c r="C85" s="25" t="n">
        <f aca="false">IF(C70&lt;0,C$2,0)</f>
        <v>1</v>
      </c>
      <c r="D85" s="25" t="n">
        <f aca="false">IF(D70&lt;0,D$2,0)</f>
        <v>2</v>
      </c>
      <c r="E85" s="25" t="n">
        <f aca="false">IF(E70&lt;0,E$2,0)</f>
        <v>3</v>
      </c>
      <c r="F85" s="25" t="n">
        <f aca="false">IF(F70&lt;0,F$2,0)</f>
        <v>4</v>
      </c>
      <c r="G85" s="25" t="n">
        <f aca="false">IF(G70&lt;0,G$2,0)</f>
        <v>5</v>
      </c>
      <c r="H85" s="25" t="n">
        <f aca="false">IF(H70&lt;0,H$2,0)</f>
        <v>6</v>
      </c>
      <c r="I85" s="25" t="n">
        <f aca="false">IF(I70&lt;0,I$2,0)</f>
        <v>7</v>
      </c>
      <c r="J85" s="25" t="n">
        <f aca="false">IF(J70&lt;0,J$2,0)</f>
        <v>8</v>
      </c>
      <c r="K85" s="25" t="n">
        <f aca="false">IF(K70&lt;0,K$2,0)</f>
        <v>9</v>
      </c>
      <c r="L85" s="25" t="n">
        <f aca="false">IF(L70&lt;0,L$2,0)</f>
        <v>10</v>
      </c>
      <c r="M85" s="25" t="n">
        <f aca="false">IF(M70&lt;0,M$2,0)</f>
        <v>11</v>
      </c>
      <c r="N85" s="25" t="n">
        <f aca="false">IF(N70&lt;0,N$2,0)</f>
        <v>12</v>
      </c>
      <c r="O85" s="25" t="n">
        <f aca="false">IF(O70&lt;0,O$2,0)</f>
        <v>13</v>
      </c>
      <c r="P85" s="25" t="n">
        <f aca="false">IF(P70&lt;0,P$2,0)</f>
        <v>14</v>
      </c>
      <c r="Q85" s="25" t="n">
        <f aca="false">IF(Q70&lt;0,Q$2,0)</f>
        <v>15</v>
      </c>
      <c r="R85" s="25" t="n">
        <f aca="false">IF(R70&lt;0,R$2,0)</f>
        <v>16</v>
      </c>
      <c r="S85" s="25" t="n">
        <f aca="false">IF(S70&lt;0,S$2,0)</f>
        <v>17</v>
      </c>
      <c r="T85" s="25" t="n">
        <f aca="false">IF(T70&lt;0,T$2,0)</f>
        <v>18</v>
      </c>
      <c r="U85" s="25" t="n">
        <f aca="false">IF(U70&lt;0,U$2,0)</f>
        <v>19</v>
      </c>
      <c r="V85" s="25" t="n">
        <f aca="false">IF(V70&lt;0,V$2,0)</f>
        <v>20</v>
      </c>
      <c r="W85" s="25" t="n">
        <f aca="false">IF(W70&lt;0,W$2,0)</f>
        <v>21</v>
      </c>
      <c r="X85" s="25" t="n">
        <f aca="false">IF(X70&lt;0,X$2,0)</f>
        <v>22</v>
      </c>
      <c r="Y85" s="25" t="n">
        <f aca="false">IF(Y70&lt;0,Y$2,0)</f>
        <v>23</v>
      </c>
      <c r="Z85" s="25" t="n">
        <f aca="false">IF(Z70&lt;0,Z$2,0)</f>
        <v>24</v>
      </c>
      <c r="AA85" s="25" t="n">
        <f aca="false">IF(AA70&lt;0,AA$2,0)</f>
        <v>25</v>
      </c>
      <c r="AB85" s="25" t="n">
        <f aca="false">IF(AB70&lt;0,AB$2,0)</f>
        <v>26</v>
      </c>
      <c r="AC85" s="25" t="n">
        <f aca="false">IF(AC70&lt;0,AC$2,0)</f>
        <v>27</v>
      </c>
      <c r="AD85" s="25" t="n">
        <f aca="false">IF(AD70&lt;0,AD$2,0)</f>
        <v>28</v>
      </c>
      <c r="AE85" s="25" t="n">
        <f aca="false">IF(AE70&lt;0,AE$2,0)</f>
        <v>29</v>
      </c>
      <c r="AF85" s="25" t="n">
        <f aca="false">IF(AF70&lt;0,AF$2,0)</f>
        <v>0</v>
      </c>
      <c r="AG85" s="25" t="n">
        <f aca="false">IF(AG70&lt;0,AG$2,0)</f>
        <v>31</v>
      </c>
      <c r="AH85" s="25" t="n">
        <f aca="false">IF(AH70&lt;0,AH$2,0)</f>
        <v>0</v>
      </c>
      <c r="AI85" s="25" t="n">
        <f aca="false">IF(AI70&lt;0,AI$2,0)</f>
        <v>0</v>
      </c>
      <c r="AJ85" s="25" t="n">
        <f aca="false">IF(AJ70&lt;0,AJ$2,0)</f>
        <v>0</v>
      </c>
      <c r="AK85" s="25" t="n">
        <f aca="false">IF(AK70&lt;0,AK$2,0)</f>
        <v>0</v>
      </c>
      <c r="AL85" s="25" t="n">
        <f aca="false">IF(AL70&lt;0,AL$2,0)</f>
        <v>0</v>
      </c>
    </row>
    <row r="86" customFormat="false" ht="15" hidden="false" customHeight="false" outlineLevel="0" collapsed="false">
      <c r="A86" s="5" t="s">
        <v>283</v>
      </c>
      <c r="C86" s="25" t="n">
        <f aca="false">IF(AND(C83&gt;=0,C$2&gt;1),C$2,999)</f>
        <v>999</v>
      </c>
      <c r="D86" s="25" t="n">
        <f aca="false">IF(AND(D83&gt;=0,D$2&gt;1),D$2,999)</f>
        <v>999</v>
      </c>
      <c r="E86" s="25" t="n">
        <f aca="false">IF(AND(E83&gt;=0,E$2&gt;1),E$2,999)</f>
        <v>999</v>
      </c>
      <c r="F86" s="25" t="n">
        <f aca="false">IF(AND(F83&gt;=0,F$2&gt;1),F$2,999)</f>
        <v>999</v>
      </c>
      <c r="G86" s="25" t="n">
        <f aca="false">IF(AND(G83&gt;=0,G$2&gt;1),G$2,999)</f>
        <v>999</v>
      </c>
      <c r="H86" s="25" t="n">
        <f aca="false">IF(AND(H83&gt;=0,H$2&gt;1),H$2,999)</f>
        <v>999</v>
      </c>
      <c r="I86" s="25" t="n">
        <f aca="false">IF(AND(I83&gt;=0,I$2&gt;1),I$2,999)</f>
        <v>999</v>
      </c>
      <c r="J86" s="25" t="n">
        <f aca="false">IF(AND(J83&gt;=0,J$2&gt;1),J$2,999)</f>
        <v>999</v>
      </c>
      <c r="K86" s="25" t="n">
        <f aca="false">IF(AND(K83&gt;=0,K$2&gt;1),K$2,999)</f>
        <v>999</v>
      </c>
      <c r="L86" s="25" t="n">
        <f aca="false">IF(AND(L83&gt;=0,L$2&gt;1),L$2,999)</f>
        <v>999</v>
      </c>
      <c r="M86" s="25" t="n">
        <f aca="false">IF(AND(M83&gt;=0,M$2&gt;1),M$2,999)</f>
        <v>999</v>
      </c>
      <c r="N86" s="25" t="n">
        <f aca="false">IF(AND(N83&gt;=0,N$2&gt;1),N$2,999)</f>
        <v>999</v>
      </c>
      <c r="O86" s="25" t="n">
        <f aca="false">IF(AND(O83&gt;=0,O$2&gt;1),O$2,999)</f>
        <v>999</v>
      </c>
      <c r="P86" s="25" t="n">
        <f aca="false">IF(AND(P83&gt;=0,P$2&gt;1),P$2,999)</f>
        <v>999</v>
      </c>
      <c r="Q86" s="25" t="n">
        <f aca="false">IF(AND(Q83&gt;=0,Q$2&gt;1),Q$2,999)</f>
        <v>999</v>
      </c>
      <c r="R86" s="25" t="n">
        <f aca="false">IF(AND(R83&gt;=0,R$2&gt;1),R$2,999)</f>
        <v>999</v>
      </c>
      <c r="S86" s="25" t="n">
        <f aca="false">IF(AND(S83&gt;=0,S$2&gt;1),S$2,999)</f>
        <v>999</v>
      </c>
      <c r="T86" s="25" t="n">
        <f aca="false">IF(AND(T83&gt;=0,T$2&gt;1),T$2,999)</f>
        <v>999</v>
      </c>
      <c r="U86" s="25" t="n">
        <f aca="false">IF(AND(U83&gt;=0,U$2&gt;1),U$2,999)</f>
        <v>999</v>
      </c>
      <c r="V86" s="25" t="n">
        <f aca="false">IF(AND(V83&gt;=0,V$2&gt;1),V$2,999)</f>
        <v>999</v>
      </c>
      <c r="W86" s="25" t="n">
        <f aca="false">IF(AND(W83&gt;=0,W$2&gt;1),W$2,999)</f>
        <v>999</v>
      </c>
      <c r="X86" s="25" t="n">
        <f aca="false">IF(AND(X83&gt;=0,X$2&gt;1),X$2,999)</f>
        <v>999</v>
      </c>
      <c r="Y86" s="25" t="n">
        <f aca="false">IF(AND(Y83&gt;=0,Y$2&gt;1),Y$2,999)</f>
        <v>999</v>
      </c>
      <c r="Z86" s="25" t="n">
        <f aca="false">IF(AND(Z83&gt;=0,Z$2&gt;1),Z$2,999)</f>
        <v>999</v>
      </c>
      <c r="AA86" s="25" t="n">
        <f aca="false">IF(AND(AA83&gt;=0,AA$2&gt;1),AA$2,999)</f>
        <v>999</v>
      </c>
      <c r="AB86" s="25" t="n">
        <f aca="false">IF(AND(AB83&gt;=0,AB$2&gt;1),AB$2,999)</f>
        <v>999</v>
      </c>
      <c r="AC86" s="25" t="n">
        <f aca="false">IF(AND(AC83&gt;=0,AC$2&gt;1),AC$2,999)</f>
        <v>999</v>
      </c>
      <c r="AD86" s="25" t="n">
        <f aca="false">IF(AND(AD83&gt;=0,AD$2&gt;1),AD$2,999)</f>
        <v>999</v>
      </c>
      <c r="AE86" s="25" t="n">
        <f aca="false">IF(AND(AE83&gt;=0,AE$2&gt;1),AE$2,999)</f>
        <v>999</v>
      </c>
      <c r="AF86" s="25" t="n">
        <f aca="false">IF(AND(AF83&gt;=0,AF$2&gt;1),AF$2,999)</f>
        <v>999</v>
      </c>
      <c r="AG86" s="25" t="n">
        <f aca="false">IF(AND(AG83&gt;=0,AG$2&gt;1),AG$2,999)</f>
        <v>999</v>
      </c>
      <c r="AH86" s="25" t="n">
        <f aca="false">IF(AND(AH83&gt;=0,AH$2&gt;1),AH$2,999)</f>
        <v>999</v>
      </c>
      <c r="AI86" s="25" t="n">
        <f aca="false">IF(AND(AI83&gt;=0,AI$2&gt;1),AI$2,999)</f>
        <v>999</v>
      </c>
      <c r="AJ86" s="25" t="n">
        <f aca="false">IF(AND(AJ83&gt;=0,AJ$2&gt;1),AJ$2,999)</f>
        <v>999</v>
      </c>
      <c r="AK86" s="25" t="n">
        <f aca="false">IF(AND(AK83&gt;=0,AK$2&gt;1),AK$2,999)</f>
        <v>999</v>
      </c>
      <c r="AL86" s="25" t="n">
        <f aca="false">IF(AND(AL83&gt;=0,AL$2&gt;1),AL$2,999)</f>
        <v>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8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26" min="3" style="0" width="11"/>
  </cols>
  <sheetData>
    <row r="1" customFormat="false" ht="17.35" hidden="false" customHeight="false" outlineLevel="0" collapsed="false">
      <c r="A1" s="1" t="s">
        <v>284</v>
      </c>
      <c r="B1" s="3" t="s">
        <v>214</v>
      </c>
    </row>
    <row r="2" customFormat="false" ht="15" hidden="false" customHeight="false" outlineLevel="0" collapsed="false">
      <c r="A2" s="6" t="s">
        <v>125</v>
      </c>
      <c r="B2" s="17" t="n">
        <f aca="false">'Monat 1–36'!$AL$2</f>
        <v>36</v>
      </c>
      <c r="C2" s="17" t="n">
        <f aca="false">B2+1</f>
        <v>37</v>
      </c>
      <c r="D2" s="17" t="n">
        <f aca="false">C2+1</f>
        <v>38</v>
      </c>
      <c r="E2" s="17" t="n">
        <f aca="false">D2+1</f>
        <v>39</v>
      </c>
      <c r="F2" s="17" t="n">
        <f aca="false">E2+1</f>
        <v>40</v>
      </c>
      <c r="G2" s="17" t="n">
        <f aca="false">F2+1</f>
        <v>41</v>
      </c>
      <c r="H2" s="17" t="n">
        <f aca="false">G2+1</f>
        <v>42</v>
      </c>
      <c r="I2" s="17" t="n">
        <f aca="false">H2+1</f>
        <v>43</v>
      </c>
      <c r="J2" s="17" t="n">
        <f aca="false">I2+1</f>
        <v>44</v>
      </c>
      <c r="K2" s="17" t="n">
        <f aca="false">J2+1</f>
        <v>45</v>
      </c>
      <c r="L2" s="17" t="n">
        <f aca="false">K2+1</f>
        <v>46</v>
      </c>
      <c r="M2" s="17" t="n">
        <f aca="false">L2+1</f>
        <v>47</v>
      </c>
      <c r="N2" s="17" t="n">
        <f aca="false">M2+1</f>
        <v>48</v>
      </c>
      <c r="O2" s="17" t="n">
        <f aca="false">N2+1</f>
        <v>49</v>
      </c>
      <c r="P2" s="17" t="n">
        <f aca="false">O2+1</f>
        <v>50</v>
      </c>
      <c r="Q2" s="17" t="n">
        <f aca="false">P2+1</f>
        <v>51</v>
      </c>
      <c r="R2" s="17" t="n">
        <f aca="false">Q2+1</f>
        <v>52</v>
      </c>
      <c r="S2" s="17" t="n">
        <f aca="false">R2+1</f>
        <v>53</v>
      </c>
      <c r="T2" s="17" t="n">
        <f aca="false">S2+1</f>
        <v>54</v>
      </c>
      <c r="U2" s="17" t="n">
        <f aca="false">T2+1</f>
        <v>55</v>
      </c>
      <c r="V2" s="17" t="n">
        <f aca="false">U2+1</f>
        <v>56</v>
      </c>
      <c r="W2" s="17" t="n">
        <f aca="false">V2+1</f>
        <v>57</v>
      </c>
      <c r="X2" s="17" t="n">
        <f aca="false">W2+1</f>
        <v>58</v>
      </c>
      <c r="Y2" s="17" t="n">
        <f aca="false">X2+1</f>
        <v>59</v>
      </c>
      <c r="Z2" s="17" t="n">
        <f aca="false">Y2+1</f>
        <v>60</v>
      </c>
    </row>
    <row r="3" customFormat="false" ht="15" hidden="false" customHeight="false" outlineLevel="0" collapsed="false">
      <c r="A3" s="6" t="s">
        <v>184</v>
      </c>
      <c r="B3" s="6"/>
      <c r="C3" s="18" t="n">
        <f aca="false">EDATE(Annahmen!$B$6,C$2-1)</f>
        <v>47484</v>
      </c>
      <c r="D3" s="18" t="n">
        <f aca="false">EDATE(Annahmen!$B$6,D$2-1)</f>
        <v>47515</v>
      </c>
      <c r="E3" s="18" t="n">
        <f aca="false">EDATE(Annahmen!$B$6,E$2-1)</f>
        <v>47543</v>
      </c>
      <c r="F3" s="18" t="n">
        <f aca="false">EDATE(Annahmen!$B$6,F$2-1)</f>
        <v>47574</v>
      </c>
      <c r="G3" s="18" t="n">
        <f aca="false">EDATE(Annahmen!$B$6,G$2-1)</f>
        <v>47604</v>
      </c>
      <c r="H3" s="18" t="n">
        <f aca="false">EDATE(Annahmen!$B$6,H$2-1)</f>
        <v>47635</v>
      </c>
      <c r="I3" s="18" t="n">
        <f aca="false">EDATE(Annahmen!$B$6,I$2-1)</f>
        <v>47665</v>
      </c>
      <c r="J3" s="18" t="n">
        <f aca="false">EDATE(Annahmen!$B$6,J$2-1)</f>
        <v>47696</v>
      </c>
      <c r="K3" s="18" t="n">
        <f aca="false">EDATE(Annahmen!$B$6,K$2-1)</f>
        <v>47727</v>
      </c>
      <c r="L3" s="18" t="n">
        <f aca="false">EDATE(Annahmen!$B$6,L$2-1)</f>
        <v>47757</v>
      </c>
      <c r="M3" s="18" t="n">
        <f aca="false">EDATE(Annahmen!$B$6,M$2-1)</f>
        <v>47788</v>
      </c>
      <c r="N3" s="18" t="n">
        <f aca="false">EDATE(Annahmen!$B$6,N$2-1)</f>
        <v>47818</v>
      </c>
      <c r="O3" s="18" t="n">
        <f aca="false">EDATE(Annahmen!$B$6,O$2-1)</f>
        <v>47849</v>
      </c>
      <c r="P3" s="18" t="n">
        <f aca="false">EDATE(Annahmen!$B$6,P$2-1)</f>
        <v>47880</v>
      </c>
      <c r="Q3" s="18" t="n">
        <f aca="false">EDATE(Annahmen!$B$6,Q$2-1)</f>
        <v>47908</v>
      </c>
      <c r="R3" s="18" t="n">
        <f aca="false">EDATE(Annahmen!$B$6,R$2-1)</f>
        <v>47939</v>
      </c>
      <c r="S3" s="18" t="n">
        <f aca="false">EDATE(Annahmen!$B$6,S$2-1)</f>
        <v>47969</v>
      </c>
      <c r="T3" s="18" t="n">
        <f aca="false">EDATE(Annahmen!$B$6,T$2-1)</f>
        <v>48000</v>
      </c>
      <c r="U3" s="18" t="n">
        <f aca="false">EDATE(Annahmen!$B$6,U$2-1)</f>
        <v>48030</v>
      </c>
      <c r="V3" s="18" t="n">
        <f aca="false">EDATE(Annahmen!$B$6,V$2-1)</f>
        <v>48061</v>
      </c>
      <c r="W3" s="18" t="n">
        <f aca="false">EDATE(Annahmen!$B$6,W$2-1)</f>
        <v>48092</v>
      </c>
      <c r="X3" s="18" t="n">
        <f aca="false">EDATE(Annahmen!$B$6,X$2-1)</f>
        <v>48122</v>
      </c>
      <c r="Y3" s="18" t="n">
        <f aca="false">EDATE(Annahmen!$B$6,Y$2-1)</f>
        <v>48153</v>
      </c>
      <c r="Z3" s="18" t="n">
        <f aca="false">EDATE(Annahmen!$B$6,Z$2-1)</f>
        <v>48183</v>
      </c>
    </row>
    <row r="4" customFormat="false" ht="15" hidden="false" customHeight="false" outlineLevel="0" collapsed="false">
      <c r="A4" s="6" t="s">
        <v>215</v>
      </c>
      <c r="B4" s="6"/>
      <c r="C4" s="17" t="n">
        <f aca="false">INT((C$2-1)/12)+1</f>
        <v>4</v>
      </c>
      <c r="D4" s="17" t="n">
        <f aca="false">INT((D$2-1)/12)+1</f>
        <v>4</v>
      </c>
      <c r="E4" s="17" t="n">
        <f aca="false">INT((E$2-1)/12)+1</f>
        <v>4</v>
      </c>
      <c r="F4" s="17" t="n">
        <f aca="false">INT((F$2-1)/12)+1</f>
        <v>4</v>
      </c>
      <c r="G4" s="17" t="n">
        <f aca="false">INT((G$2-1)/12)+1</f>
        <v>4</v>
      </c>
      <c r="H4" s="17" t="n">
        <f aca="false">INT((H$2-1)/12)+1</f>
        <v>4</v>
      </c>
      <c r="I4" s="17" t="n">
        <f aca="false">INT((I$2-1)/12)+1</f>
        <v>4</v>
      </c>
      <c r="J4" s="17" t="n">
        <f aca="false">INT((J$2-1)/12)+1</f>
        <v>4</v>
      </c>
      <c r="K4" s="17" t="n">
        <f aca="false">INT((K$2-1)/12)+1</f>
        <v>4</v>
      </c>
      <c r="L4" s="17" t="n">
        <f aca="false">INT((L$2-1)/12)+1</f>
        <v>4</v>
      </c>
      <c r="M4" s="17" t="n">
        <f aca="false">INT((M$2-1)/12)+1</f>
        <v>4</v>
      </c>
      <c r="N4" s="17" t="n">
        <f aca="false">INT((N$2-1)/12)+1</f>
        <v>4</v>
      </c>
      <c r="O4" s="17" t="n">
        <f aca="false">INT((O$2-1)/12)+1</f>
        <v>5</v>
      </c>
      <c r="P4" s="17" t="n">
        <f aca="false">INT((P$2-1)/12)+1</f>
        <v>5</v>
      </c>
      <c r="Q4" s="17" t="n">
        <f aca="false">INT((Q$2-1)/12)+1</f>
        <v>5</v>
      </c>
      <c r="R4" s="17" t="n">
        <f aca="false">INT((R$2-1)/12)+1</f>
        <v>5</v>
      </c>
      <c r="S4" s="17" t="n">
        <f aca="false">INT((S$2-1)/12)+1</f>
        <v>5</v>
      </c>
      <c r="T4" s="17" t="n">
        <f aca="false">INT((T$2-1)/12)+1</f>
        <v>5</v>
      </c>
      <c r="U4" s="17" t="n">
        <f aca="false">INT((U$2-1)/12)+1</f>
        <v>5</v>
      </c>
      <c r="V4" s="17" t="n">
        <f aca="false">INT((V$2-1)/12)+1</f>
        <v>5</v>
      </c>
      <c r="W4" s="17" t="n">
        <f aca="false">INT((W$2-1)/12)+1</f>
        <v>5</v>
      </c>
      <c r="X4" s="17" t="n">
        <f aca="false">INT((X$2-1)/12)+1</f>
        <v>5</v>
      </c>
      <c r="Y4" s="17" t="n">
        <f aca="false">INT((Y$2-1)/12)+1</f>
        <v>5</v>
      </c>
      <c r="Z4" s="17" t="n">
        <f aca="false">INT((Z$2-1)/12)+1</f>
        <v>5</v>
      </c>
    </row>
    <row r="5" customFormat="false" ht="15" hidden="false" customHeight="false" outlineLevel="0" collapsed="false">
      <c r="A5" s="19" t="s">
        <v>13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customFormat="false" ht="15" hidden="false" customHeight="false" outlineLevel="0" collapsed="false">
      <c r="A6" s="5" t="s">
        <v>216</v>
      </c>
      <c r="C6" s="21" t="n">
        <f aca="false">IF(C$2&lt;=36,INDEX(Annahmen!$B$36:$B$47,INT((C$2-1)/3)+1,1),IF(C$2&lt;=48,Annahmen!$B$48,Annahmen!$B$49))</f>
        <v>45</v>
      </c>
      <c r="D6" s="21" t="n">
        <f aca="false">IF(D$2&lt;=36,INDEX(Annahmen!$B$36:$B$47,INT((D$2-1)/3)+1,1),IF(D$2&lt;=48,Annahmen!$B$48,Annahmen!$B$49))</f>
        <v>45</v>
      </c>
      <c r="E6" s="21" t="n">
        <f aca="false">IF(E$2&lt;=36,INDEX(Annahmen!$B$36:$B$47,INT((E$2-1)/3)+1,1),IF(E$2&lt;=48,Annahmen!$B$48,Annahmen!$B$49))</f>
        <v>45</v>
      </c>
      <c r="F6" s="21" t="n">
        <f aca="false">IF(F$2&lt;=36,INDEX(Annahmen!$B$36:$B$47,INT((F$2-1)/3)+1,1),IF(F$2&lt;=48,Annahmen!$B$48,Annahmen!$B$49))</f>
        <v>45</v>
      </c>
      <c r="G6" s="21" t="n">
        <f aca="false">IF(G$2&lt;=36,INDEX(Annahmen!$B$36:$B$47,INT((G$2-1)/3)+1,1),IF(G$2&lt;=48,Annahmen!$B$48,Annahmen!$B$49))</f>
        <v>45</v>
      </c>
      <c r="H6" s="21" t="n">
        <f aca="false">IF(H$2&lt;=36,INDEX(Annahmen!$B$36:$B$47,INT((H$2-1)/3)+1,1),IF(H$2&lt;=48,Annahmen!$B$48,Annahmen!$B$49))</f>
        <v>45</v>
      </c>
      <c r="I6" s="21" t="n">
        <f aca="false">IF(I$2&lt;=36,INDEX(Annahmen!$B$36:$B$47,INT((I$2-1)/3)+1,1),IF(I$2&lt;=48,Annahmen!$B$48,Annahmen!$B$49))</f>
        <v>45</v>
      </c>
      <c r="J6" s="21" t="n">
        <f aca="false">IF(J$2&lt;=36,INDEX(Annahmen!$B$36:$B$47,INT((J$2-1)/3)+1,1),IF(J$2&lt;=48,Annahmen!$B$48,Annahmen!$B$49))</f>
        <v>45</v>
      </c>
      <c r="K6" s="21" t="n">
        <f aca="false">IF(K$2&lt;=36,INDEX(Annahmen!$B$36:$B$47,INT((K$2-1)/3)+1,1),IF(K$2&lt;=48,Annahmen!$B$48,Annahmen!$B$49))</f>
        <v>45</v>
      </c>
      <c r="L6" s="21" t="n">
        <f aca="false">IF(L$2&lt;=36,INDEX(Annahmen!$B$36:$B$47,INT((L$2-1)/3)+1,1),IF(L$2&lt;=48,Annahmen!$B$48,Annahmen!$B$49))</f>
        <v>45</v>
      </c>
      <c r="M6" s="21" t="n">
        <f aca="false">IF(M$2&lt;=36,INDEX(Annahmen!$B$36:$B$47,INT((M$2-1)/3)+1,1),IF(M$2&lt;=48,Annahmen!$B$48,Annahmen!$B$49))</f>
        <v>45</v>
      </c>
      <c r="N6" s="21" t="n">
        <f aca="false">IF(N$2&lt;=36,INDEX(Annahmen!$B$36:$B$47,INT((N$2-1)/3)+1,1),IF(N$2&lt;=48,Annahmen!$B$48,Annahmen!$B$49))</f>
        <v>45</v>
      </c>
      <c r="O6" s="21" t="n">
        <f aca="false">IF(O$2&lt;=36,INDEX(Annahmen!$B$36:$B$47,INT((O$2-1)/3)+1,1),IF(O$2&lt;=48,Annahmen!$B$48,Annahmen!$B$49))</f>
        <v>55</v>
      </c>
      <c r="P6" s="21" t="n">
        <f aca="false">IF(P$2&lt;=36,INDEX(Annahmen!$B$36:$B$47,INT((P$2-1)/3)+1,1),IF(P$2&lt;=48,Annahmen!$B$48,Annahmen!$B$49))</f>
        <v>55</v>
      </c>
      <c r="Q6" s="21" t="n">
        <f aca="false">IF(Q$2&lt;=36,INDEX(Annahmen!$B$36:$B$47,INT((Q$2-1)/3)+1,1),IF(Q$2&lt;=48,Annahmen!$B$48,Annahmen!$B$49))</f>
        <v>55</v>
      </c>
      <c r="R6" s="21" t="n">
        <f aca="false">IF(R$2&lt;=36,INDEX(Annahmen!$B$36:$B$47,INT((R$2-1)/3)+1,1),IF(R$2&lt;=48,Annahmen!$B$48,Annahmen!$B$49))</f>
        <v>55</v>
      </c>
      <c r="S6" s="21" t="n">
        <f aca="false">IF(S$2&lt;=36,INDEX(Annahmen!$B$36:$B$47,INT((S$2-1)/3)+1,1),IF(S$2&lt;=48,Annahmen!$B$48,Annahmen!$B$49))</f>
        <v>55</v>
      </c>
      <c r="T6" s="21" t="n">
        <f aca="false">IF(T$2&lt;=36,INDEX(Annahmen!$B$36:$B$47,INT((T$2-1)/3)+1,1),IF(T$2&lt;=48,Annahmen!$B$48,Annahmen!$B$49))</f>
        <v>55</v>
      </c>
      <c r="U6" s="21" t="n">
        <f aca="false">IF(U$2&lt;=36,INDEX(Annahmen!$B$36:$B$47,INT((U$2-1)/3)+1,1),IF(U$2&lt;=48,Annahmen!$B$48,Annahmen!$B$49))</f>
        <v>55</v>
      </c>
      <c r="V6" s="21" t="n">
        <f aca="false">IF(V$2&lt;=36,INDEX(Annahmen!$B$36:$B$47,INT((V$2-1)/3)+1,1),IF(V$2&lt;=48,Annahmen!$B$48,Annahmen!$B$49))</f>
        <v>55</v>
      </c>
      <c r="W6" s="21" t="n">
        <f aca="false">IF(W$2&lt;=36,INDEX(Annahmen!$B$36:$B$47,INT((W$2-1)/3)+1,1),IF(W$2&lt;=48,Annahmen!$B$48,Annahmen!$B$49))</f>
        <v>55</v>
      </c>
      <c r="X6" s="21" t="n">
        <f aca="false">IF(X$2&lt;=36,INDEX(Annahmen!$B$36:$B$47,INT((X$2-1)/3)+1,1),IF(X$2&lt;=48,Annahmen!$B$48,Annahmen!$B$49))</f>
        <v>55</v>
      </c>
      <c r="Y6" s="21" t="n">
        <f aca="false">IF(Y$2&lt;=36,INDEX(Annahmen!$B$36:$B$47,INT((Y$2-1)/3)+1,1),IF(Y$2&lt;=48,Annahmen!$B$48,Annahmen!$B$49))</f>
        <v>55</v>
      </c>
      <c r="Z6" s="21" t="n">
        <f aca="false">IF(Z$2&lt;=36,INDEX(Annahmen!$B$36:$B$47,INT((Z$2-1)/3)+1,1),IF(Z$2&lt;=48,Annahmen!$B$48,Annahmen!$B$49))</f>
        <v>55</v>
      </c>
    </row>
    <row r="7" customFormat="false" ht="15" hidden="false" customHeight="false" outlineLevel="0" collapsed="false">
      <c r="A7" s="5" t="s">
        <v>217</v>
      </c>
      <c r="C7" s="21" t="n">
        <f aca="false">C6*Annahmen!$B$19</f>
        <v>22.5</v>
      </c>
      <c r="D7" s="21" t="n">
        <f aca="false">D6*Annahmen!$B$19</f>
        <v>22.5</v>
      </c>
      <c r="E7" s="21" t="n">
        <f aca="false">E6*Annahmen!$B$19</f>
        <v>22.5</v>
      </c>
      <c r="F7" s="21" t="n">
        <f aca="false">F6*Annahmen!$B$19</f>
        <v>22.5</v>
      </c>
      <c r="G7" s="21" t="n">
        <f aca="false">G6*Annahmen!$B$19</f>
        <v>22.5</v>
      </c>
      <c r="H7" s="21" t="n">
        <f aca="false">H6*Annahmen!$B$19</f>
        <v>22.5</v>
      </c>
      <c r="I7" s="21" t="n">
        <f aca="false">I6*Annahmen!$B$19</f>
        <v>22.5</v>
      </c>
      <c r="J7" s="21" t="n">
        <f aca="false">J6*Annahmen!$B$19</f>
        <v>22.5</v>
      </c>
      <c r="K7" s="21" t="n">
        <f aca="false">K6*Annahmen!$B$19</f>
        <v>22.5</v>
      </c>
      <c r="L7" s="21" t="n">
        <f aca="false">L6*Annahmen!$B$19</f>
        <v>22.5</v>
      </c>
      <c r="M7" s="21" t="n">
        <f aca="false">M6*Annahmen!$B$19</f>
        <v>22.5</v>
      </c>
      <c r="N7" s="21" t="n">
        <f aca="false">N6*Annahmen!$B$19</f>
        <v>22.5</v>
      </c>
      <c r="O7" s="21" t="n">
        <f aca="false">O6*Annahmen!$B$19</f>
        <v>27.5</v>
      </c>
      <c r="P7" s="21" t="n">
        <f aca="false">P6*Annahmen!$B$19</f>
        <v>27.5</v>
      </c>
      <c r="Q7" s="21" t="n">
        <f aca="false">Q6*Annahmen!$B$19</f>
        <v>27.5</v>
      </c>
      <c r="R7" s="21" t="n">
        <f aca="false">R6*Annahmen!$B$19</f>
        <v>27.5</v>
      </c>
      <c r="S7" s="21" t="n">
        <f aca="false">S6*Annahmen!$B$19</f>
        <v>27.5</v>
      </c>
      <c r="T7" s="21" t="n">
        <f aca="false">T6*Annahmen!$B$19</f>
        <v>27.5</v>
      </c>
      <c r="U7" s="21" t="n">
        <f aca="false">U6*Annahmen!$B$19</f>
        <v>27.5</v>
      </c>
      <c r="V7" s="21" t="n">
        <f aca="false">V6*Annahmen!$B$19</f>
        <v>27.5</v>
      </c>
      <c r="W7" s="21" t="n">
        <f aca="false">W6*Annahmen!$B$19</f>
        <v>27.5</v>
      </c>
      <c r="X7" s="21" t="n">
        <f aca="false">X6*Annahmen!$B$19</f>
        <v>27.5</v>
      </c>
      <c r="Y7" s="21" t="n">
        <f aca="false">Y6*Annahmen!$B$19</f>
        <v>27.5</v>
      </c>
      <c r="Z7" s="21" t="n">
        <f aca="false">Z6*Annahmen!$B$19</f>
        <v>27.5</v>
      </c>
    </row>
    <row r="8" customFormat="false" ht="15" hidden="false" customHeight="false" outlineLevel="0" collapsed="false">
      <c r="A8" s="5" t="s">
        <v>218</v>
      </c>
      <c r="C8" s="21" t="n">
        <f aca="false">C6*Annahmen!$B$20</f>
        <v>17.1</v>
      </c>
      <c r="D8" s="21" t="n">
        <f aca="false">D6*Annahmen!$B$20</f>
        <v>17.1</v>
      </c>
      <c r="E8" s="21" t="n">
        <f aca="false">E6*Annahmen!$B$20</f>
        <v>17.1</v>
      </c>
      <c r="F8" s="21" t="n">
        <f aca="false">F6*Annahmen!$B$20</f>
        <v>17.1</v>
      </c>
      <c r="G8" s="21" t="n">
        <f aca="false">G6*Annahmen!$B$20</f>
        <v>17.1</v>
      </c>
      <c r="H8" s="21" t="n">
        <f aca="false">H6*Annahmen!$B$20</f>
        <v>17.1</v>
      </c>
      <c r="I8" s="21" t="n">
        <f aca="false">I6*Annahmen!$B$20</f>
        <v>17.1</v>
      </c>
      <c r="J8" s="21" t="n">
        <f aca="false">J6*Annahmen!$B$20</f>
        <v>17.1</v>
      </c>
      <c r="K8" s="21" t="n">
        <f aca="false">K6*Annahmen!$B$20</f>
        <v>17.1</v>
      </c>
      <c r="L8" s="21" t="n">
        <f aca="false">L6*Annahmen!$B$20</f>
        <v>17.1</v>
      </c>
      <c r="M8" s="21" t="n">
        <f aca="false">M6*Annahmen!$B$20</f>
        <v>17.1</v>
      </c>
      <c r="N8" s="21" t="n">
        <f aca="false">N6*Annahmen!$B$20</f>
        <v>17.1</v>
      </c>
      <c r="O8" s="21" t="n">
        <f aca="false">O6*Annahmen!$B$20</f>
        <v>20.9</v>
      </c>
      <c r="P8" s="21" t="n">
        <f aca="false">P6*Annahmen!$B$20</f>
        <v>20.9</v>
      </c>
      <c r="Q8" s="21" t="n">
        <f aca="false">Q6*Annahmen!$B$20</f>
        <v>20.9</v>
      </c>
      <c r="R8" s="21" t="n">
        <f aca="false">R6*Annahmen!$B$20</f>
        <v>20.9</v>
      </c>
      <c r="S8" s="21" t="n">
        <f aca="false">S6*Annahmen!$B$20</f>
        <v>20.9</v>
      </c>
      <c r="T8" s="21" t="n">
        <f aca="false">T6*Annahmen!$B$20</f>
        <v>20.9</v>
      </c>
      <c r="U8" s="21" t="n">
        <f aca="false">U6*Annahmen!$B$20</f>
        <v>20.9</v>
      </c>
      <c r="V8" s="21" t="n">
        <f aca="false">V6*Annahmen!$B$20</f>
        <v>20.9</v>
      </c>
      <c r="W8" s="21" t="n">
        <f aca="false">W6*Annahmen!$B$20</f>
        <v>20.9</v>
      </c>
      <c r="X8" s="21" t="n">
        <f aca="false">X6*Annahmen!$B$20</f>
        <v>20.9</v>
      </c>
      <c r="Y8" s="21" t="n">
        <f aca="false">Y6*Annahmen!$B$20</f>
        <v>20.9</v>
      </c>
      <c r="Z8" s="21" t="n">
        <f aca="false">Z6*Annahmen!$B$20</f>
        <v>20.9</v>
      </c>
    </row>
    <row r="9" customFormat="false" ht="15" hidden="false" customHeight="false" outlineLevel="0" collapsed="false">
      <c r="A9" s="5" t="s">
        <v>219</v>
      </c>
      <c r="C9" s="21" t="n">
        <f aca="false">C6*Annahmen!$B$21</f>
        <v>5.4</v>
      </c>
      <c r="D9" s="21" t="n">
        <f aca="false">D6*Annahmen!$B$21</f>
        <v>5.4</v>
      </c>
      <c r="E9" s="21" t="n">
        <f aca="false">E6*Annahmen!$B$21</f>
        <v>5.4</v>
      </c>
      <c r="F9" s="21" t="n">
        <f aca="false">F6*Annahmen!$B$21</f>
        <v>5.4</v>
      </c>
      <c r="G9" s="21" t="n">
        <f aca="false">G6*Annahmen!$B$21</f>
        <v>5.4</v>
      </c>
      <c r="H9" s="21" t="n">
        <f aca="false">H6*Annahmen!$B$21</f>
        <v>5.4</v>
      </c>
      <c r="I9" s="21" t="n">
        <f aca="false">I6*Annahmen!$B$21</f>
        <v>5.4</v>
      </c>
      <c r="J9" s="21" t="n">
        <f aca="false">J6*Annahmen!$B$21</f>
        <v>5.4</v>
      </c>
      <c r="K9" s="21" t="n">
        <f aca="false">K6*Annahmen!$B$21</f>
        <v>5.4</v>
      </c>
      <c r="L9" s="21" t="n">
        <f aca="false">L6*Annahmen!$B$21</f>
        <v>5.4</v>
      </c>
      <c r="M9" s="21" t="n">
        <f aca="false">M6*Annahmen!$B$21</f>
        <v>5.4</v>
      </c>
      <c r="N9" s="21" t="n">
        <f aca="false">N6*Annahmen!$B$21</f>
        <v>5.4</v>
      </c>
      <c r="O9" s="21" t="n">
        <f aca="false">O6*Annahmen!$B$21</f>
        <v>6.6</v>
      </c>
      <c r="P9" s="21" t="n">
        <f aca="false">P6*Annahmen!$B$21</f>
        <v>6.6</v>
      </c>
      <c r="Q9" s="21" t="n">
        <f aca="false">Q6*Annahmen!$B$21</f>
        <v>6.6</v>
      </c>
      <c r="R9" s="21" t="n">
        <f aca="false">R6*Annahmen!$B$21</f>
        <v>6.6</v>
      </c>
      <c r="S9" s="21" t="n">
        <f aca="false">S6*Annahmen!$B$21</f>
        <v>6.6</v>
      </c>
      <c r="T9" s="21" t="n">
        <f aca="false">T6*Annahmen!$B$21</f>
        <v>6.6</v>
      </c>
      <c r="U9" s="21" t="n">
        <f aca="false">U6*Annahmen!$B$21</f>
        <v>6.6</v>
      </c>
      <c r="V9" s="21" t="n">
        <f aca="false">V6*Annahmen!$B$21</f>
        <v>6.6</v>
      </c>
      <c r="W9" s="21" t="n">
        <f aca="false">W6*Annahmen!$B$21</f>
        <v>6.6</v>
      </c>
      <c r="X9" s="21" t="n">
        <f aca="false">X6*Annahmen!$B$21</f>
        <v>6.6</v>
      </c>
      <c r="Y9" s="21" t="n">
        <f aca="false">Y6*Annahmen!$B$21</f>
        <v>6.6</v>
      </c>
      <c r="Z9" s="21" t="n">
        <f aca="false">Z6*Annahmen!$B$21</f>
        <v>6.6</v>
      </c>
    </row>
    <row r="10" customFormat="false" ht="15" hidden="false" customHeight="false" outlineLevel="0" collapsed="false">
      <c r="A10" s="5" t="s">
        <v>220</v>
      </c>
      <c r="B10" s="21" t="n">
        <f aca="false">'Monat 1–36'!$AL$10</f>
        <v>278.841980450599</v>
      </c>
      <c r="C10" s="21" t="n">
        <f aca="false">B10*(1-Annahmen!$B$31)+C7</f>
        <v>292.976721037081</v>
      </c>
      <c r="D10" s="21" t="n">
        <f aca="false">C10*(1-Annahmen!$B$31)+D7</f>
        <v>306.687419405969</v>
      </c>
      <c r="E10" s="21" t="n">
        <f aca="false">D10*(1-Annahmen!$B$31)+E7</f>
        <v>319.98679682379</v>
      </c>
      <c r="F10" s="21" t="n">
        <f aca="false">E10*(1-Annahmen!$B$31)+F7</f>
        <v>332.887192919076</v>
      </c>
      <c r="G10" s="21" t="n">
        <f aca="false">F10*(1-Annahmen!$B$31)+G7</f>
        <v>345.400577131504</v>
      </c>
      <c r="H10" s="21" t="n">
        <f aca="false">G10*(1-Annahmen!$B$31)+H7</f>
        <v>357.538559817559</v>
      </c>
      <c r="I10" s="21" t="n">
        <f aca="false">H10*(1-Annahmen!$B$31)+I7</f>
        <v>369.312403023032</v>
      </c>
      <c r="J10" s="21" t="n">
        <f aca="false">I10*(1-Annahmen!$B$31)+J7</f>
        <v>380.733030932341</v>
      </c>
      <c r="K10" s="21" t="n">
        <f aca="false">J10*(1-Annahmen!$B$31)+K7</f>
        <v>391.811040004371</v>
      </c>
      <c r="L10" s="21" t="n">
        <f aca="false">K10*(1-Annahmen!$B$31)+L7</f>
        <v>402.556708804239</v>
      </c>
      <c r="M10" s="21" t="n">
        <f aca="false">L10*(1-Annahmen!$B$31)+M7</f>
        <v>412.980007540112</v>
      </c>
      <c r="N10" s="21" t="n">
        <f aca="false">M10*(1-Annahmen!$B$31)+N7</f>
        <v>423.090607313909</v>
      </c>
      <c r="O10" s="21" t="n">
        <f aca="false">N10*(1-Annahmen!$B$31)+O7</f>
        <v>437.897889094492</v>
      </c>
      <c r="P10" s="21" t="n">
        <f aca="false">O10*(1-Annahmen!$B$31)+P7</f>
        <v>452.260952421657</v>
      </c>
      <c r="Q10" s="21" t="n">
        <f aca="false">P10*(1-Annahmen!$B$31)+Q7</f>
        <v>466.193123849007</v>
      </c>
      <c r="R10" s="21" t="n">
        <f aca="false">Q10*(1-Annahmen!$B$31)+R7</f>
        <v>479.707330133537</v>
      </c>
      <c r="S10" s="21" t="n">
        <f aca="false">R10*(1-Annahmen!$B$31)+S7</f>
        <v>492.816110229531</v>
      </c>
      <c r="T10" s="21" t="n">
        <f aca="false">S10*(1-Annahmen!$B$31)+T7</f>
        <v>505.531626922645</v>
      </c>
      <c r="U10" s="21" t="n">
        <f aca="false">T10*(1-Annahmen!$B$31)+U7</f>
        <v>517.865678114966</v>
      </c>
      <c r="V10" s="21" t="n">
        <f aca="false">U10*(1-Annahmen!$B$31)+V7</f>
        <v>529.829707771517</v>
      </c>
      <c r="W10" s="21" t="n">
        <f aca="false">V10*(1-Annahmen!$B$31)+W7</f>
        <v>541.434816538371</v>
      </c>
      <c r="X10" s="21" t="n">
        <f aca="false">W10*(1-Annahmen!$B$31)+X7</f>
        <v>552.69177204222</v>
      </c>
      <c r="Y10" s="21" t="n">
        <f aca="false">X10*(1-Annahmen!$B$31)+Y7</f>
        <v>563.611018880953</v>
      </c>
      <c r="Z10" s="21" t="n">
        <f aca="false">Y10*(1-Annahmen!$B$31)+Z7</f>
        <v>574.202688314525</v>
      </c>
    </row>
    <row r="11" customFormat="false" ht="15" hidden="false" customHeight="false" outlineLevel="0" collapsed="false">
      <c r="A11" s="5" t="s">
        <v>221</v>
      </c>
      <c r="B11" s="21" t="n">
        <f aca="false">'Monat 1–36'!$AL$11</f>
        <v>235.132139292835</v>
      </c>
      <c r="C11" s="21" t="n">
        <f aca="false">B11*(1-Annahmen!$B$32)+C8</f>
        <v>247.529496506978</v>
      </c>
      <c r="D11" s="21" t="n">
        <f aca="false">C11*(1-Annahmen!$B$32)+D8</f>
        <v>259.678906576839</v>
      </c>
      <c r="E11" s="21" t="n">
        <f aca="false">D11*(1-Annahmen!$B$32)+E8</f>
        <v>271.585328445302</v>
      </c>
      <c r="F11" s="21" t="n">
        <f aca="false">E11*(1-Annahmen!$B$32)+F8</f>
        <v>283.253621876396</v>
      </c>
      <c r="G11" s="21" t="n">
        <f aca="false">F11*(1-Annahmen!$B$32)+G8</f>
        <v>294.688549438868</v>
      </c>
      <c r="H11" s="21" t="n">
        <f aca="false">G11*(1-Annahmen!$B$32)+H8</f>
        <v>305.894778450091</v>
      </c>
      <c r="I11" s="21" t="n">
        <f aca="false">H11*(1-Annahmen!$B$32)+I8</f>
        <v>316.876882881089</v>
      </c>
      <c r="J11" s="21" t="n">
        <f aca="false">I11*(1-Annahmen!$B$32)+J8</f>
        <v>327.639345223467</v>
      </c>
      <c r="K11" s="21" t="n">
        <f aca="false">J11*(1-Annahmen!$B$32)+K8</f>
        <v>338.186558318998</v>
      </c>
      <c r="L11" s="21" t="n">
        <f aca="false">K11*(1-Annahmen!$B$32)+L8</f>
        <v>348.522827152618</v>
      </c>
      <c r="M11" s="21" t="n">
        <f aca="false">L11*(1-Annahmen!$B$32)+M8</f>
        <v>358.652370609566</v>
      </c>
      <c r="N11" s="21" t="n">
        <f aca="false">M11*(1-Annahmen!$B$32)+N8</f>
        <v>368.579323197374</v>
      </c>
      <c r="O11" s="21" t="n">
        <f aca="false">N11*(1-Annahmen!$B$32)+O8</f>
        <v>382.107736733427</v>
      </c>
      <c r="P11" s="21" t="n">
        <f aca="false">O11*(1-Annahmen!$B$32)+P8</f>
        <v>395.365581998758</v>
      </c>
      <c r="Q11" s="21" t="n">
        <f aca="false">P11*(1-Annahmen!$B$32)+Q8</f>
        <v>408.358270358783</v>
      </c>
      <c r="R11" s="21" t="n">
        <f aca="false">Q11*(1-Annahmen!$B$32)+R8</f>
        <v>421.091104951607</v>
      </c>
      <c r="S11" s="21" t="n">
        <f aca="false">R11*(1-Annahmen!$B$32)+S8</f>
        <v>433.569282852575</v>
      </c>
      <c r="T11" s="21" t="n">
        <f aca="false">S11*(1-Annahmen!$B$32)+T8</f>
        <v>445.797897195524</v>
      </c>
      <c r="U11" s="21" t="n">
        <f aca="false">T11*(1-Annahmen!$B$32)+U8</f>
        <v>457.781939251613</v>
      </c>
      <c r="V11" s="21" t="n">
        <f aca="false">U11*(1-Annahmen!$B$32)+V8</f>
        <v>469.526300466581</v>
      </c>
      <c r="W11" s="21" t="n">
        <f aca="false">V11*(1-Annahmen!$B$32)+W8</f>
        <v>481.035774457249</v>
      </c>
      <c r="X11" s="21" t="n">
        <f aca="false">W11*(1-Annahmen!$B$32)+X8</f>
        <v>492.315058968104</v>
      </c>
      <c r="Y11" s="21" t="n">
        <f aca="false">X11*(1-Annahmen!$B$32)+Y8</f>
        <v>503.368757788742</v>
      </c>
      <c r="Z11" s="21" t="n">
        <f aca="false">Y11*(1-Annahmen!$B$32)+Z8</f>
        <v>514.201382632967</v>
      </c>
    </row>
    <row r="12" customFormat="false" ht="15" hidden="false" customHeight="false" outlineLevel="0" collapsed="false">
      <c r="A12" s="5" t="s">
        <v>222</v>
      </c>
      <c r="B12" s="21" t="n">
        <f aca="false">'Monat 1–36'!$AL$12</f>
        <v>81.0439620230992</v>
      </c>
      <c r="C12" s="21" t="n">
        <f aca="false">B12*(1-Annahmen!$B$33)+C9</f>
        <v>85.471434478822</v>
      </c>
      <c r="D12" s="21" t="n">
        <f aca="false">C12*(1-Annahmen!$B$33)+D9</f>
        <v>89.8457772650761</v>
      </c>
      <c r="E12" s="21" t="n">
        <f aca="false">D12*(1-Annahmen!$B$33)+E9</f>
        <v>94.1676279378952</v>
      </c>
      <c r="F12" s="21" t="n">
        <f aca="false">E12*(1-Annahmen!$B$33)+F9</f>
        <v>98.4376164026405</v>
      </c>
      <c r="G12" s="21" t="n">
        <f aca="false">F12*(1-Annahmen!$B$33)+G9</f>
        <v>102.656365005809</v>
      </c>
      <c r="H12" s="21" t="n">
        <f aca="false">G12*(1-Annahmen!$B$33)+H9</f>
        <v>106.824488625739</v>
      </c>
      <c r="I12" s="21" t="n">
        <f aca="false">H12*(1-Annahmen!$B$33)+I9</f>
        <v>110.94259476223</v>
      </c>
      <c r="J12" s="21" t="n">
        <f aca="false">I12*(1-Annahmen!$B$33)+J9</f>
        <v>115.011283625083</v>
      </c>
      <c r="K12" s="21" t="n">
        <f aca="false">J12*(1-Annahmen!$B$33)+K9</f>
        <v>119.031148221582</v>
      </c>
      <c r="L12" s="21" t="n">
        <f aca="false">K12*(1-Annahmen!$B$33)+L9</f>
        <v>123.002774442924</v>
      </c>
      <c r="M12" s="21" t="n">
        <f aca="false">L12*(1-Annahmen!$B$33)+M9</f>
        <v>126.926741149608</v>
      </c>
      <c r="N12" s="21" t="n">
        <f aca="false">M12*(1-Annahmen!$B$33)+N9</f>
        <v>130.803620255813</v>
      </c>
      <c r="O12" s="21" t="n">
        <f aca="false">N12*(1-Annahmen!$B$33)+O9</f>
        <v>135.833976812743</v>
      </c>
      <c r="P12" s="21" t="n">
        <f aca="false">O12*(1-Annahmen!$B$33)+P9</f>
        <v>140.80396909099</v>
      </c>
      <c r="Q12" s="21" t="n">
        <f aca="false">P12*(1-Annahmen!$B$33)+Q9</f>
        <v>145.714321461899</v>
      </c>
      <c r="R12" s="21" t="n">
        <f aca="false">Q12*(1-Annahmen!$B$33)+R9</f>
        <v>150.565749604356</v>
      </c>
      <c r="S12" s="21" t="n">
        <f aca="false">R12*(1-Annahmen!$B$33)+S9</f>
        <v>155.358960609103</v>
      </c>
      <c r="T12" s="21" t="n">
        <f aca="false">S12*(1-Annahmen!$B$33)+T9</f>
        <v>160.094653081794</v>
      </c>
      <c r="U12" s="21" t="n">
        <f aca="false">T12*(1-Annahmen!$B$33)+U9</f>
        <v>164.773517244813</v>
      </c>
      <c r="V12" s="21" t="n">
        <f aca="false">U12*(1-Annahmen!$B$33)+V9</f>
        <v>169.396235037875</v>
      </c>
      <c r="W12" s="21" t="n">
        <f aca="false">V12*(1-Annahmen!$B$33)+W9</f>
        <v>173.96348021742</v>
      </c>
      <c r="X12" s="21" t="n">
        <f aca="false">W12*(1-Annahmen!$B$33)+X9</f>
        <v>178.475918454811</v>
      </c>
      <c r="Y12" s="21" t="n">
        <f aca="false">X12*(1-Annahmen!$B$33)+Y9</f>
        <v>182.934207433354</v>
      </c>
      <c r="Z12" s="21" t="n">
        <f aca="false">Y12*(1-Annahmen!$B$33)+Z9</f>
        <v>187.338996944153</v>
      </c>
    </row>
    <row r="13" customFormat="false" ht="15" hidden="false" customHeight="false" outlineLevel="0" collapsed="false">
      <c r="A13" s="22" t="s">
        <v>223</v>
      </c>
      <c r="B13" s="23" t="n">
        <f aca="false">B10+B11+B12</f>
        <v>595.018081766534</v>
      </c>
      <c r="C13" s="24" t="n">
        <f aca="false">C10+C11+C12</f>
        <v>625.977652022882</v>
      </c>
      <c r="D13" s="24" t="n">
        <f aca="false">D10+D11+D12</f>
        <v>656.212103247884</v>
      </c>
      <c r="E13" s="24" t="n">
        <f aca="false">E10+E11+E12</f>
        <v>685.739753206987</v>
      </c>
      <c r="F13" s="24" t="n">
        <f aca="false">F10+F11+F12</f>
        <v>714.578431198113</v>
      </c>
      <c r="G13" s="24" t="n">
        <f aca="false">G10+G11+G12</f>
        <v>742.745491576181</v>
      </c>
      <c r="H13" s="24" t="n">
        <f aca="false">H10+H11+H12</f>
        <v>770.257826893389</v>
      </c>
      <c r="I13" s="24" t="n">
        <f aca="false">I10+I11+I12</f>
        <v>797.131880666351</v>
      </c>
      <c r="J13" s="24" t="n">
        <f aca="false">J10+J11+J12</f>
        <v>823.383659780892</v>
      </c>
      <c r="K13" s="24" t="n">
        <f aca="false">K10+K11+K12</f>
        <v>849.028746544951</v>
      </c>
      <c r="L13" s="24" t="n">
        <f aca="false">L10+L11+L12</f>
        <v>874.082310399781</v>
      </c>
      <c r="M13" s="24" t="n">
        <f aca="false">M10+M11+M12</f>
        <v>898.559119299286</v>
      </c>
      <c r="N13" s="24" t="n">
        <f aca="false">N10+N11+N12</f>
        <v>922.473550767096</v>
      </c>
      <c r="O13" s="24" t="n">
        <f aca="false">O10+O11+O12</f>
        <v>955.839602640662</v>
      </c>
      <c r="P13" s="24" t="n">
        <f aca="false">P10+P11+P12</f>
        <v>988.430503511406</v>
      </c>
      <c r="Q13" s="24" t="n">
        <f aca="false">Q10+Q11+Q12</f>
        <v>1020.26571566969</v>
      </c>
      <c r="R13" s="24" t="n">
        <f aca="false">R10+R11+R12</f>
        <v>1051.3641846895</v>
      </c>
      <c r="S13" s="24" t="n">
        <f aca="false">S10+S11+S12</f>
        <v>1081.74435369121</v>
      </c>
      <c r="T13" s="24" t="n">
        <f aca="false">T10+T11+T12</f>
        <v>1111.42417719996</v>
      </c>
      <c r="U13" s="24" t="n">
        <f aca="false">U10+U11+U12</f>
        <v>1140.42113461139</v>
      </c>
      <c r="V13" s="24" t="n">
        <f aca="false">V10+V11+V12</f>
        <v>1168.75224327597</v>
      </c>
      <c r="W13" s="24" t="n">
        <f aca="false">W10+W11+W12</f>
        <v>1196.43407121304</v>
      </c>
      <c r="X13" s="24" t="n">
        <f aca="false">X10+X11+X12</f>
        <v>1223.48274946514</v>
      </c>
      <c r="Y13" s="24" t="n">
        <f aca="false">Y10+Y11+Y12</f>
        <v>1249.91398410305</v>
      </c>
      <c r="Z13" s="24" t="n">
        <f aca="false">Z10+Z11+Z12</f>
        <v>1275.74306789165</v>
      </c>
    </row>
    <row r="14" customFormat="false" ht="15" hidden="false" customHeight="false" outlineLevel="0" collapsed="false">
      <c r="A14" s="5" t="s">
        <v>224</v>
      </c>
      <c r="C14" s="21" t="n">
        <f aca="false">B10*Annahmen!$B$31+B11*Annahmen!$B$32+B12*Annahmen!$B$33</f>
        <v>14.0404297436519</v>
      </c>
      <c r="D14" s="21" t="n">
        <f aca="false">C10*Annahmen!$B$31+C11*Annahmen!$B$32+C12*Annahmen!$B$33</f>
        <v>14.7655487749979</v>
      </c>
      <c r="E14" s="21" t="n">
        <f aca="false">D10*Annahmen!$B$31+D11*Annahmen!$B$32+D12*Annahmen!$B$33</f>
        <v>15.4723500408968</v>
      </c>
      <c r="F14" s="21" t="n">
        <f aca="false">E10*Annahmen!$B$31+E11*Annahmen!$B$32+E12*Annahmen!$B$33</f>
        <v>16.1613220088745</v>
      </c>
      <c r="G14" s="21" t="n">
        <f aca="false">F10*Annahmen!$B$31+F11*Annahmen!$B$32+F12*Annahmen!$B$33</f>
        <v>16.8329396219319</v>
      </c>
      <c r="H14" s="21" t="n">
        <f aca="false">G10*Annahmen!$B$31+G11*Annahmen!$B$32+G12*Annahmen!$B$33</f>
        <v>17.4876646827922</v>
      </c>
      <c r="I14" s="21" t="n">
        <f aca="false">H10*Annahmen!$B$31+H11*Annahmen!$B$32+H12*Annahmen!$B$33</f>
        <v>18.1259462270374</v>
      </c>
      <c r="J14" s="21" t="n">
        <f aca="false">I10*Annahmen!$B$31+I11*Annahmen!$B$32+I12*Annahmen!$B$33</f>
        <v>18.7482208854595</v>
      </c>
      <c r="K14" s="21" t="n">
        <f aca="false">J10*Annahmen!$B$31+J11*Annahmen!$B$32+J12*Annahmen!$B$33</f>
        <v>19.3549132359406</v>
      </c>
      <c r="L14" s="21" t="n">
        <f aca="false">K10*Annahmen!$B$31+K11*Annahmen!$B$32+K12*Annahmen!$B$33</f>
        <v>19.9464361451701</v>
      </c>
      <c r="M14" s="21" t="n">
        <f aca="false">L10*Annahmen!$B$31+L11*Annahmen!$B$32+L12*Annahmen!$B$33</f>
        <v>20.5231911004946</v>
      </c>
      <c r="N14" s="21" t="n">
        <f aca="false">M10*Annahmen!$B$31+M11*Annahmen!$B$32+M12*Annahmen!$B$33</f>
        <v>21.08556853219</v>
      </c>
      <c r="O14" s="21" t="n">
        <f aca="false">N10*Annahmen!$B$31+N11*Annahmen!$B$32+N12*Annahmen!$B$33</f>
        <v>21.6339481264345</v>
      </c>
      <c r="P14" s="21" t="n">
        <f aca="false">O10*Annahmen!$B$31+O11*Annahmen!$B$32+O12*Annahmen!$B$33</f>
        <v>22.4090991292562</v>
      </c>
      <c r="Q14" s="21" t="n">
        <f aca="false">P10*Annahmen!$B$31+P11*Annahmen!$B$32+P12*Annahmen!$B$33</f>
        <v>23.1647878417168</v>
      </c>
      <c r="R14" s="21" t="n">
        <f aca="false">Q10*Annahmen!$B$31+Q11*Annahmen!$B$32+Q12*Annahmen!$B$33</f>
        <v>23.9015309801887</v>
      </c>
      <c r="S14" s="21" t="n">
        <f aca="false">R10*Annahmen!$B$31+R11*Annahmen!$B$32+R12*Annahmen!$B$33</f>
        <v>24.6198309982905</v>
      </c>
      <c r="T14" s="21" t="n">
        <f aca="false">S10*Annahmen!$B$31+S11*Annahmen!$B$32+S12*Annahmen!$B$33</f>
        <v>25.3201764912467</v>
      </c>
      <c r="U14" s="21" t="n">
        <f aca="false">T10*Annahmen!$B$31+T11*Annahmen!$B$32+T12*Annahmen!$B$33</f>
        <v>26.0030425885714</v>
      </c>
      <c r="V14" s="21" t="n">
        <f aca="false">U10*Annahmen!$B$31+U11*Annahmen!$B$32+U12*Annahmen!$B$33</f>
        <v>26.668891335419</v>
      </c>
      <c r="W14" s="21" t="n">
        <f aca="false">V10*Annahmen!$B$31+V11*Annahmen!$B$32+V12*Annahmen!$B$33</f>
        <v>27.3181720629316</v>
      </c>
      <c r="X14" s="21" t="n">
        <f aca="false">W10*Annahmen!$B$31+W11*Annahmen!$B$32+W12*Annahmen!$B$33</f>
        <v>27.9513217479052</v>
      </c>
      <c r="Y14" s="21" t="n">
        <f aca="false">X10*Annahmen!$B$31+X11*Annahmen!$B$32+X12*Annahmen!$B$33</f>
        <v>28.5687653620864</v>
      </c>
      <c r="Z14" s="21" t="n">
        <f aca="false">Y10*Annahmen!$B$31+Y11*Annahmen!$B$32+Y12*Annahmen!$B$33</f>
        <v>29.1709162114037</v>
      </c>
    </row>
    <row r="15" customFormat="false" ht="15" hidden="false" customHeight="false" outlineLevel="0" collapsed="false">
      <c r="A15" s="5" t="s">
        <v>225</v>
      </c>
      <c r="C15" s="21" t="n">
        <f aca="false">C9*Annahmen!$B$24</f>
        <v>1.08</v>
      </c>
      <c r="D15" s="21" t="n">
        <f aca="false">D9*Annahmen!$B$24</f>
        <v>1.08</v>
      </c>
      <c r="E15" s="21" t="n">
        <f aca="false">E9*Annahmen!$B$24</f>
        <v>1.08</v>
      </c>
      <c r="F15" s="21" t="n">
        <f aca="false">F9*Annahmen!$B$24</f>
        <v>1.08</v>
      </c>
      <c r="G15" s="21" t="n">
        <f aca="false">G9*Annahmen!$B$24</f>
        <v>1.08</v>
      </c>
      <c r="H15" s="21" t="n">
        <f aca="false">H9*Annahmen!$B$24</f>
        <v>1.08</v>
      </c>
      <c r="I15" s="21" t="n">
        <f aca="false">I9*Annahmen!$B$24</f>
        <v>1.08</v>
      </c>
      <c r="J15" s="21" t="n">
        <f aca="false">J9*Annahmen!$B$24</f>
        <v>1.08</v>
      </c>
      <c r="K15" s="21" t="n">
        <f aca="false">K9*Annahmen!$B$24</f>
        <v>1.08</v>
      </c>
      <c r="L15" s="21" t="n">
        <f aca="false">L9*Annahmen!$B$24</f>
        <v>1.08</v>
      </c>
      <c r="M15" s="21" t="n">
        <f aca="false">M9*Annahmen!$B$24</f>
        <v>1.08</v>
      </c>
      <c r="N15" s="21" t="n">
        <f aca="false">N9*Annahmen!$B$24</f>
        <v>1.08</v>
      </c>
      <c r="O15" s="21" t="n">
        <f aca="false">O9*Annahmen!$B$24</f>
        <v>1.32</v>
      </c>
      <c r="P15" s="21" t="n">
        <f aca="false">P9*Annahmen!$B$24</f>
        <v>1.32</v>
      </c>
      <c r="Q15" s="21" t="n">
        <f aca="false">Q9*Annahmen!$B$24</f>
        <v>1.32</v>
      </c>
      <c r="R15" s="21" t="n">
        <f aca="false">R9*Annahmen!$B$24</f>
        <v>1.32</v>
      </c>
      <c r="S15" s="21" t="n">
        <f aca="false">S9*Annahmen!$B$24</f>
        <v>1.32</v>
      </c>
      <c r="T15" s="21" t="n">
        <f aca="false">T9*Annahmen!$B$24</f>
        <v>1.32</v>
      </c>
      <c r="U15" s="21" t="n">
        <f aca="false">U9*Annahmen!$B$24</f>
        <v>1.32</v>
      </c>
      <c r="V15" s="21" t="n">
        <f aca="false">V9*Annahmen!$B$24</f>
        <v>1.32</v>
      </c>
      <c r="W15" s="21" t="n">
        <f aca="false">W9*Annahmen!$B$24</f>
        <v>1.32</v>
      </c>
      <c r="X15" s="21" t="n">
        <f aca="false">X9*Annahmen!$B$24</f>
        <v>1.32</v>
      </c>
      <c r="Y15" s="21" t="n">
        <f aca="false">Y9*Annahmen!$B$24</f>
        <v>1.32</v>
      </c>
      <c r="Z15" s="21" t="n">
        <f aca="false">Z9*Annahmen!$B$24</f>
        <v>1.32</v>
      </c>
    </row>
    <row r="16" customFormat="false" ht="15" hidden="false" customHeight="false" outlineLevel="0" collapsed="false">
      <c r="A16" s="5" t="s">
        <v>226</v>
      </c>
      <c r="B16" s="21" t="n">
        <f aca="false">'Monat 1–36'!$AL$16</f>
        <v>16.2087924046198</v>
      </c>
      <c r="C16" s="21" t="n">
        <f aca="false">B16*(1-Annahmen!$B$33)+C15</f>
        <v>17.0942868957644</v>
      </c>
      <c r="D16" s="21" t="n">
        <f aca="false">C16*(1-Annahmen!$B$33)+D15</f>
        <v>17.9691554530152</v>
      </c>
      <c r="E16" s="21" t="n">
        <f aca="false">D16*(1-Annahmen!$B$33)+E15</f>
        <v>18.833525587579</v>
      </c>
      <c r="F16" s="21" t="n">
        <f aca="false">E16*(1-Annahmen!$B$33)+F15</f>
        <v>19.6875232805281</v>
      </c>
      <c r="G16" s="21" t="n">
        <f aca="false">F16*(1-Annahmen!$B$33)+G15</f>
        <v>20.5312730011617</v>
      </c>
      <c r="H16" s="21" t="n">
        <f aca="false">G16*(1-Annahmen!$B$33)+H15</f>
        <v>21.3648977251478</v>
      </c>
      <c r="I16" s="21" t="n">
        <f aca="false">H16*(1-Annahmen!$B$33)+I15</f>
        <v>22.188518952446</v>
      </c>
      <c r="J16" s="21" t="n">
        <f aca="false">I16*(1-Annahmen!$B$33)+J15</f>
        <v>23.0022567250167</v>
      </c>
      <c r="K16" s="21" t="n">
        <f aca="false">J16*(1-Annahmen!$B$33)+K15</f>
        <v>23.8062296443165</v>
      </c>
      <c r="L16" s="21" t="n">
        <f aca="false">K16*(1-Annahmen!$B$33)+L15</f>
        <v>24.6005548885847</v>
      </c>
      <c r="M16" s="21" t="n">
        <f aca="false">L16*(1-Annahmen!$B$33)+M15</f>
        <v>25.3853482299217</v>
      </c>
      <c r="N16" s="21" t="n">
        <f aca="false">M16*(1-Annahmen!$B$33)+N15</f>
        <v>26.1607240511626</v>
      </c>
      <c r="O16" s="21" t="n">
        <f aca="false">N16*(1-Annahmen!$B$33)+O15</f>
        <v>27.1667953625486</v>
      </c>
      <c r="P16" s="21" t="n">
        <f aca="false">O16*(1-Annahmen!$B$33)+P15</f>
        <v>28.1607938181981</v>
      </c>
      <c r="Q16" s="21" t="n">
        <f aca="false">P16*(1-Annahmen!$B$33)+Q15</f>
        <v>29.1428642923797</v>
      </c>
      <c r="R16" s="21" t="n">
        <f aca="false">Q16*(1-Annahmen!$B$33)+R15</f>
        <v>30.1131499208711</v>
      </c>
      <c r="S16" s="21" t="n">
        <f aca="false">R16*(1-Annahmen!$B$33)+S15</f>
        <v>31.0717921218207</v>
      </c>
      <c r="T16" s="21" t="n">
        <f aca="false">S16*(1-Annahmen!$B$33)+T15</f>
        <v>32.0189306163588</v>
      </c>
      <c r="U16" s="21" t="n">
        <f aca="false">T16*(1-Annahmen!$B$33)+U15</f>
        <v>32.9547034489625</v>
      </c>
      <c r="V16" s="21" t="n">
        <f aca="false">U16*(1-Annahmen!$B$33)+V15</f>
        <v>33.879247007575</v>
      </c>
      <c r="W16" s="21" t="n">
        <f aca="false">V16*(1-Annahmen!$B$33)+W15</f>
        <v>34.7926960434841</v>
      </c>
      <c r="X16" s="21" t="n">
        <f aca="false">W16*(1-Annahmen!$B$33)+X15</f>
        <v>35.6951836909622</v>
      </c>
      <c r="Y16" s="21" t="n">
        <f aca="false">X16*(1-Annahmen!$B$33)+Y15</f>
        <v>36.5868414866707</v>
      </c>
      <c r="Z16" s="21" t="n">
        <f aca="false">Y16*(1-Annahmen!$B$33)+Z15</f>
        <v>37.4677993888307</v>
      </c>
    </row>
    <row r="17" customFormat="false" ht="15" hidden="false" customHeight="false" outlineLevel="0" collapsed="false">
      <c r="A17" s="5" t="s">
        <v>227</v>
      </c>
      <c r="C17" s="25" t="n">
        <f aca="false">C6/Annahmen!$B$28</f>
        <v>128.571428571429</v>
      </c>
      <c r="D17" s="25" t="n">
        <f aca="false">D6/Annahmen!$B$28</f>
        <v>128.571428571429</v>
      </c>
      <c r="E17" s="25" t="n">
        <f aca="false">E6/Annahmen!$B$28</f>
        <v>128.571428571429</v>
      </c>
      <c r="F17" s="25" t="n">
        <f aca="false">F6/Annahmen!$B$28</f>
        <v>128.571428571429</v>
      </c>
      <c r="G17" s="25" t="n">
        <f aca="false">G6/Annahmen!$B$28</f>
        <v>128.571428571429</v>
      </c>
      <c r="H17" s="25" t="n">
        <f aca="false">H6/Annahmen!$B$28</f>
        <v>128.571428571429</v>
      </c>
      <c r="I17" s="25" t="n">
        <f aca="false">I6/Annahmen!$B$28</f>
        <v>128.571428571429</v>
      </c>
      <c r="J17" s="25" t="n">
        <f aca="false">J6/Annahmen!$B$28</f>
        <v>128.571428571429</v>
      </c>
      <c r="K17" s="25" t="n">
        <f aca="false">K6/Annahmen!$B$28</f>
        <v>128.571428571429</v>
      </c>
      <c r="L17" s="25" t="n">
        <f aca="false">L6/Annahmen!$B$28</f>
        <v>128.571428571429</v>
      </c>
      <c r="M17" s="25" t="n">
        <f aca="false">M6/Annahmen!$B$28</f>
        <v>128.571428571429</v>
      </c>
      <c r="N17" s="25" t="n">
        <f aca="false">N6/Annahmen!$B$28</f>
        <v>128.571428571429</v>
      </c>
      <c r="O17" s="25" t="n">
        <f aca="false">O6/Annahmen!$B$28</f>
        <v>157.142857142857</v>
      </c>
      <c r="P17" s="25" t="n">
        <f aca="false">P6/Annahmen!$B$28</f>
        <v>157.142857142857</v>
      </c>
      <c r="Q17" s="25" t="n">
        <f aca="false">Q6/Annahmen!$B$28</f>
        <v>157.142857142857</v>
      </c>
      <c r="R17" s="25" t="n">
        <f aca="false">R6/Annahmen!$B$28</f>
        <v>157.142857142857</v>
      </c>
      <c r="S17" s="25" t="n">
        <f aca="false">S6/Annahmen!$B$28</f>
        <v>157.142857142857</v>
      </c>
      <c r="T17" s="25" t="n">
        <f aca="false">T6/Annahmen!$B$28</f>
        <v>157.142857142857</v>
      </c>
      <c r="U17" s="25" t="n">
        <f aca="false">U6/Annahmen!$B$28</f>
        <v>157.142857142857</v>
      </c>
      <c r="V17" s="25" t="n">
        <f aca="false">V6/Annahmen!$B$28</f>
        <v>157.142857142857</v>
      </c>
      <c r="W17" s="25" t="n">
        <f aca="false">W6/Annahmen!$B$28</f>
        <v>157.142857142857</v>
      </c>
      <c r="X17" s="25" t="n">
        <f aca="false">X6/Annahmen!$B$28</f>
        <v>157.142857142857</v>
      </c>
      <c r="Y17" s="25" t="n">
        <f aca="false">Y6/Annahmen!$B$28</f>
        <v>157.142857142857</v>
      </c>
      <c r="Z17" s="25" t="n">
        <f aca="false">Z6/Annahmen!$B$28</f>
        <v>157.142857142857</v>
      </c>
    </row>
    <row r="18" customFormat="false" ht="15" hidden="false" customHeight="false" outlineLevel="0" collapsed="false">
      <c r="A18" s="19" t="s">
        <v>228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customFormat="false" ht="15" hidden="false" customHeight="false" outlineLevel="0" collapsed="false">
      <c r="A19" s="5" t="s">
        <v>229</v>
      </c>
      <c r="C19" s="26" t="n">
        <f aca="false">C10*Annahmen!$B$10</f>
        <v>14355.859330817</v>
      </c>
      <c r="D19" s="26" t="n">
        <f aca="false">D10*Annahmen!$B$10</f>
        <v>15027.6835508925</v>
      </c>
      <c r="E19" s="26" t="n">
        <f aca="false">E10*Annahmen!$B$10</f>
        <v>15679.3530443657</v>
      </c>
      <c r="F19" s="26" t="n">
        <f aca="false">F10*Annahmen!$B$10</f>
        <v>16311.4724530347</v>
      </c>
      <c r="G19" s="26" t="n">
        <f aca="false">G10*Annahmen!$B$10</f>
        <v>16924.6282794437</v>
      </c>
      <c r="H19" s="26" t="n">
        <f aca="false">H10*Annahmen!$B$10</f>
        <v>17519.3894310604</v>
      </c>
      <c r="I19" s="26" t="n">
        <f aca="false">I10*Annahmen!$B$10</f>
        <v>18096.3077481286</v>
      </c>
      <c r="J19" s="26" t="n">
        <f aca="false">J10*Annahmen!$B$10</f>
        <v>18655.9185156847</v>
      </c>
      <c r="K19" s="26" t="n">
        <f aca="false">K10*Annahmen!$B$10</f>
        <v>19198.7409602142</v>
      </c>
      <c r="L19" s="26" t="n">
        <f aca="false">L10*Annahmen!$B$10</f>
        <v>19725.2787314077</v>
      </c>
      <c r="M19" s="26" t="n">
        <f aca="false">M10*Annahmen!$B$10</f>
        <v>20236.0203694655</v>
      </c>
      <c r="N19" s="26" t="n">
        <f aca="false">N10*Annahmen!$B$10</f>
        <v>20731.4397583815</v>
      </c>
      <c r="O19" s="26" t="n">
        <f aca="false">O10*Annahmen!$B$10</f>
        <v>21456.9965656301</v>
      </c>
      <c r="P19" s="26" t="n">
        <f aca="false">P10*Annahmen!$B$10</f>
        <v>22160.7866686612</v>
      </c>
      <c r="Q19" s="26" t="n">
        <f aca="false">Q10*Annahmen!$B$10</f>
        <v>22843.4630686014</v>
      </c>
      <c r="R19" s="26" t="n">
        <f aca="false">R10*Annahmen!$B$10</f>
        <v>23505.6591765433</v>
      </c>
      <c r="S19" s="26" t="n">
        <f aca="false">S10*Annahmen!$B$10</f>
        <v>24147.989401247</v>
      </c>
      <c r="T19" s="26" t="n">
        <f aca="false">T10*Annahmen!$B$10</f>
        <v>24771.0497192096</v>
      </c>
      <c r="U19" s="26" t="n">
        <f aca="false">U10*Annahmen!$B$10</f>
        <v>25375.4182276333</v>
      </c>
      <c r="V19" s="26" t="n">
        <f aca="false">V10*Annahmen!$B$10</f>
        <v>25961.6556808043</v>
      </c>
      <c r="W19" s="26" t="n">
        <f aca="false">W10*Annahmen!$B$10</f>
        <v>26530.3060103802</v>
      </c>
      <c r="X19" s="26" t="n">
        <f aca="false">X10*Annahmen!$B$10</f>
        <v>27081.8968300688</v>
      </c>
      <c r="Y19" s="26" t="n">
        <f aca="false">Y10*Annahmen!$B$10</f>
        <v>27616.9399251667</v>
      </c>
      <c r="Z19" s="26" t="n">
        <f aca="false">Z10*Annahmen!$B$10</f>
        <v>28135.9317274117</v>
      </c>
    </row>
    <row r="20" customFormat="false" ht="15" hidden="false" customHeight="false" outlineLevel="0" collapsed="false">
      <c r="A20" s="5" t="s">
        <v>230</v>
      </c>
      <c r="C20" s="26" t="n">
        <f aca="false">C11*(Annahmen!$B$11+Annahmen!$B$13*Annahmen!$B$22)</f>
        <v>34530.3647627235</v>
      </c>
      <c r="D20" s="26" t="n">
        <f aca="false">D11*(Annahmen!$B$11+Annahmen!$B$13*Annahmen!$B$22)</f>
        <v>36225.207467469</v>
      </c>
      <c r="E20" s="26" t="n">
        <f aca="false">E11*(Annahmen!$B$11+Annahmen!$B$13*Annahmen!$B$22)</f>
        <v>37886.1533181196</v>
      </c>
      <c r="F20" s="26" t="n">
        <f aca="false">F11*(Annahmen!$B$11+Annahmen!$B$13*Annahmen!$B$22)</f>
        <v>39513.8802517573</v>
      </c>
      <c r="G20" s="26" t="n">
        <f aca="false">G11*(Annahmen!$B$11+Annahmen!$B$13*Annahmen!$B$22)</f>
        <v>41109.0526467221</v>
      </c>
      <c r="H20" s="26" t="n">
        <f aca="false">H11*(Annahmen!$B$11+Annahmen!$B$13*Annahmen!$B$22)</f>
        <v>42672.3215937877</v>
      </c>
      <c r="I20" s="26" t="n">
        <f aca="false">I11*(Annahmen!$B$11+Annahmen!$B$13*Annahmen!$B$22)</f>
        <v>44204.3251619119</v>
      </c>
      <c r="J20" s="26" t="n">
        <f aca="false">J11*(Annahmen!$B$11+Annahmen!$B$13*Annahmen!$B$22)</f>
        <v>45705.6886586737</v>
      </c>
      <c r="K20" s="26" t="n">
        <f aca="false">K11*(Annahmen!$B$11+Annahmen!$B$13*Annahmen!$B$22)</f>
        <v>47177.0248855002</v>
      </c>
      <c r="L20" s="26" t="n">
        <f aca="false">L11*(Annahmen!$B$11+Annahmen!$B$13*Annahmen!$B$22)</f>
        <v>48618.9343877902</v>
      </c>
      <c r="M20" s="26" t="n">
        <f aca="false">M11*(Annahmen!$B$11+Annahmen!$B$13*Annahmen!$B$22)</f>
        <v>50032.0057000344</v>
      </c>
      <c r="N20" s="26" t="n">
        <f aca="false">N11*(Annahmen!$B$11+Annahmen!$B$13*Annahmen!$B$22)</f>
        <v>51416.8155860337</v>
      </c>
      <c r="O20" s="26" t="n">
        <f aca="false">O11*(Annahmen!$B$11+Annahmen!$B$13*Annahmen!$B$22)</f>
        <v>53304.029274313</v>
      </c>
      <c r="P20" s="26" t="n">
        <f aca="false">P11*(Annahmen!$B$11+Annahmen!$B$13*Annahmen!$B$22)</f>
        <v>55153.4986888268</v>
      </c>
      <c r="Q20" s="26" t="n">
        <f aca="false">Q11*(Annahmen!$B$11+Annahmen!$B$13*Annahmen!$B$22)</f>
        <v>56965.9787150502</v>
      </c>
      <c r="R20" s="26" t="n">
        <f aca="false">R11*(Annahmen!$B$11+Annahmen!$B$13*Annahmen!$B$22)</f>
        <v>58742.2091407492</v>
      </c>
      <c r="S20" s="26" t="n">
        <f aca="false">S11*(Annahmen!$B$11+Annahmen!$B$13*Annahmen!$B$22)</f>
        <v>60482.9149579342</v>
      </c>
      <c r="T20" s="26" t="n">
        <f aca="false">T11*(Annahmen!$B$11+Annahmen!$B$13*Annahmen!$B$22)</f>
        <v>62188.8066587755</v>
      </c>
      <c r="U20" s="26" t="n">
        <f aca="false">U11*(Annahmen!$B$11+Annahmen!$B$13*Annahmen!$B$22)</f>
        <v>63860.5805256</v>
      </c>
      <c r="V20" s="26" t="n">
        <f aca="false">V11*(Annahmen!$B$11+Annahmen!$B$13*Annahmen!$B$22)</f>
        <v>65498.918915088</v>
      </c>
      <c r="W20" s="26" t="n">
        <f aca="false">W11*(Annahmen!$B$11+Annahmen!$B$13*Annahmen!$B$22)</f>
        <v>67104.4905367863</v>
      </c>
      <c r="X20" s="26" t="n">
        <f aca="false">X11*(Annahmen!$B$11+Annahmen!$B$13*Annahmen!$B$22)</f>
        <v>68677.9507260505</v>
      </c>
      <c r="Y20" s="26" t="n">
        <f aca="false">Y11*(Annahmen!$B$11+Annahmen!$B$13*Annahmen!$B$22)</f>
        <v>70219.9417115295</v>
      </c>
      <c r="Z20" s="26" t="n">
        <f aca="false">Z11*(Annahmen!$B$11+Annahmen!$B$13*Annahmen!$B$22)</f>
        <v>71731.0928772989</v>
      </c>
    </row>
    <row r="21" customFormat="false" ht="15" hidden="false" customHeight="false" outlineLevel="0" collapsed="false">
      <c r="A21" s="5" t="s">
        <v>231</v>
      </c>
      <c r="C21" s="26" t="n">
        <f aca="false">C12*(Annahmen!$B$12+Annahmen!$B$14*Annahmen!$B$23)</f>
        <v>28120.1019435324</v>
      </c>
      <c r="D21" s="26" t="n">
        <f aca="false">D12*(Annahmen!$B$12+Annahmen!$B$14*Annahmen!$B$23)</f>
        <v>29559.26072021</v>
      </c>
      <c r="E21" s="26" t="n">
        <f aca="false">E12*(Annahmen!$B$12+Annahmen!$B$14*Annahmen!$B$23)</f>
        <v>30981.1495915675</v>
      </c>
      <c r="F21" s="26" t="n">
        <f aca="false">F12*(Annahmen!$B$12+Annahmen!$B$14*Annahmen!$B$23)</f>
        <v>32385.9757964687</v>
      </c>
      <c r="G21" s="26" t="n">
        <f aca="false">G12*(Annahmen!$B$12+Annahmen!$B$14*Annahmen!$B$23)</f>
        <v>33773.9440869111</v>
      </c>
      <c r="H21" s="26" t="n">
        <f aca="false">H12*(Annahmen!$B$12+Annahmen!$B$14*Annahmen!$B$23)</f>
        <v>35145.2567578682</v>
      </c>
      <c r="I21" s="26" t="n">
        <f aca="false">I12*(Annahmen!$B$12+Annahmen!$B$14*Annahmen!$B$23)</f>
        <v>36500.1136767738</v>
      </c>
      <c r="J21" s="26" t="n">
        <f aca="false">J12*(Annahmen!$B$12+Annahmen!$B$14*Annahmen!$B$23)</f>
        <v>37838.7123126525</v>
      </c>
      <c r="K21" s="26" t="n">
        <f aca="false">K12*(Annahmen!$B$12+Annahmen!$B$14*Annahmen!$B$23)</f>
        <v>39161.2477649006</v>
      </c>
      <c r="L21" s="26" t="n">
        <f aca="false">L12*(Annahmen!$B$12+Annahmen!$B$14*Annahmen!$B$23)</f>
        <v>40467.9127917218</v>
      </c>
      <c r="M21" s="26" t="n">
        <f aca="false">M12*(Annahmen!$B$12+Annahmen!$B$14*Annahmen!$B$23)</f>
        <v>41758.8978382212</v>
      </c>
      <c r="N21" s="26" t="n">
        <f aca="false">N12*(Annahmen!$B$12+Annahmen!$B$14*Annahmen!$B$23)</f>
        <v>43034.3910641625</v>
      </c>
      <c r="O21" s="26" t="n">
        <f aca="false">O12*(Annahmen!$B$12+Annahmen!$B$14*Annahmen!$B$23)</f>
        <v>44689.3783713926</v>
      </c>
      <c r="P21" s="26" t="n">
        <f aca="false">P12*(Annahmen!$B$12+Annahmen!$B$14*Annahmen!$B$23)</f>
        <v>46324.5058309359</v>
      </c>
      <c r="Q21" s="26" t="n">
        <f aca="false">Q12*(Annahmen!$B$12+Annahmen!$B$14*Annahmen!$B$23)</f>
        <v>47940.0117609646</v>
      </c>
      <c r="R21" s="26" t="n">
        <f aca="false">R12*(Annahmen!$B$12+Annahmen!$B$14*Annahmen!$B$23)</f>
        <v>49536.131619833</v>
      </c>
      <c r="S21" s="26" t="n">
        <f aca="false">S12*(Annahmen!$B$12+Annahmen!$B$14*Annahmen!$B$23)</f>
        <v>51113.098040395</v>
      </c>
      <c r="T21" s="26" t="n">
        <f aca="false">T12*(Annahmen!$B$12+Annahmen!$B$14*Annahmen!$B$23)</f>
        <v>52671.1408639103</v>
      </c>
      <c r="U21" s="26" t="n">
        <f aca="false">U12*(Annahmen!$B$12+Annahmen!$B$14*Annahmen!$B$23)</f>
        <v>54210.4871735434</v>
      </c>
      <c r="V21" s="26" t="n">
        <f aca="false">V12*(Annahmen!$B$12+Annahmen!$B$14*Annahmen!$B$23)</f>
        <v>55731.3613274608</v>
      </c>
      <c r="W21" s="26" t="n">
        <f aca="false">W12*(Annahmen!$B$12+Annahmen!$B$14*Annahmen!$B$23)</f>
        <v>57233.9849915313</v>
      </c>
      <c r="X21" s="26" t="n">
        <f aca="false">X12*(Annahmen!$B$12+Annahmen!$B$14*Annahmen!$B$23)</f>
        <v>58718.5771716329</v>
      </c>
      <c r="Y21" s="26" t="n">
        <f aca="false">Y12*(Annahmen!$B$12+Annahmen!$B$14*Annahmen!$B$23)</f>
        <v>60185.3542455733</v>
      </c>
      <c r="Z21" s="26" t="n">
        <f aca="false">Z12*(Annahmen!$B$12+Annahmen!$B$14*Annahmen!$B$23)</f>
        <v>61634.5299946265</v>
      </c>
    </row>
    <row r="22" customFormat="false" ht="15" hidden="false" customHeight="false" outlineLevel="0" collapsed="false">
      <c r="A22" s="5" t="s">
        <v>232</v>
      </c>
      <c r="C22" s="26" t="n">
        <f aca="false">C16*Annahmen!$B$16</f>
        <v>1692.33440268067</v>
      </c>
      <c r="D22" s="26" t="n">
        <f aca="false">D16*Annahmen!$B$16</f>
        <v>1778.94638984851</v>
      </c>
      <c r="E22" s="26" t="n">
        <f aca="false">E16*Annahmen!$B$16</f>
        <v>1864.51903317032</v>
      </c>
      <c r="F22" s="26" t="n">
        <f aca="false">F16*Annahmen!$B$16</f>
        <v>1949.06480477228</v>
      </c>
      <c r="G22" s="26" t="n">
        <f aca="false">G16*Annahmen!$B$16</f>
        <v>2032.59602711501</v>
      </c>
      <c r="H22" s="26" t="n">
        <f aca="false">H16*Annahmen!$B$16</f>
        <v>2115.12487478963</v>
      </c>
      <c r="I22" s="26" t="n">
        <f aca="false">I16*Annahmen!$B$16</f>
        <v>2196.66337629216</v>
      </c>
      <c r="J22" s="26" t="n">
        <f aca="false">J16*Annahmen!$B$16</f>
        <v>2277.22341577665</v>
      </c>
      <c r="K22" s="26" t="n">
        <f aca="false">K16*Annahmen!$B$16</f>
        <v>2356.81673478733</v>
      </c>
      <c r="L22" s="26" t="n">
        <f aca="false">L16*Annahmen!$B$16</f>
        <v>2435.45493396988</v>
      </c>
      <c r="M22" s="26" t="n">
        <f aca="false">M16*Annahmen!$B$16</f>
        <v>2513.14947476224</v>
      </c>
      <c r="N22" s="26" t="n">
        <f aca="false">N16*Annahmen!$B$16</f>
        <v>2589.9116810651</v>
      </c>
      <c r="O22" s="26" t="n">
        <f aca="false">O16*Annahmen!$B$16</f>
        <v>2689.51274089232</v>
      </c>
      <c r="P22" s="26" t="n">
        <f aca="false">P16*Annahmen!$B$16</f>
        <v>2787.91858800161</v>
      </c>
      <c r="Q22" s="26" t="n">
        <f aca="false">Q16*Annahmen!$B$16</f>
        <v>2885.14356494559</v>
      </c>
      <c r="R22" s="26" t="n">
        <f aca="false">R16*Annahmen!$B$16</f>
        <v>2981.20184216624</v>
      </c>
      <c r="S22" s="26" t="n">
        <f aca="false">S16*Annahmen!$B$16</f>
        <v>3076.10742006025</v>
      </c>
      <c r="T22" s="26" t="n">
        <f aca="false">T16*Annahmen!$B$16</f>
        <v>3169.87413101952</v>
      </c>
      <c r="U22" s="26" t="n">
        <f aca="false">U16*Annahmen!$B$16</f>
        <v>3262.51564144729</v>
      </c>
      <c r="V22" s="26" t="n">
        <f aca="false">V16*Annahmen!$B$16</f>
        <v>3354.04545374992</v>
      </c>
      <c r="W22" s="26" t="n">
        <f aca="false">W16*Annahmen!$B$16</f>
        <v>3444.47690830492</v>
      </c>
      <c r="X22" s="26" t="n">
        <f aca="false">X16*Annahmen!$B$16</f>
        <v>3533.82318540526</v>
      </c>
      <c r="Y22" s="26" t="n">
        <f aca="false">Y16*Annahmen!$B$16</f>
        <v>3622.0973071804</v>
      </c>
      <c r="Z22" s="26" t="n">
        <f aca="false">Z16*Annahmen!$B$16</f>
        <v>3709.31213949423</v>
      </c>
    </row>
    <row r="23" customFormat="false" ht="15" hidden="false" customHeight="false" outlineLevel="0" collapsed="false">
      <c r="A23" s="22" t="s">
        <v>233</v>
      </c>
      <c r="B23" s="27"/>
      <c r="C23" s="28" t="n">
        <f aca="false">SUM(C19:C22)</f>
        <v>78698.6604397536</v>
      </c>
      <c r="D23" s="28" t="n">
        <f aca="false">SUM(D19:D22)</f>
        <v>82591.0981284201</v>
      </c>
      <c r="E23" s="28" t="n">
        <f aca="false">SUM(E19:E22)</f>
        <v>86411.1749872232</v>
      </c>
      <c r="F23" s="28" t="n">
        <f aca="false">SUM(F19:F22)</f>
        <v>90160.393306033</v>
      </c>
      <c r="G23" s="28" t="n">
        <f aca="false">SUM(G19:G22)</f>
        <v>93840.2210401919</v>
      </c>
      <c r="H23" s="28" t="n">
        <f aca="false">SUM(H19:H22)</f>
        <v>97452.0926575058</v>
      </c>
      <c r="I23" s="28" t="n">
        <f aca="false">SUM(I19:I22)</f>
        <v>100997.409963106</v>
      </c>
      <c r="J23" s="28" t="n">
        <f aca="false">SUM(J19:J22)</f>
        <v>104477.542902787</v>
      </c>
      <c r="K23" s="28" t="n">
        <f aca="false">SUM(K19:K22)</f>
        <v>107893.830345402</v>
      </c>
      <c r="L23" s="28" t="n">
        <f aca="false">SUM(L19:L22)</f>
        <v>111247.58084489</v>
      </c>
      <c r="M23" s="28" t="n">
        <f aca="false">SUM(M19:M22)</f>
        <v>114540.073382483</v>
      </c>
      <c r="N23" s="28" t="n">
        <f aca="false">SUM(N19:N22)</f>
        <v>117772.558089643</v>
      </c>
      <c r="O23" s="28" t="n">
        <f aca="false">SUM(O19:O22)</f>
        <v>122139.916952228</v>
      </c>
      <c r="P23" s="28" t="n">
        <f aca="false">SUM(P19:P22)</f>
        <v>126426.709776425</v>
      </c>
      <c r="Q23" s="28" t="n">
        <f aca="false">SUM(Q19:Q22)</f>
        <v>130634.597109562</v>
      </c>
      <c r="R23" s="28" t="n">
        <f aca="false">SUM(R19:R22)</f>
        <v>134765.201779292</v>
      </c>
      <c r="S23" s="28" t="n">
        <f aca="false">SUM(S19:S22)</f>
        <v>138820.109819637</v>
      </c>
      <c r="T23" s="28" t="n">
        <f aca="false">SUM(T19:T22)</f>
        <v>142800.871372915</v>
      </c>
      <c r="U23" s="28" t="n">
        <f aca="false">SUM(U19:U22)</f>
        <v>146709.001568224</v>
      </c>
      <c r="V23" s="28" t="n">
        <f aca="false">SUM(V19:V22)</f>
        <v>150545.981377103</v>
      </c>
      <c r="W23" s="28" t="n">
        <f aca="false">SUM(W19:W22)</f>
        <v>154313.258447003</v>
      </c>
      <c r="X23" s="28" t="n">
        <f aca="false">SUM(X19:X22)</f>
        <v>158012.247913158</v>
      </c>
      <c r="Y23" s="28" t="n">
        <f aca="false">SUM(Y19:Y22)</f>
        <v>161644.33318945</v>
      </c>
      <c r="Z23" s="28" t="n">
        <f aca="false">SUM(Z19:Z22)</f>
        <v>165210.866738831</v>
      </c>
    </row>
    <row r="24" customFormat="false" ht="15" hidden="false" customHeight="false" outlineLevel="0" collapsed="false">
      <c r="A24" s="5" t="s">
        <v>234</v>
      </c>
      <c r="C24" s="26" t="n">
        <f aca="false">-C23*Annahmen!$B$27</f>
        <v>-3934.93302198768</v>
      </c>
      <c r="D24" s="26" t="n">
        <f aca="false">-D23*Annahmen!$B$27</f>
        <v>-4129.554906421</v>
      </c>
      <c r="E24" s="26" t="n">
        <f aca="false">-E23*Annahmen!$B$27</f>
        <v>-4320.55874936116</v>
      </c>
      <c r="F24" s="26" t="n">
        <f aca="false">-F23*Annahmen!$B$27</f>
        <v>-4508.01966530165</v>
      </c>
      <c r="G24" s="26" t="n">
        <f aca="false">-G23*Annahmen!$B$27</f>
        <v>-4692.01105200959</v>
      </c>
      <c r="H24" s="26" t="n">
        <f aca="false">-H23*Annahmen!$B$27</f>
        <v>-4872.60463287529</v>
      </c>
      <c r="I24" s="26" t="n">
        <f aca="false">-I23*Annahmen!$B$27</f>
        <v>-5049.87049815532</v>
      </c>
      <c r="J24" s="26" t="n">
        <f aca="false">-J23*Annahmen!$B$27</f>
        <v>-5223.87714513937</v>
      </c>
      <c r="K24" s="26" t="n">
        <f aca="false">-K23*Annahmen!$B$27</f>
        <v>-5394.69151727012</v>
      </c>
      <c r="L24" s="26" t="n">
        <f aca="false">-L23*Annahmen!$B$27</f>
        <v>-5562.37904224448</v>
      </c>
      <c r="M24" s="26" t="n">
        <f aca="false">-M23*Annahmen!$B$27</f>
        <v>-5727.00366912417</v>
      </c>
      <c r="N24" s="26" t="n">
        <f aca="false">-N23*Annahmen!$B$27</f>
        <v>-5888.62790448214</v>
      </c>
      <c r="O24" s="26" t="n">
        <f aca="false">-O23*Annahmen!$B$27</f>
        <v>-6106.9958476114</v>
      </c>
      <c r="P24" s="26" t="n">
        <f aca="false">-P23*Annahmen!$B$27</f>
        <v>-6321.33548882127</v>
      </c>
      <c r="Q24" s="26" t="n">
        <f aca="false">-Q23*Annahmen!$B$27</f>
        <v>-6531.72985547809</v>
      </c>
      <c r="R24" s="26" t="n">
        <f aca="false">-R23*Annahmen!$B$27</f>
        <v>-6738.26008896459</v>
      </c>
      <c r="S24" s="26" t="n">
        <f aca="false">-S23*Annahmen!$B$27</f>
        <v>-6941.00549098183</v>
      </c>
      <c r="T24" s="26" t="n">
        <f aca="false">-T23*Annahmen!$B$27</f>
        <v>-7140.04356864575</v>
      </c>
      <c r="U24" s="26" t="n">
        <f aca="false">-U23*Annahmen!$B$27</f>
        <v>-7335.4500784112</v>
      </c>
      <c r="V24" s="26" t="n">
        <f aca="false">-V23*Annahmen!$B$27</f>
        <v>-7527.29906885515</v>
      </c>
      <c r="W24" s="26" t="n">
        <f aca="false">-W23*Annahmen!$B$27</f>
        <v>-7715.66292235013</v>
      </c>
      <c r="X24" s="26" t="n">
        <f aca="false">-X23*Annahmen!$B$27</f>
        <v>-7900.61239565788</v>
      </c>
      <c r="Y24" s="26" t="n">
        <f aca="false">-Y23*Annahmen!$B$27</f>
        <v>-8082.2166594725</v>
      </c>
      <c r="Z24" s="26" t="n">
        <f aca="false">-Z23*Annahmen!$B$27</f>
        <v>-8260.54333694156</v>
      </c>
    </row>
    <row r="25" customFormat="false" ht="15" hidden="false" customHeight="false" outlineLevel="0" collapsed="false">
      <c r="A25" s="5" t="s">
        <v>235</v>
      </c>
      <c r="C25" s="26" t="n">
        <f aca="false">C15*Annahmen!$B$15</f>
        <v>2149.2</v>
      </c>
      <c r="D25" s="26" t="n">
        <f aca="false">D15*Annahmen!$B$15</f>
        <v>2149.2</v>
      </c>
      <c r="E25" s="26" t="n">
        <f aca="false">E15*Annahmen!$B$15</f>
        <v>2149.2</v>
      </c>
      <c r="F25" s="26" t="n">
        <f aca="false">F15*Annahmen!$B$15</f>
        <v>2149.2</v>
      </c>
      <c r="G25" s="26" t="n">
        <f aca="false">G15*Annahmen!$B$15</f>
        <v>2149.2</v>
      </c>
      <c r="H25" s="26" t="n">
        <f aca="false">H15*Annahmen!$B$15</f>
        <v>2149.2</v>
      </c>
      <c r="I25" s="26" t="n">
        <f aca="false">I15*Annahmen!$B$15</f>
        <v>2149.2</v>
      </c>
      <c r="J25" s="26" t="n">
        <f aca="false">J15*Annahmen!$B$15</f>
        <v>2149.2</v>
      </c>
      <c r="K25" s="26" t="n">
        <f aca="false">K15*Annahmen!$B$15</f>
        <v>2149.2</v>
      </c>
      <c r="L25" s="26" t="n">
        <f aca="false">L15*Annahmen!$B$15</f>
        <v>2149.2</v>
      </c>
      <c r="M25" s="26" t="n">
        <f aca="false">M15*Annahmen!$B$15</f>
        <v>2149.2</v>
      </c>
      <c r="N25" s="26" t="n">
        <f aca="false">N15*Annahmen!$B$15</f>
        <v>2149.2</v>
      </c>
      <c r="O25" s="26" t="n">
        <f aca="false">O15*Annahmen!$B$15</f>
        <v>2626.8</v>
      </c>
      <c r="P25" s="26" t="n">
        <f aca="false">P15*Annahmen!$B$15</f>
        <v>2626.8</v>
      </c>
      <c r="Q25" s="26" t="n">
        <f aca="false">Q15*Annahmen!$B$15</f>
        <v>2626.8</v>
      </c>
      <c r="R25" s="26" t="n">
        <f aca="false">R15*Annahmen!$B$15</f>
        <v>2626.8</v>
      </c>
      <c r="S25" s="26" t="n">
        <f aca="false">S15*Annahmen!$B$15</f>
        <v>2626.8</v>
      </c>
      <c r="T25" s="26" t="n">
        <f aca="false">T15*Annahmen!$B$15</f>
        <v>2626.8</v>
      </c>
      <c r="U25" s="26" t="n">
        <f aca="false">U15*Annahmen!$B$15</f>
        <v>2626.8</v>
      </c>
      <c r="V25" s="26" t="n">
        <f aca="false">V15*Annahmen!$B$15</f>
        <v>2626.8</v>
      </c>
      <c r="W25" s="26" t="n">
        <f aca="false">W15*Annahmen!$B$15</f>
        <v>2626.8</v>
      </c>
      <c r="X25" s="26" t="n">
        <f aca="false">X15*Annahmen!$B$15</f>
        <v>2626.8</v>
      </c>
      <c r="Y25" s="26" t="n">
        <f aca="false">Y15*Annahmen!$B$15</f>
        <v>2626.8</v>
      </c>
      <c r="Z25" s="26" t="n">
        <f aca="false">Z15*Annahmen!$B$15</f>
        <v>2626.8</v>
      </c>
    </row>
    <row r="26" customFormat="false" ht="15" hidden="false" customHeight="false" outlineLevel="0" collapsed="false">
      <c r="A26" s="22" t="s">
        <v>236</v>
      </c>
      <c r="B26" s="27"/>
      <c r="C26" s="28" t="n">
        <f aca="false">C23+C24+C25</f>
        <v>76912.9274177659</v>
      </c>
      <c r="D26" s="28" t="n">
        <f aca="false">D23+D24+D25</f>
        <v>80610.743221999</v>
      </c>
      <c r="E26" s="28" t="n">
        <f aca="false">E23+E24+E25</f>
        <v>84239.816237862</v>
      </c>
      <c r="F26" s="28" t="n">
        <f aca="false">F23+F24+F25</f>
        <v>87801.5736407313</v>
      </c>
      <c r="G26" s="28" t="n">
        <f aca="false">G23+G24+G25</f>
        <v>91297.4099881823</v>
      </c>
      <c r="H26" s="28" t="n">
        <f aca="false">H23+H24+H25</f>
        <v>94728.6880246305</v>
      </c>
      <c r="I26" s="28" t="n">
        <f aca="false">I23+I24+I25</f>
        <v>98096.7394649511</v>
      </c>
      <c r="J26" s="28" t="n">
        <f aca="false">J23+J24+J25</f>
        <v>101402.865757648</v>
      </c>
      <c r="K26" s="28" t="n">
        <f aca="false">K23+K24+K25</f>
        <v>104648.338828132</v>
      </c>
      <c r="L26" s="28" t="n">
        <f aca="false">L23+L24+L25</f>
        <v>107834.401802645</v>
      </c>
      <c r="M26" s="28" t="n">
        <f aca="false">M23+M24+M25</f>
        <v>110962.269713359</v>
      </c>
      <c r="N26" s="28" t="n">
        <f aca="false">N23+N24+N25</f>
        <v>114033.130185161</v>
      </c>
      <c r="O26" s="28" t="n">
        <f aca="false">O23+O24+O25</f>
        <v>118659.721104617</v>
      </c>
      <c r="P26" s="28" t="n">
        <f aca="false">P23+P24+P25</f>
        <v>122732.174287604</v>
      </c>
      <c r="Q26" s="28" t="n">
        <f aca="false">Q23+Q24+Q25</f>
        <v>126729.667254084</v>
      </c>
      <c r="R26" s="28" t="n">
        <f aca="false">R23+R24+R25</f>
        <v>130653.741690327</v>
      </c>
      <c r="S26" s="28" t="n">
        <f aca="false">S23+S24+S25</f>
        <v>134505.904328655</v>
      </c>
      <c r="T26" s="28" t="n">
        <f aca="false">T23+T24+T25</f>
        <v>138287.627804269</v>
      </c>
      <c r="U26" s="28" t="n">
        <f aca="false">U23+U24+U25</f>
        <v>142000.351489813</v>
      </c>
      <c r="V26" s="28" t="n">
        <f aca="false">V23+V24+V25</f>
        <v>145645.482308248</v>
      </c>
      <c r="W26" s="28" t="n">
        <f aca="false">W23+W24+W25</f>
        <v>149224.395524653</v>
      </c>
      <c r="X26" s="28" t="n">
        <f aca="false">X23+X24+X25</f>
        <v>152738.4355175</v>
      </c>
      <c r="Y26" s="28" t="n">
        <f aca="false">Y23+Y24+Y25</f>
        <v>156188.916529977</v>
      </c>
      <c r="Z26" s="28" t="n">
        <f aca="false">Z23+Z24+Z25</f>
        <v>159577.12340189</v>
      </c>
    </row>
    <row r="27" customFormat="false" ht="15" hidden="false" customHeight="false" outlineLevel="0" collapsed="false">
      <c r="A27" s="5" t="s">
        <v>237</v>
      </c>
      <c r="C27" s="26" t="n">
        <f aca="false">C23*12</f>
        <v>944383.925277043</v>
      </c>
      <c r="D27" s="26" t="n">
        <f aca="false">D23*12</f>
        <v>991093.177541041</v>
      </c>
      <c r="E27" s="26" t="n">
        <f aca="false">E23*12</f>
        <v>1036934.09984668</v>
      </c>
      <c r="F27" s="26" t="n">
        <f aca="false">F23*12</f>
        <v>1081924.7196724</v>
      </c>
      <c r="G27" s="26" t="n">
        <f aca="false">G23*12</f>
        <v>1126082.6524823</v>
      </c>
      <c r="H27" s="26" t="n">
        <f aca="false">H23*12</f>
        <v>1169425.11189007</v>
      </c>
      <c r="I27" s="26" t="n">
        <f aca="false">I23*12</f>
        <v>1211968.91955728</v>
      </c>
      <c r="J27" s="26" t="n">
        <f aca="false">J23*12</f>
        <v>1253730.51483345</v>
      </c>
      <c r="K27" s="26" t="n">
        <f aca="false">K23*12</f>
        <v>1294725.96414483</v>
      </c>
      <c r="L27" s="26" t="n">
        <f aca="false">L23*12</f>
        <v>1334970.97013868</v>
      </c>
      <c r="M27" s="26" t="n">
        <f aca="false">M23*12</f>
        <v>1374480.8805898</v>
      </c>
      <c r="N27" s="26" t="n">
        <f aca="false">N23*12</f>
        <v>1413270.69707571</v>
      </c>
      <c r="O27" s="26" t="n">
        <f aca="false">O23*12</f>
        <v>1465679.00342674</v>
      </c>
      <c r="P27" s="26" t="n">
        <f aca="false">P23*12</f>
        <v>1517120.51731711</v>
      </c>
      <c r="Q27" s="26" t="n">
        <f aca="false">Q23*12</f>
        <v>1567615.16531474</v>
      </c>
      <c r="R27" s="26" t="n">
        <f aca="false">R23*12</f>
        <v>1617182.4213515</v>
      </c>
      <c r="S27" s="26" t="n">
        <f aca="false">S23*12</f>
        <v>1665841.31783564</v>
      </c>
      <c r="T27" s="26" t="n">
        <f aca="false">T23*12</f>
        <v>1713610.45647498</v>
      </c>
      <c r="U27" s="26" t="n">
        <f aca="false">U23*12</f>
        <v>1760508.01881869</v>
      </c>
      <c r="V27" s="26" t="n">
        <f aca="false">V23*12</f>
        <v>1806551.77652524</v>
      </c>
      <c r="W27" s="26" t="n">
        <f aca="false">W23*12</f>
        <v>1851759.10136403</v>
      </c>
      <c r="X27" s="26" t="n">
        <f aca="false">X23*12</f>
        <v>1896146.97495789</v>
      </c>
      <c r="Y27" s="26" t="n">
        <f aca="false">Y23*12</f>
        <v>1939731.9982734</v>
      </c>
      <c r="Z27" s="26" t="n">
        <f aca="false">Z23*12</f>
        <v>1982530.40086598</v>
      </c>
    </row>
    <row r="28" customFormat="false" ht="15" hidden="false" customHeight="false" outlineLevel="0" collapsed="false">
      <c r="A28" s="5" t="s">
        <v>238</v>
      </c>
      <c r="C28" s="29" t="n">
        <f aca="false">IF(C13&gt;0,C23/C13,0)</f>
        <v>125.72119816967</v>
      </c>
      <c r="D28" s="29" t="n">
        <f aca="false">IF(D13&gt;0,D23/D13,0)</f>
        <v>125.860370023107</v>
      </c>
      <c r="E28" s="29" t="n">
        <f aca="false">IF(E13&gt;0,E23/E13,0)</f>
        <v>126.011616773135</v>
      </c>
      <c r="F28" s="29" t="n">
        <f aca="false">IF(F13&gt;0,F23/F13,0)</f>
        <v>126.172844532774</v>
      </c>
      <c r="G28" s="29" t="n">
        <f aca="false">IF(G13&gt;0,G23/G13,0)</f>
        <v>126.342363709342</v>
      </c>
      <c r="H28" s="29" t="n">
        <f aca="false">IF(H13&gt;0,H23/H13,0)</f>
        <v>126.518795726556</v>
      </c>
      <c r="I28" s="29" t="n">
        <f aca="false">IF(I13&gt;0,I23/I13,0)</f>
        <v>126.701004454469</v>
      </c>
      <c r="J28" s="29" t="n">
        <f aca="false">IF(J13&gt;0,J23/J13,0)</f>
        <v>126.888045034304</v>
      </c>
      <c r="K28" s="29" t="n">
        <f aca="false">IF(K13&gt;0,K23/K13,0)</f>
        <v>127.079125158561</v>
      </c>
      <c r="L28" s="29" t="n">
        <f aca="false">IF(L13&gt;0,L23/L13,0)</f>
        <v>127.273575407341</v>
      </c>
      <c r="M28" s="29" t="n">
        <f aca="false">IF(M13&gt;0,M23/M13,0)</f>
        <v>127.470826262165</v>
      </c>
      <c r="N28" s="29" t="n">
        <f aca="false">IF(N13&gt;0,N23/N13,0)</f>
        <v>127.670390106803</v>
      </c>
      <c r="O28" s="29" t="n">
        <f aca="false">IF(O13&gt;0,O23/O13,0)</f>
        <v>127.78285877128</v>
      </c>
      <c r="P28" s="29" t="n">
        <f aca="false">IF(P13&gt;0,P23/P13,0)</f>
        <v>127.906523855035</v>
      </c>
      <c r="Q28" s="29" t="n">
        <f aca="false">IF(Q13&gt;0,Q23/Q13,0)</f>
        <v>128.039779346908</v>
      </c>
      <c r="R28" s="29" t="n">
        <f aca="false">IF(R13&gt;0,R23/R13,0)</f>
        <v>128.181275091744</v>
      </c>
      <c r="S28" s="29" t="n">
        <f aca="false">IF(S13&gt;0,S23/S13,0)</f>
        <v>128.329867723316</v>
      </c>
      <c r="T28" s="29" t="n">
        <f aca="false">IF(T13&gt;0,T23/T13,0)</f>
        <v>128.484582486478</v>
      </c>
      <c r="U28" s="29" t="n">
        <f aca="false">IF(U13&gt;0,U23/U13,0)</f>
        <v>128.644583229525</v>
      </c>
      <c r="V28" s="29" t="n">
        <f aca="false">IF(V13&gt;0,V23/V13,0)</f>
        <v>128.809148596907</v>
      </c>
      <c r="W28" s="29" t="n">
        <f aca="false">IF(W13&gt;0,W23/W13,0)</f>
        <v>128.97765297719</v>
      </c>
      <c r="X28" s="29" t="n">
        <f aca="false">IF(X13&gt;0,X23/X13,0)</f>
        <v>129.149551133627</v>
      </c>
      <c r="Y28" s="29" t="n">
        <f aca="false">IF(Y13&gt;0,Y23/Y13,0)</f>
        <v>129.324365712611</v>
      </c>
      <c r="Z28" s="29" t="n">
        <f aca="false">IF(Z13&gt;0,Z23/Z13,0)</f>
        <v>129.501677020175</v>
      </c>
    </row>
    <row r="29" customFormat="false" ht="15" hidden="false" customHeight="false" outlineLevel="0" collapsed="false">
      <c r="A29" s="19" t="s">
        <v>239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customFormat="false" ht="15" hidden="false" customHeight="false" outlineLevel="0" collapsed="false">
      <c r="A30" s="5" t="s">
        <v>240</v>
      </c>
      <c r="C30" s="26" t="n">
        <f aca="false">C10*Annahmen!$B$52+C11*Annahmen!$B$53+C12*Annahmen!$B$54</f>
        <v>1156.79754223773</v>
      </c>
      <c r="D30" s="26" t="n">
        <f aca="false">D10*Annahmen!$B$52+D11*Annahmen!$B$53+D12*Annahmen!$B$54</f>
        <v>1213.93663500383</v>
      </c>
      <c r="E30" s="26" t="n">
        <f aca="false">E10*Annahmen!$B$52+E11*Annahmen!$B$53+E12*Annahmen!$B$54</f>
        <v>1269.99823403911</v>
      </c>
      <c r="F30" s="26" t="n">
        <f aca="false">F10*Annahmen!$B$52+F11*Annahmen!$B$53+F12*Annahmen!$B$54</f>
        <v>1325.00508010126</v>
      </c>
      <c r="G30" s="26" t="n">
        <f aca="false">G10*Annahmen!$B$52+G11*Annahmen!$B$53+G12*Annahmen!$B$54</f>
        <v>1378.97938561198</v>
      </c>
      <c r="H30" s="26" t="n">
        <f aca="false">H10*Annahmen!$B$52+H11*Annahmen!$B$53+H12*Annahmen!$B$54</f>
        <v>1431.94284788292</v>
      </c>
      <c r="I30" s="26" t="n">
        <f aca="false">I10*Annahmen!$B$52+I11*Annahmen!$B$53+I12*Annahmen!$B$54</f>
        <v>1483.91666199175</v>
      </c>
      <c r="J30" s="26" t="n">
        <f aca="false">J10*Annahmen!$B$52+J11*Annahmen!$B$53+J12*Annahmen!$B$54</f>
        <v>1534.92153331822</v>
      </c>
      <c r="K30" s="26" t="n">
        <f aca="false">K10*Annahmen!$B$52+K11*Annahmen!$B$53+K12*Annahmen!$B$54</f>
        <v>1584.9776897494</v>
      </c>
      <c r="L30" s="26" t="n">
        <f aca="false">L10*Annahmen!$B$52+L11*Annahmen!$B$53+L12*Annahmen!$B$54</f>
        <v>1634.10489356324</v>
      </c>
      <c r="M30" s="26" t="n">
        <f aca="false">M10*Annahmen!$B$52+M11*Annahmen!$B$53+M12*Annahmen!$B$54</f>
        <v>1682.32245299926</v>
      </c>
      <c r="N30" s="26" t="n">
        <f aca="false">N10*Annahmen!$B$52+N11*Annahmen!$B$53+N12*Annahmen!$B$54</f>
        <v>1729.64923352494</v>
      </c>
      <c r="O30" s="26" t="n">
        <f aca="false">O10*Annahmen!$B$52+O11*Annahmen!$B$53+O12*Annahmen!$B$54</f>
        <v>1793.70366880616</v>
      </c>
      <c r="P30" s="26" t="n">
        <f aca="false">P10*Annahmen!$B$52+P11*Annahmen!$B$53+P12*Annahmen!$B$54</f>
        <v>1856.55977138979</v>
      </c>
      <c r="Q30" s="26" t="n">
        <f aca="false">Q10*Annahmen!$B$52+Q11*Annahmen!$B$53+Q12*Annahmen!$B$54</f>
        <v>1918.24264710626</v>
      </c>
      <c r="R30" s="26" t="n">
        <f aca="false">R10*Annahmen!$B$52+R11*Annahmen!$B$53+R12*Annahmen!$B$54</f>
        <v>1978.77682203182</v>
      </c>
      <c r="S30" s="26" t="n">
        <f aca="false">S10*Annahmen!$B$52+S11*Annahmen!$B$53+S12*Annahmen!$B$54</f>
        <v>2038.18625693429</v>
      </c>
      <c r="T30" s="26" t="n">
        <f aca="false">T10*Annahmen!$B$52+T11*Annahmen!$B$53+T12*Annahmen!$B$54</f>
        <v>2096.49436133813</v>
      </c>
      <c r="U30" s="26" t="n">
        <f aca="false">U10*Annahmen!$B$52+U11*Annahmen!$B$53+U12*Annahmen!$B$54</f>
        <v>2153.72400721926</v>
      </c>
      <c r="V30" s="26" t="n">
        <f aca="false">V10*Annahmen!$B$52+V11*Annahmen!$B$53+V12*Annahmen!$B$54</f>
        <v>2209.89754233975</v>
      </c>
      <c r="W30" s="26" t="n">
        <f aca="false">W10*Annahmen!$B$52+W11*Annahmen!$B$53+W12*Annahmen!$B$54</f>
        <v>2265.0368032323</v>
      </c>
      <c r="X30" s="26" t="n">
        <f aca="false">X10*Annahmen!$B$52+X11*Annahmen!$B$53+X12*Annahmen!$B$54</f>
        <v>2319.16312784404</v>
      </c>
      <c r="Y30" s="26" t="n">
        <f aca="false">Y10*Annahmen!$B$52+Y11*Annahmen!$B$53+Y12*Annahmen!$B$54</f>
        <v>2372.29736784901</v>
      </c>
      <c r="Z30" s="26" t="n">
        <f aca="false">Z10*Annahmen!$B$52+Z11*Annahmen!$B$53+Z12*Annahmen!$B$54</f>
        <v>2424.45990063832</v>
      </c>
    </row>
    <row r="31" customFormat="false" ht="15" hidden="false" customHeight="false" outlineLevel="0" collapsed="false">
      <c r="A31" s="5" t="s">
        <v>241</v>
      </c>
      <c r="C31" s="26" t="n">
        <f aca="false">C26*Annahmen!$B$55+C13*Annahmen!$B$56</f>
        <v>834.395597550136</v>
      </c>
      <c r="D31" s="26" t="n">
        <f aca="false">D26*Annahmen!$B$55+D13*Annahmen!$B$56</f>
        <v>874.560181912752</v>
      </c>
      <c r="E31" s="26" t="n">
        <f aca="false">E26*Annahmen!$B$55+E13*Annahmen!$B$56</f>
        <v>913.927443525342</v>
      </c>
      <c r="F31" s="26" t="n">
        <f aca="false">F26*Annahmen!$B$55+F13*Annahmen!$B$56</f>
        <v>952.51504004519</v>
      </c>
      <c r="G31" s="26" t="n">
        <f aca="false">G26*Annahmen!$B$55+G13*Annahmen!$B$56</f>
        <v>990.340201957122</v>
      </c>
      <c r="H31" s="26" t="n">
        <f aca="false">H26*Annahmen!$B$55+H13*Annahmen!$B$56</f>
        <v>1027.41974360973</v>
      </c>
      <c r="I31" s="26" t="n">
        <f aca="false">I26*Annahmen!$B$55+I13*Annahmen!$B$56</f>
        <v>1063.77007395283</v>
      </c>
      <c r="J31" s="26" t="n">
        <f aca="false">J26*Annahmen!$B$55+J13*Annahmen!$B$56</f>
        <v>1099.4072069845</v>
      </c>
      <c r="K31" s="26" t="n">
        <f aca="false">K26*Annahmen!$B$55+K13*Annahmen!$B$56</f>
        <v>1134.34677191579</v>
      </c>
      <c r="L31" s="26" t="n">
        <f aca="false">L26*Annahmen!$B$55+L13*Annahmen!$B$56</f>
        <v>1168.60402306108</v>
      </c>
      <c r="M31" s="26" t="n">
        <f aca="false">M26*Annahmen!$B$55+M13*Annahmen!$B$56</f>
        <v>1202.19384946162</v>
      </c>
      <c r="N31" s="26" t="n">
        <f aca="false">N26*Annahmen!$B$55+N13*Annahmen!$B$56</f>
        <v>1235.13078424977</v>
      </c>
      <c r="O31" s="26" t="n">
        <f aca="false">O26*Annahmen!$B$55+O13*Annahmen!$B$56</f>
        <v>1283.82162976116</v>
      </c>
      <c r="P31" s="26" t="n">
        <f aca="false">P26*Annahmen!$B$55+P13*Annahmen!$B$56</f>
        <v>1327.80807052983</v>
      </c>
      <c r="Q31" s="26" t="n">
        <f aca="false">Q26*Annahmen!$B$55+Q13*Annahmen!$B$56</f>
        <v>1370.93033851706</v>
      </c>
      <c r="R31" s="26" t="n">
        <f aca="false">R26*Annahmen!$B$55+R13*Annahmen!$B$56</f>
        <v>1413.20739816394</v>
      </c>
      <c r="S31" s="26" t="n">
        <f aca="false">S26*Annahmen!$B$55+S13*Annahmen!$B$56</f>
        <v>1454.65775842116</v>
      </c>
      <c r="T31" s="26" t="n">
        <f aca="false">T26*Annahmen!$B$55+T13*Annahmen!$B$56</f>
        <v>1495.29948445414</v>
      </c>
      <c r="U31" s="26" t="n">
        <f aca="false">U26*Annahmen!$B$55+U13*Annahmen!$B$56</f>
        <v>1535.15020903249</v>
      </c>
      <c r="V31" s="26" t="n">
        <f aca="false">V26*Annahmen!$B$55+V13*Annahmen!$B$56</f>
        <v>1574.22714361257</v>
      </c>
      <c r="W31" s="26" t="n">
        <f aca="false">W26*Annahmen!$B$55+W13*Annahmen!$B$56</f>
        <v>1612.54708912178</v>
      </c>
      <c r="X31" s="26" t="n">
        <f aca="false">X26*Annahmen!$B$55+X13*Annahmen!$B$56</f>
        <v>1650.12644645279</v>
      </c>
      <c r="Y31" s="26" t="n">
        <f aca="false">Y26*Annahmen!$B$55+Y13*Annahmen!$B$56</f>
        <v>1686.98122667589</v>
      </c>
      <c r="Z31" s="26" t="n">
        <f aca="false">Z26*Annahmen!$B$55+Z13*Annahmen!$B$56</f>
        <v>1723.12706097719</v>
      </c>
    </row>
    <row r="32" customFormat="false" ht="15" hidden="false" customHeight="false" outlineLevel="0" collapsed="false">
      <c r="A32" s="5" t="s">
        <v>242</v>
      </c>
      <c r="C32" s="26" t="n">
        <f aca="false">C26*INDEX(Annahmen!$B$58:$F$58,1,C$4)*Annahmen!$B$57</f>
        <v>4807.05796361037</v>
      </c>
      <c r="D32" s="26" t="n">
        <f aca="false">D26*INDEX(Annahmen!$B$58:$F$58,1,D$4)*Annahmen!$B$57</f>
        <v>5038.17145137494</v>
      </c>
      <c r="E32" s="26" t="n">
        <f aca="false">E26*INDEX(Annahmen!$B$58:$F$58,1,E$4)*Annahmen!$B$57</f>
        <v>5264.98851486638</v>
      </c>
      <c r="F32" s="26" t="n">
        <f aca="false">F26*INDEX(Annahmen!$B$58:$F$58,1,F$4)*Annahmen!$B$57</f>
        <v>5487.59835254571</v>
      </c>
      <c r="G32" s="26" t="n">
        <f aca="false">G26*INDEX(Annahmen!$B$58:$F$58,1,G$4)*Annahmen!$B$57</f>
        <v>5706.08812426139</v>
      </c>
      <c r="H32" s="26" t="n">
        <f aca="false">H26*INDEX(Annahmen!$B$58:$F$58,1,H$4)*Annahmen!$B$57</f>
        <v>5920.54300153941</v>
      </c>
      <c r="I32" s="26" t="n">
        <f aca="false">I26*INDEX(Annahmen!$B$58:$F$58,1,I$4)*Annahmen!$B$57</f>
        <v>6131.04621655944</v>
      </c>
      <c r="J32" s="26" t="n">
        <f aca="false">J26*INDEX(Annahmen!$B$58:$F$58,1,J$4)*Annahmen!$B$57</f>
        <v>6337.67910985301</v>
      </c>
      <c r="K32" s="26" t="n">
        <f aca="false">K26*INDEX(Annahmen!$B$58:$F$58,1,K$4)*Annahmen!$B$57</f>
        <v>6540.52117675826</v>
      </c>
      <c r="L32" s="26" t="n">
        <f aca="false">L26*INDEX(Annahmen!$B$58:$F$58,1,L$4)*Annahmen!$B$57</f>
        <v>6739.65011266532</v>
      </c>
      <c r="M32" s="26" t="n">
        <f aca="false">M26*INDEX(Annahmen!$B$58:$F$58,1,M$4)*Annahmen!$B$57</f>
        <v>6935.14185708495</v>
      </c>
      <c r="N32" s="26" t="n">
        <f aca="false">N26*INDEX(Annahmen!$B$58:$F$58,1,N$4)*Annahmen!$B$57</f>
        <v>7127.07063657255</v>
      </c>
      <c r="O32" s="26" t="n">
        <f aca="false">O26*INDEX(Annahmen!$B$58:$F$58,1,O$4)*Annahmen!$B$57</f>
        <v>8899.47908284625</v>
      </c>
      <c r="P32" s="26" t="n">
        <f aca="false">P26*INDEX(Annahmen!$B$58:$F$58,1,P$4)*Annahmen!$B$57</f>
        <v>9204.91307157031</v>
      </c>
      <c r="Q32" s="26" t="n">
        <f aca="false">Q26*INDEX(Annahmen!$B$58:$F$58,1,Q$4)*Annahmen!$B$57</f>
        <v>9504.72504405628</v>
      </c>
      <c r="R32" s="26" t="n">
        <f aca="false">R26*INDEX(Annahmen!$B$58:$F$58,1,R$4)*Annahmen!$B$57</f>
        <v>9799.03062677454</v>
      </c>
      <c r="S32" s="26" t="n">
        <f aca="false">S26*INDEX(Annahmen!$B$58:$F$58,1,S$4)*Annahmen!$B$57</f>
        <v>10087.9428246491</v>
      </c>
      <c r="T32" s="26" t="n">
        <f aca="false">T26*INDEX(Annahmen!$B$58:$F$58,1,T$4)*Annahmen!$B$57</f>
        <v>10371.5720853202</v>
      </c>
      <c r="U32" s="26" t="n">
        <f aca="false">U26*INDEX(Annahmen!$B$58:$F$58,1,U$4)*Annahmen!$B$57</f>
        <v>10650.026361736</v>
      </c>
      <c r="V32" s="26" t="n">
        <f aca="false">V26*INDEX(Annahmen!$B$58:$F$58,1,V$4)*Annahmen!$B$57</f>
        <v>10923.4111731186</v>
      </c>
      <c r="W32" s="26" t="n">
        <f aca="false">W26*INDEX(Annahmen!$B$58:$F$58,1,W$4)*Annahmen!$B$57</f>
        <v>11191.8296643489</v>
      </c>
      <c r="X32" s="26" t="n">
        <f aca="false">X26*INDEX(Annahmen!$B$58:$F$58,1,X$4)*Annahmen!$B$57</f>
        <v>11455.3826638125</v>
      </c>
      <c r="Y32" s="26" t="n">
        <f aca="false">Y26*INDEX(Annahmen!$B$58:$F$58,1,Y$4)*Annahmen!$B$57</f>
        <v>11714.1687397483</v>
      </c>
      <c r="Z32" s="26" t="n">
        <f aca="false">Z26*INDEX(Annahmen!$B$58:$F$58,1,Z$4)*Annahmen!$B$57</f>
        <v>11968.2842551417</v>
      </c>
    </row>
    <row r="33" customFormat="false" ht="15" hidden="false" customHeight="false" outlineLevel="0" collapsed="false">
      <c r="A33" s="5" t="s">
        <v>243</v>
      </c>
      <c r="C33" s="26" t="n">
        <f aca="false">C15*Annahmen!$B$59</f>
        <v>162</v>
      </c>
      <c r="D33" s="26" t="n">
        <f aca="false">D15*Annahmen!$B$59</f>
        <v>162</v>
      </c>
      <c r="E33" s="26" t="n">
        <f aca="false">E15*Annahmen!$B$59</f>
        <v>162</v>
      </c>
      <c r="F33" s="26" t="n">
        <f aca="false">F15*Annahmen!$B$59</f>
        <v>162</v>
      </c>
      <c r="G33" s="26" t="n">
        <f aca="false">G15*Annahmen!$B$59</f>
        <v>162</v>
      </c>
      <c r="H33" s="26" t="n">
        <f aca="false">H15*Annahmen!$B$59</f>
        <v>162</v>
      </c>
      <c r="I33" s="26" t="n">
        <f aca="false">I15*Annahmen!$B$59</f>
        <v>162</v>
      </c>
      <c r="J33" s="26" t="n">
        <f aca="false">J15*Annahmen!$B$59</f>
        <v>162</v>
      </c>
      <c r="K33" s="26" t="n">
        <f aca="false">K15*Annahmen!$B$59</f>
        <v>162</v>
      </c>
      <c r="L33" s="26" t="n">
        <f aca="false">L15*Annahmen!$B$59</f>
        <v>162</v>
      </c>
      <c r="M33" s="26" t="n">
        <f aca="false">M15*Annahmen!$B$59</f>
        <v>162</v>
      </c>
      <c r="N33" s="26" t="n">
        <f aca="false">N15*Annahmen!$B$59</f>
        <v>162</v>
      </c>
      <c r="O33" s="26" t="n">
        <f aca="false">O15*Annahmen!$B$59</f>
        <v>198</v>
      </c>
      <c r="P33" s="26" t="n">
        <f aca="false">P15*Annahmen!$B$59</f>
        <v>198</v>
      </c>
      <c r="Q33" s="26" t="n">
        <f aca="false">Q15*Annahmen!$B$59</f>
        <v>198</v>
      </c>
      <c r="R33" s="26" t="n">
        <f aca="false">R15*Annahmen!$B$59</f>
        <v>198</v>
      </c>
      <c r="S33" s="26" t="n">
        <f aca="false">S15*Annahmen!$B$59</f>
        <v>198</v>
      </c>
      <c r="T33" s="26" t="n">
        <f aca="false">T15*Annahmen!$B$59</f>
        <v>198</v>
      </c>
      <c r="U33" s="26" t="n">
        <f aca="false">U15*Annahmen!$B$59</f>
        <v>198</v>
      </c>
      <c r="V33" s="26" t="n">
        <f aca="false">V15*Annahmen!$B$59</f>
        <v>198</v>
      </c>
      <c r="W33" s="26" t="n">
        <f aca="false">W15*Annahmen!$B$59</f>
        <v>198</v>
      </c>
      <c r="X33" s="26" t="n">
        <f aca="false">X15*Annahmen!$B$59</f>
        <v>198</v>
      </c>
      <c r="Y33" s="26" t="n">
        <f aca="false">Y15*Annahmen!$B$59</f>
        <v>198</v>
      </c>
      <c r="Z33" s="26" t="n">
        <f aca="false">Z15*Annahmen!$B$59</f>
        <v>198</v>
      </c>
    </row>
    <row r="34" customFormat="false" ht="15" hidden="false" customHeight="false" outlineLevel="0" collapsed="false">
      <c r="A34" s="3" t="s">
        <v>244</v>
      </c>
      <c r="C34" s="30" t="n">
        <f aca="false">SUM(C30:C33)</f>
        <v>6960.25110339824</v>
      </c>
      <c r="D34" s="30" t="n">
        <f aca="false">SUM(D30:D33)</f>
        <v>7288.66826829153</v>
      </c>
      <c r="E34" s="30" t="n">
        <f aca="false">SUM(E30:E33)</f>
        <v>7610.91419243083</v>
      </c>
      <c r="F34" s="30" t="n">
        <f aca="false">SUM(F30:F33)</f>
        <v>7927.11847269215</v>
      </c>
      <c r="G34" s="30" t="n">
        <f aca="false">SUM(G30:G33)</f>
        <v>8237.4077118305</v>
      </c>
      <c r="H34" s="30" t="n">
        <f aca="false">SUM(H30:H33)</f>
        <v>8541.90559303206</v>
      </c>
      <c r="I34" s="30" t="n">
        <f aca="false">SUM(I30:I33)</f>
        <v>8840.73295250403</v>
      </c>
      <c r="J34" s="30" t="n">
        <f aca="false">SUM(J30:J33)</f>
        <v>9134.00785015573</v>
      </c>
      <c r="K34" s="30" t="n">
        <f aca="false">SUM(K30:K33)</f>
        <v>9421.84563842346</v>
      </c>
      <c r="L34" s="30" t="n">
        <f aca="false">SUM(L30:L33)</f>
        <v>9704.35902928965</v>
      </c>
      <c r="M34" s="30" t="n">
        <f aca="false">SUM(M30:M33)</f>
        <v>9981.65815954583</v>
      </c>
      <c r="N34" s="30" t="n">
        <f aca="false">SUM(N30:N33)</f>
        <v>10253.8506543473</v>
      </c>
      <c r="O34" s="30" t="n">
        <f aca="false">SUM(O30:O33)</f>
        <v>12175.0043814136</v>
      </c>
      <c r="P34" s="30" t="n">
        <f aca="false">SUM(P30:P33)</f>
        <v>12587.2809134899</v>
      </c>
      <c r="Q34" s="30" t="n">
        <f aca="false">SUM(Q30:Q33)</f>
        <v>12991.8980296796</v>
      </c>
      <c r="R34" s="30" t="n">
        <f aca="false">SUM(R30:R33)</f>
        <v>13389.0148469703</v>
      </c>
      <c r="S34" s="30" t="n">
        <f aca="false">SUM(S30:S33)</f>
        <v>13778.7868400046</v>
      </c>
      <c r="T34" s="30" t="n">
        <f aca="false">SUM(T30:T33)</f>
        <v>14161.3659311125</v>
      </c>
      <c r="U34" s="30" t="n">
        <f aca="false">SUM(U30:U33)</f>
        <v>14536.9005779877</v>
      </c>
      <c r="V34" s="30" t="n">
        <f aca="false">SUM(V30:V33)</f>
        <v>14905.5358590709</v>
      </c>
      <c r="W34" s="30" t="n">
        <f aca="false">SUM(W30:W33)</f>
        <v>15267.413556703</v>
      </c>
      <c r="X34" s="30" t="n">
        <f aca="false">SUM(X30:X33)</f>
        <v>15622.6722381093</v>
      </c>
      <c r="Y34" s="30" t="n">
        <f aca="false">SUM(Y30:Y33)</f>
        <v>15971.4473342732</v>
      </c>
      <c r="Z34" s="30" t="n">
        <f aca="false">SUM(Z30:Z33)</f>
        <v>16313.8712167572</v>
      </c>
    </row>
    <row r="35" customFormat="false" ht="15" hidden="false" customHeight="false" outlineLevel="0" collapsed="false">
      <c r="A35" s="3" t="s">
        <v>245</v>
      </c>
      <c r="C35" s="30" t="n">
        <f aca="false">C26-C34</f>
        <v>69952.6763143677</v>
      </c>
      <c r="D35" s="30" t="n">
        <f aca="false">D26-D34</f>
        <v>73322.0749537075</v>
      </c>
      <c r="E35" s="30" t="n">
        <f aca="false">E26-E34</f>
        <v>76628.9020454312</v>
      </c>
      <c r="F35" s="30" t="n">
        <f aca="false">F26-F34</f>
        <v>79874.4551680392</v>
      </c>
      <c r="G35" s="30" t="n">
        <f aca="false">G26-G34</f>
        <v>83060.0022763518</v>
      </c>
      <c r="H35" s="30" t="n">
        <f aca="false">H26-H34</f>
        <v>86186.7824315985</v>
      </c>
      <c r="I35" s="30" t="n">
        <f aca="false">I26-I34</f>
        <v>89256.006512447</v>
      </c>
      <c r="J35" s="30" t="n">
        <f aca="false">J26-J34</f>
        <v>92268.8579074924</v>
      </c>
      <c r="K35" s="30" t="n">
        <f aca="false">K26-K34</f>
        <v>95226.4931897087</v>
      </c>
      <c r="L35" s="30" t="n">
        <f aca="false">L26-L34</f>
        <v>98130.0427733555</v>
      </c>
      <c r="M35" s="30" t="n">
        <f aca="false">M26-M34</f>
        <v>100980.611553813</v>
      </c>
      <c r="N35" s="30" t="n">
        <f aca="false">N26-N34</f>
        <v>103779.279530813</v>
      </c>
      <c r="O35" s="30" t="n">
        <f aca="false">O26-O34</f>
        <v>106484.716723203</v>
      </c>
      <c r="P35" s="30" t="n">
        <f aca="false">P26-P34</f>
        <v>110144.893374114</v>
      </c>
      <c r="Q35" s="30" t="n">
        <f aca="false">Q26-Q34</f>
        <v>113737.769224404</v>
      </c>
      <c r="R35" s="30" t="n">
        <f aca="false">R26-R34</f>
        <v>117264.726843357</v>
      </c>
      <c r="S35" s="30" t="n">
        <f aca="false">S26-S34</f>
        <v>120727.11748865</v>
      </c>
      <c r="T35" s="30" t="n">
        <f aca="false">T26-T34</f>
        <v>124126.261873157</v>
      </c>
      <c r="U35" s="30" t="n">
        <f aca="false">U26-U34</f>
        <v>127463.450911825</v>
      </c>
      <c r="V35" s="30" t="n">
        <f aca="false">V26-V34</f>
        <v>130739.946449177</v>
      </c>
      <c r="W35" s="30" t="n">
        <f aca="false">W26-W34</f>
        <v>133956.98196795</v>
      </c>
      <c r="X35" s="30" t="n">
        <f aca="false">X26-X34</f>
        <v>137115.76327939</v>
      </c>
      <c r="Y35" s="30" t="n">
        <f aca="false">Y26-Y34</f>
        <v>140217.469195704</v>
      </c>
      <c r="Z35" s="30" t="n">
        <f aca="false">Z26-Z34</f>
        <v>143263.252185132</v>
      </c>
    </row>
    <row r="36" customFormat="false" ht="15" hidden="false" customHeight="false" outlineLevel="0" collapsed="false">
      <c r="A36" s="19" t="s">
        <v>246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customFormat="false" ht="15" hidden="false" customHeight="false" outlineLevel="0" collapsed="false">
      <c r="A37" s="5" t="s">
        <v>247</v>
      </c>
      <c r="C37" s="26" t="n">
        <f aca="false">INDEX(Annahmen!$B$90:$F$90,1,C$4)*Annahmen!$B$91</f>
        <v>6500</v>
      </c>
      <c r="D37" s="26" t="n">
        <f aca="false">INDEX(Annahmen!$B$90:$F$90,1,D$4)*Annahmen!$B$91</f>
        <v>6500</v>
      </c>
      <c r="E37" s="26" t="n">
        <f aca="false">INDEX(Annahmen!$B$90:$F$90,1,E$4)*Annahmen!$B$91</f>
        <v>6500</v>
      </c>
      <c r="F37" s="26" t="n">
        <f aca="false">INDEX(Annahmen!$B$90:$F$90,1,F$4)*Annahmen!$B$91</f>
        <v>6500</v>
      </c>
      <c r="G37" s="26" t="n">
        <f aca="false">INDEX(Annahmen!$B$90:$F$90,1,G$4)*Annahmen!$B$91</f>
        <v>6500</v>
      </c>
      <c r="H37" s="26" t="n">
        <f aca="false">INDEX(Annahmen!$B$90:$F$90,1,H$4)*Annahmen!$B$91</f>
        <v>6500</v>
      </c>
      <c r="I37" s="26" t="n">
        <f aca="false">INDEX(Annahmen!$B$90:$F$90,1,I$4)*Annahmen!$B$91</f>
        <v>6500</v>
      </c>
      <c r="J37" s="26" t="n">
        <f aca="false">INDEX(Annahmen!$B$90:$F$90,1,J$4)*Annahmen!$B$91</f>
        <v>6500</v>
      </c>
      <c r="K37" s="26" t="n">
        <f aca="false">INDEX(Annahmen!$B$90:$F$90,1,K$4)*Annahmen!$B$91</f>
        <v>6500</v>
      </c>
      <c r="L37" s="26" t="n">
        <f aca="false">INDEX(Annahmen!$B$90:$F$90,1,L$4)*Annahmen!$B$91</f>
        <v>6500</v>
      </c>
      <c r="M37" s="26" t="n">
        <f aca="false">INDEX(Annahmen!$B$90:$F$90,1,M$4)*Annahmen!$B$91</f>
        <v>6500</v>
      </c>
      <c r="N37" s="26" t="n">
        <f aca="false">INDEX(Annahmen!$B$90:$F$90,1,N$4)*Annahmen!$B$91</f>
        <v>6500</v>
      </c>
      <c r="O37" s="26" t="n">
        <f aca="false">INDEX(Annahmen!$B$90:$F$90,1,O$4)*Annahmen!$B$91</f>
        <v>7000</v>
      </c>
      <c r="P37" s="26" t="n">
        <f aca="false">INDEX(Annahmen!$B$90:$F$90,1,P$4)*Annahmen!$B$91</f>
        <v>7000</v>
      </c>
      <c r="Q37" s="26" t="n">
        <f aca="false">INDEX(Annahmen!$B$90:$F$90,1,Q$4)*Annahmen!$B$91</f>
        <v>7000</v>
      </c>
      <c r="R37" s="26" t="n">
        <f aca="false">INDEX(Annahmen!$B$90:$F$90,1,R$4)*Annahmen!$B$91</f>
        <v>7000</v>
      </c>
      <c r="S37" s="26" t="n">
        <f aca="false">INDEX(Annahmen!$B$90:$F$90,1,S$4)*Annahmen!$B$91</f>
        <v>7000</v>
      </c>
      <c r="T37" s="26" t="n">
        <f aca="false">INDEX(Annahmen!$B$90:$F$90,1,T$4)*Annahmen!$B$91</f>
        <v>7000</v>
      </c>
      <c r="U37" s="26" t="n">
        <f aca="false">INDEX(Annahmen!$B$90:$F$90,1,U$4)*Annahmen!$B$91</f>
        <v>7000</v>
      </c>
      <c r="V37" s="26" t="n">
        <f aca="false">INDEX(Annahmen!$B$90:$F$90,1,V$4)*Annahmen!$B$91</f>
        <v>7000</v>
      </c>
      <c r="W37" s="26" t="n">
        <f aca="false">INDEX(Annahmen!$B$90:$F$90,1,W$4)*Annahmen!$B$91</f>
        <v>7000</v>
      </c>
      <c r="X37" s="26" t="n">
        <f aca="false">INDEX(Annahmen!$B$90:$F$90,1,X$4)*Annahmen!$B$91</f>
        <v>7000</v>
      </c>
      <c r="Y37" s="26" t="n">
        <f aca="false">INDEX(Annahmen!$B$90:$F$90,1,Y$4)*Annahmen!$B$91</f>
        <v>7000</v>
      </c>
      <c r="Z37" s="26" t="n">
        <f aca="false">INDEX(Annahmen!$B$90:$F$90,1,Z$4)*Annahmen!$B$91</f>
        <v>7000</v>
      </c>
    </row>
    <row r="38" customFormat="false" ht="15" hidden="false" customHeight="false" outlineLevel="0" collapsed="false">
      <c r="A38" s="5" t="s">
        <v>163</v>
      </c>
      <c r="C38" s="26" t="n">
        <f aca="false">IF(C$2&gt;=Annahmen!$C$94,Annahmen!$D$94*(1+Annahmen!$B$92)^(C$4-1)*Annahmen!$E$94,0)</f>
        <v>5024.358746</v>
      </c>
      <c r="D38" s="26" t="n">
        <f aca="false">IF(D$2&gt;=Annahmen!$C$94,Annahmen!$D$94*(1+Annahmen!$B$92)^(D$4-1)*Annahmen!$E$94,0)</f>
        <v>5024.358746</v>
      </c>
      <c r="E38" s="26" t="n">
        <f aca="false">IF(E$2&gt;=Annahmen!$C$94,Annahmen!$D$94*(1+Annahmen!$B$92)^(E$4-1)*Annahmen!$E$94,0)</f>
        <v>5024.358746</v>
      </c>
      <c r="F38" s="26" t="n">
        <f aca="false">IF(F$2&gt;=Annahmen!$C$94,Annahmen!$D$94*(1+Annahmen!$B$92)^(F$4-1)*Annahmen!$E$94,0)</f>
        <v>5024.358746</v>
      </c>
      <c r="G38" s="26" t="n">
        <f aca="false">IF(G$2&gt;=Annahmen!$C$94,Annahmen!$D$94*(1+Annahmen!$B$92)^(G$4-1)*Annahmen!$E$94,0)</f>
        <v>5024.358746</v>
      </c>
      <c r="H38" s="26" t="n">
        <f aca="false">IF(H$2&gt;=Annahmen!$C$94,Annahmen!$D$94*(1+Annahmen!$B$92)^(H$4-1)*Annahmen!$E$94,0)</f>
        <v>5024.358746</v>
      </c>
      <c r="I38" s="26" t="n">
        <f aca="false">IF(I$2&gt;=Annahmen!$C$94,Annahmen!$D$94*(1+Annahmen!$B$92)^(I$4-1)*Annahmen!$E$94,0)</f>
        <v>5024.358746</v>
      </c>
      <c r="J38" s="26" t="n">
        <f aca="false">IF(J$2&gt;=Annahmen!$C$94,Annahmen!$D$94*(1+Annahmen!$B$92)^(J$4-1)*Annahmen!$E$94,0)</f>
        <v>5024.358746</v>
      </c>
      <c r="K38" s="26" t="n">
        <f aca="false">IF(K$2&gt;=Annahmen!$C$94,Annahmen!$D$94*(1+Annahmen!$B$92)^(K$4-1)*Annahmen!$E$94,0)</f>
        <v>5024.358746</v>
      </c>
      <c r="L38" s="26" t="n">
        <f aca="false">IF(L$2&gt;=Annahmen!$C$94,Annahmen!$D$94*(1+Annahmen!$B$92)^(L$4-1)*Annahmen!$E$94,0)</f>
        <v>5024.358746</v>
      </c>
      <c r="M38" s="26" t="n">
        <f aca="false">IF(M$2&gt;=Annahmen!$C$94,Annahmen!$D$94*(1+Annahmen!$B$92)^(M$4-1)*Annahmen!$E$94,0)</f>
        <v>5024.358746</v>
      </c>
      <c r="N38" s="26" t="n">
        <f aca="false">IF(N$2&gt;=Annahmen!$C$94,Annahmen!$D$94*(1+Annahmen!$B$92)^(N$4-1)*Annahmen!$E$94,0)</f>
        <v>5024.358746</v>
      </c>
      <c r="O38" s="26" t="n">
        <f aca="false">IF(O$2&gt;=Annahmen!$C$94,Annahmen!$D$94*(1+Annahmen!$B$92)^(O$4-1)*Annahmen!$E$94,0)</f>
        <v>5175.08950838</v>
      </c>
      <c r="P38" s="26" t="n">
        <f aca="false">IF(P$2&gt;=Annahmen!$C$94,Annahmen!$D$94*(1+Annahmen!$B$92)^(P$4-1)*Annahmen!$E$94,0)</f>
        <v>5175.08950838</v>
      </c>
      <c r="Q38" s="26" t="n">
        <f aca="false">IF(Q$2&gt;=Annahmen!$C$94,Annahmen!$D$94*(1+Annahmen!$B$92)^(Q$4-1)*Annahmen!$E$94,0)</f>
        <v>5175.08950838</v>
      </c>
      <c r="R38" s="26" t="n">
        <f aca="false">IF(R$2&gt;=Annahmen!$C$94,Annahmen!$D$94*(1+Annahmen!$B$92)^(R$4-1)*Annahmen!$E$94,0)</f>
        <v>5175.08950838</v>
      </c>
      <c r="S38" s="26" t="n">
        <f aca="false">IF(S$2&gt;=Annahmen!$C$94,Annahmen!$D$94*(1+Annahmen!$B$92)^(S$4-1)*Annahmen!$E$94,0)</f>
        <v>5175.08950838</v>
      </c>
      <c r="T38" s="26" t="n">
        <f aca="false">IF(T$2&gt;=Annahmen!$C$94,Annahmen!$D$94*(1+Annahmen!$B$92)^(T$4-1)*Annahmen!$E$94,0)</f>
        <v>5175.08950838</v>
      </c>
      <c r="U38" s="26" t="n">
        <f aca="false">IF(U$2&gt;=Annahmen!$C$94,Annahmen!$D$94*(1+Annahmen!$B$92)^(U$4-1)*Annahmen!$E$94,0)</f>
        <v>5175.08950838</v>
      </c>
      <c r="V38" s="26" t="n">
        <f aca="false">IF(V$2&gt;=Annahmen!$C$94,Annahmen!$D$94*(1+Annahmen!$B$92)^(V$4-1)*Annahmen!$E$94,0)</f>
        <v>5175.08950838</v>
      </c>
      <c r="W38" s="26" t="n">
        <f aca="false">IF(W$2&gt;=Annahmen!$C$94,Annahmen!$D$94*(1+Annahmen!$B$92)^(W$4-1)*Annahmen!$E$94,0)</f>
        <v>5175.08950838</v>
      </c>
      <c r="X38" s="26" t="n">
        <f aca="false">IF(X$2&gt;=Annahmen!$C$94,Annahmen!$D$94*(1+Annahmen!$B$92)^(X$4-1)*Annahmen!$E$94,0)</f>
        <v>5175.08950838</v>
      </c>
      <c r="Y38" s="26" t="n">
        <f aca="false">IF(Y$2&gt;=Annahmen!$C$94,Annahmen!$D$94*(1+Annahmen!$B$92)^(Y$4-1)*Annahmen!$E$94,0)</f>
        <v>5175.08950838</v>
      </c>
      <c r="Z38" s="26" t="n">
        <f aca="false">IF(Z$2&gt;=Annahmen!$C$94,Annahmen!$D$94*(1+Annahmen!$B$92)^(Z$4-1)*Annahmen!$E$94,0)</f>
        <v>5175.08950838</v>
      </c>
    </row>
    <row r="39" customFormat="false" ht="15" hidden="false" customHeight="false" outlineLevel="0" collapsed="false">
      <c r="A39" s="5" t="s">
        <v>166</v>
      </c>
      <c r="C39" s="26" t="n">
        <f aca="false">IF(C$2&gt;=Annahmen!$C$95,Annahmen!$D$95*(1+Annahmen!$B$92)^(C$4-1)*Annahmen!$E$95,0)</f>
        <v>6875.438284</v>
      </c>
      <c r="D39" s="26" t="n">
        <f aca="false">IF(D$2&gt;=Annahmen!$C$95,Annahmen!$D$95*(1+Annahmen!$B$92)^(D$4-1)*Annahmen!$E$95,0)</f>
        <v>6875.438284</v>
      </c>
      <c r="E39" s="26" t="n">
        <f aca="false">IF(E$2&gt;=Annahmen!$C$95,Annahmen!$D$95*(1+Annahmen!$B$92)^(E$4-1)*Annahmen!$E$95,0)</f>
        <v>6875.438284</v>
      </c>
      <c r="F39" s="26" t="n">
        <f aca="false">IF(F$2&gt;=Annahmen!$C$95,Annahmen!$D$95*(1+Annahmen!$B$92)^(F$4-1)*Annahmen!$E$95,0)</f>
        <v>6875.438284</v>
      </c>
      <c r="G39" s="26" t="n">
        <f aca="false">IF(G$2&gt;=Annahmen!$C$95,Annahmen!$D$95*(1+Annahmen!$B$92)^(G$4-1)*Annahmen!$E$95,0)</f>
        <v>6875.438284</v>
      </c>
      <c r="H39" s="26" t="n">
        <f aca="false">IF(H$2&gt;=Annahmen!$C$95,Annahmen!$D$95*(1+Annahmen!$B$92)^(H$4-1)*Annahmen!$E$95,0)</f>
        <v>6875.438284</v>
      </c>
      <c r="I39" s="26" t="n">
        <f aca="false">IF(I$2&gt;=Annahmen!$C$95,Annahmen!$D$95*(1+Annahmen!$B$92)^(I$4-1)*Annahmen!$E$95,0)</f>
        <v>6875.438284</v>
      </c>
      <c r="J39" s="26" t="n">
        <f aca="false">IF(J$2&gt;=Annahmen!$C$95,Annahmen!$D$95*(1+Annahmen!$B$92)^(J$4-1)*Annahmen!$E$95,0)</f>
        <v>6875.438284</v>
      </c>
      <c r="K39" s="26" t="n">
        <f aca="false">IF(K$2&gt;=Annahmen!$C$95,Annahmen!$D$95*(1+Annahmen!$B$92)^(K$4-1)*Annahmen!$E$95,0)</f>
        <v>6875.438284</v>
      </c>
      <c r="L39" s="26" t="n">
        <f aca="false">IF(L$2&gt;=Annahmen!$C$95,Annahmen!$D$95*(1+Annahmen!$B$92)^(L$4-1)*Annahmen!$E$95,0)</f>
        <v>6875.438284</v>
      </c>
      <c r="M39" s="26" t="n">
        <f aca="false">IF(M$2&gt;=Annahmen!$C$95,Annahmen!$D$95*(1+Annahmen!$B$92)^(M$4-1)*Annahmen!$E$95,0)</f>
        <v>6875.438284</v>
      </c>
      <c r="N39" s="26" t="n">
        <f aca="false">IF(N$2&gt;=Annahmen!$C$95,Annahmen!$D$95*(1+Annahmen!$B$92)^(N$4-1)*Annahmen!$E$95,0)</f>
        <v>6875.438284</v>
      </c>
      <c r="O39" s="26" t="n">
        <f aca="false">IF(O$2&gt;=Annahmen!$C$95,Annahmen!$D$95*(1+Annahmen!$B$92)^(O$4-1)*Annahmen!$E$95,0)</f>
        <v>7081.70143252</v>
      </c>
      <c r="P39" s="26" t="n">
        <f aca="false">IF(P$2&gt;=Annahmen!$C$95,Annahmen!$D$95*(1+Annahmen!$B$92)^(P$4-1)*Annahmen!$E$95,0)</f>
        <v>7081.70143252</v>
      </c>
      <c r="Q39" s="26" t="n">
        <f aca="false">IF(Q$2&gt;=Annahmen!$C$95,Annahmen!$D$95*(1+Annahmen!$B$92)^(Q$4-1)*Annahmen!$E$95,0)</f>
        <v>7081.70143252</v>
      </c>
      <c r="R39" s="26" t="n">
        <f aca="false">IF(R$2&gt;=Annahmen!$C$95,Annahmen!$D$95*(1+Annahmen!$B$92)^(R$4-1)*Annahmen!$E$95,0)</f>
        <v>7081.70143252</v>
      </c>
      <c r="S39" s="26" t="n">
        <f aca="false">IF(S$2&gt;=Annahmen!$C$95,Annahmen!$D$95*(1+Annahmen!$B$92)^(S$4-1)*Annahmen!$E$95,0)</f>
        <v>7081.70143252</v>
      </c>
      <c r="T39" s="26" t="n">
        <f aca="false">IF(T$2&gt;=Annahmen!$C$95,Annahmen!$D$95*(1+Annahmen!$B$92)^(T$4-1)*Annahmen!$E$95,0)</f>
        <v>7081.70143252</v>
      </c>
      <c r="U39" s="26" t="n">
        <f aca="false">IF(U$2&gt;=Annahmen!$C$95,Annahmen!$D$95*(1+Annahmen!$B$92)^(U$4-1)*Annahmen!$E$95,0)</f>
        <v>7081.70143252</v>
      </c>
      <c r="V39" s="26" t="n">
        <f aca="false">IF(V$2&gt;=Annahmen!$C$95,Annahmen!$D$95*(1+Annahmen!$B$92)^(V$4-1)*Annahmen!$E$95,0)</f>
        <v>7081.70143252</v>
      </c>
      <c r="W39" s="26" t="n">
        <f aca="false">IF(W$2&gt;=Annahmen!$C$95,Annahmen!$D$95*(1+Annahmen!$B$92)^(W$4-1)*Annahmen!$E$95,0)</f>
        <v>7081.70143252</v>
      </c>
      <c r="X39" s="26" t="n">
        <f aca="false">IF(X$2&gt;=Annahmen!$C$95,Annahmen!$D$95*(1+Annahmen!$B$92)^(X$4-1)*Annahmen!$E$95,0)</f>
        <v>7081.70143252</v>
      </c>
      <c r="Y39" s="26" t="n">
        <f aca="false">IF(Y$2&gt;=Annahmen!$C$95,Annahmen!$D$95*(1+Annahmen!$B$92)^(Y$4-1)*Annahmen!$E$95,0)</f>
        <v>7081.70143252</v>
      </c>
      <c r="Z39" s="26" t="n">
        <f aca="false">IF(Z$2&gt;=Annahmen!$C$95,Annahmen!$D$95*(1+Annahmen!$B$92)^(Z$4-1)*Annahmen!$E$95,0)</f>
        <v>7081.70143252</v>
      </c>
    </row>
    <row r="40" customFormat="false" ht="15" hidden="false" customHeight="false" outlineLevel="0" collapsed="false">
      <c r="A40" s="5" t="s">
        <v>168</v>
      </c>
      <c r="C40" s="26" t="n">
        <f aca="false">IF(C$2&gt;=Annahmen!$C$96,Annahmen!$D$96*(1+Annahmen!$B$92)^(C$4-1)*Annahmen!$E$96,0)</f>
        <v>5553.238614</v>
      </c>
      <c r="D40" s="26" t="n">
        <f aca="false">IF(D$2&gt;=Annahmen!$C$96,Annahmen!$D$96*(1+Annahmen!$B$92)^(D$4-1)*Annahmen!$E$96,0)</f>
        <v>5553.238614</v>
      </c>
      <c r="E40" s="26" t="n">
        <f aca="false">IF(E$2&gt;=Annahmen!$C$96,Annahmen!$D$96*(1+Annahmen!$B$92)^(E$4-1)*Annahmen!$E$96,0)</f>
        <v>5553.238614</v>
      </c>
      <c r="F40" s="26" t="n">
        <f aca="false">IF(F$2&gt;=Annahmen!$C$96,Annahmen!$D$96*(1+Annahmen!$B$92)^(F$4-1)*Annahmen!$E$96,0)</f>
        <v>5553.238614</v>
      </c>
      <c r="G40" s="26" t="n">
        <f aca="false">IF(G$2&gt;=Annahmen!$C$96,Annahmen!$D$96*(1+Annahmen!$B$92)^(G$4-1)*Annahmen!$E$96,0)</f>
        <v>5553.238614</v>
      </c>
      <c r="H40" s="26" t="n">
        <f aca="false">IF(H$2&gt;=Annahmen!$C$96,Annahmen!$D$96*(1+Annahmen!$B$92)^(H$4-1)*Annahmen!$E$96,0)</f>
        <v>5553.238614</v>
      </c>
      <c r="I40" s="26" t="n">
        <f aca="false">IF(I$2&gt;=Annahmen!$C$96,Annahmen!$D$96*(1+Annahmen!$B$92)^(I$4-1)*Annahmen!$E$96,0)</f>
        <v>5553.238614</v>
      </c>
      <c r="J40" s="26" t="n">
        <f aca="false">IF(J$2&gt;=Annahmen!$C$96,Annahmen!$D$96*(1+Annahmen!$B$92)^(J$4-1)*Annahmen!$E$96,0)</f>
        <v>5553.238614</v>
      </c>
      <c r="K40" s="26" t="n">
        <f aca="false">IF(K$2&gt;=Annahmen!$C$96,Annahmen!$D$96*(1+Annahmen!$B$92)^(K$4-1)*Annahmen!$E$96,0)</f>
        <v>5553.238614</v>
      </c>
      <c r="L40" s="26" t="n">
        <f aca="false">IF(L$2&gt;=Annahmen!$C$96,Annahmen!$D$96*(1+Annahmen!$B$92)^(L$4-1)*Annahmen!$E$96,0)</f>
        <v>5553.238614</v>
      </c>
      <c r="M40" s="26" t="n">
        <f aca="false">IF(M$2&gt;=Annahmen!$C$96,Annahmen!$D$96*(1+Annahmen!$B$92)^(M$4-1)*Annahmen!$E$96,0)</f>
        <v>5553.238614</v>
      </c>
      <c r="N40" s="26" t="n">
        <f aca="false">IF(N$2&gt;=Annahmen!$C$96,Annahmen!$D$96*(1+Annahmen!$B$92)^(N$4-1)*Annahmen!$E$96,0)</f>
        <v>5553.238614</v>
      </c>
      <c r="O40" s="26" t="n">
        <f aca="false">IF(O$2&gt;=Annahmen!$C$96,Annahmen!$D$96*(1+Annahmen!$B$92)^(O$4-1)*Annahmen!$E$96,0)</f>
        <v>5719.83577242</v>
      </c>
      <c r="P40" s="26" t="n">
        <f aca="false">IF(P$2&gt;=Annahmen!$C$96,Annahmen!$D$96*(1+Annahmen!$B$92)^(P$4-1)*Annahmen!$E$96,0)</f>
        <v>5719.83577242</v>
      </c>
      <c r="Q40" s="26" t="n">
        <f aca="false">IF(Q$2&gt;=Annahmen!$C$96,Annahmen!$D$96*(1+Annahmen!$B$92)^(Q$4-1)*Annahmen!$E$96,0)</f>
        <v>5719.83577242</v>
      </c>
      <c r="R40" s="26" t="n">
        <f aca="false">IF(R$2&gt;=Annahmen!$C$96,Annahmen!$D$96*(1+Annahmen!$B$92)^(R$4-1)*Annahmen!$E$96,0)</f>
        <v>5719.83577242</v>
      </c>
      <c r="S40" s="26" t="n">
        <f aca="false">IF(S$2&gt;=Annahmen!$C$96,Annahmen!$D$96*(1+Annahmen!$B$92)^(S$4-1)*Annahmen!$E$96,0)</f>
        <v>5719.83577242</v>
      </c>
      <c r="T40" s="26" t="n">
        <f aca="false">IF(T$2&gt;=Annahmen!$C$96,Annahmen!$D$96*(1+Annahmen!$B$92)^(T$4-1)*Annahmen!$E$96,0)</f>
        <v>5719.83577242</v>
      </c>
      <c r="U40" s="26" t="n">
        <f aca="false">IF(U$2&gt;=Annahmen!$C$96,Annahmen!$D$96*(1+Annahmen!$B$92)^(U$4-1)*Annahmen!$E$96,0)</f>
        <v>5719.83577242</v>
      </c>
      <c r="V40" s="26" t="n">
        <f aca="false">IF(V$2&gt;=Annahmen!$C$96,Annahmen!$D$96*(1+Annahmen!$B$92)^(V$4-1)*Annahmen!$E$96,0)</f>
        <v>5719.83577242</v>
      </c>
      <c r="W40" s="26" t="n">
        <f aca="false">IF(W$2&gt;=Annahmen!$C$96,Annahmen!$D$96*(1+Annahmen!$B$92)^(W$4-1)*Annahmen!$E$96,0)</f>
        <v>5719.83577242</v>
      </c>
      <c r="X40" s="26" t="n">
        <f aca="false">IF(X$2&gt;=Annahmen!$C$96,Annahmen!$D$96*(1+Annahmen!$B$92)^(X$4-1)*Annahmen!$E$96,0)</f>
        <v>5719.83577242</v>
      </c>
      <c r="Y40" s="26" t="n">
        <f aca="false">IF(Y$2&gt;=Annahmen!$C$96,Annahmen!$D$96*(1+Annahmen!$B$92)^(Y$4-1)*Annahmen!$E$96,0)</f>
        <v>5719.83577242</v>
      </c>
      <c r="Z40" s="26" t="n">
        <f aca="false">IF(Z$2&gt;=Annahmen!$C$96,Annahmen!$D$96*(1+Annahmen!$B$92)^(Z$4-1)*Annahmen!$E$96,0)</f>
        <v>5719.83577242</v>
      </c>
    </row>
    <row r="41" customFormat="false" ht="15" hidden="false" customHeight="false" outlineLevel="0" collapsed="false">
      <c r="A41" s="5" t="s">
        <v>169</v>
      </c>
      <c r="C41" s="26" t="n">
        <f aca="false">IF(C$2&gt;=Annahmen!$C$97,Annahmen!$D$97*(1+Annahmen!$B$92)^(C$4-1)*Annahmen!$E$97,0)</f>
        <v>2115.519472</v>
      </c>
      <c r="D41" s="26" t="n">
        <f aca="false">IF(D$2&gt;=Annahmen!$C$97,Annahmen!$D$97*(1+Annahmen!$B$92)^(D$4-1)*Annahmen!$E$97,0)</f>
        <v>2115.519472</v>
      </c>
      <c r="E41" s="26" t="n">
        <f aca="false">IF(E$2&gt;=Annahmen!$C$97,Annahmen!$D$97*(1+Annahmen!$B$92)^(E$4-1)*Annahmen!$E$97,0)</f>
        <v>2115.519472</v>
      </c>
      <c r="F41" s="26" t="n">
        <f aca="false">IF(F$2&gt;=Annahmen!$C$97,Annahmen!$D$97*(1+Annahmen!$B$92)^(F$4-1)*Annahmen!$E$97,0)</f>
        <v>2115.519472</v>
      </c>
      <c r="G41" s="26" t="n">
        <f aca="false">IF(G$2&gt;=Annahmen!$C$97,Annahmen!$D$97*(1+Annahmen!$B$92)^(G$4-1)*Annahmen!$E$97,0)</f>
        <v>2115.519472</v>
      </c>
      <c r="H41" s="26" t="n">
        <f aca="false">IF(H$2&gt;=Annahmen!$C$97,Annahmen!$D$97*(1+Annahmen!$B$92)^(H$4-1)*Annahmen!$E$97,0)</f>
        <v>2115.519472</v>
      </c>
      <c r="I41" s="26" t="n">
        <f aca="false">IF(I$2&gt;=Annahmen!$C$97,Annahmen!$D$97*(1+Annahmen!$B$92)^(I$4-1)*Annahmen!$E$97,0)</f>
        <v>2115.519472</v>
      </c>
      <c r="J41" s="26" t="n">
        <f aca="false">IF(J$2&gt;=Annahmen!$C$97,Annahmen!$D$97*(1+Annahmen!$B$92)^(J$4-1)*Annahmen!$E$97,0)</f>
        <v>2115.519472</v>
      </c>
      <c r="K41" s="26" t="n">
        <f aca="false">IF(K$2&gt;=Annahmen!$C$97,Annahmen!$D$97*(1+Annahmen!$B$92)^(K$4-1)*Annahmen!$E$97,0)</f>
        <v>2115.519472</v>
      </c>
      <c r="L41" s="26" t="n">
        <f aca="false">IF(L$2&gt;=Annahmen!$C$97,Annahmen!$D$97*(1+Annahmen!$B$92)^(L$4-1)*Annahmen!$E$97,0)</f>
        <v>2115.519472</v>
      </c>
      <c r="M41" s="26" t="n">
        <f aca="false">IF(M$2&gt;=Annahmen!$C$97,Annahmen!$D$97*(1+Annahmen!$B$92)^(M$4-1)*Annahmen!$E$97,0)</f>
        <v>2115.519472</v>
      </c>
      <c r="N41" s="26" t="n">
        <f aca="false">IF(N$2&gt;=Annahmen!$C$97,Annahmen!$D$97*(1+Annahmen!$B$92)^(N$4-1)*Annahmen!$E$97,0)</f>
        <v>2115.519472</v>
      </c>
      <c r="O41" s="26" t="n">
        <f aca="false">IF(O$2&gt;=Annahmen!$C$97,Annahmen!$D$97*(1+Annahmen!$B$92)^(O$4-1)*Annahmen!$E$97,0)</f>
        <v>2178.98505616</v>
      </c>
      <c r="P41" s="26" t="n">
        <f aca="false">IF(P$2&gt;=Annahmen!$C$97,Annahmen!$D$97*(1+Annahmen!$B$92)^(P$4-1)*Annahmen!$E$97,0)</f>
        <v>2178.98505616</v>
      </c>
      <c r="Q41" s="26" t="n">
        <f aca="false">IF(Q$2&gt;=Annahmen!$C$97,Annahmen!$D$97*(1+Annahmen!$B$92)^(Q$4-1)*Annahmen!$E$97,0)</f>
        <v>2178.98505616</v>
      </c>
      <c r="R41" s="26" t="n">
        <f aca="false">IF(R$2&gt;=Annahmen!$C$97,Annahmen!$D$97*(1+Annahmen!$B$92)^(R$4-1)*Annahmen!$E$97,0)</f>
        <v>2178.98505616</v>
      </c>
      <c r="S41" s="26" t="n">
        <f aca="false">IF(S$2&gt;=Annahmen!$C$97,Annahmen!$D$97*(1+Annahmen!$B$92)^(S$4-1)*Annahmen!$E$97,0)</f>
        <v>2178.98505616</v>
      </c>
      <c r="T41" s="26" t="n">
        <f aca="false">IF(T$2&gt;=Annahmen!$C$97,Annahmen!$D$97*(1+Annahmen!$B$92)^(T$4-1)*Annahmen!$E$97,0)</f>
        <v>2178.98505616</v>
      </c>
      <c r="U41" s="26" t="n">
        <f aca="false">IF(U$2&gt;=Annahmen!$C$97,Annahmen!$D$97*(1+Annahmen!$B$92)^(U$4-1)*Annahmen!$E$97,0)</f>
        <v>2178.98505616</v>
      </c>
      <c r="V41" s="26" t="n">
        <f aca="false">IF(V$2&gt;=Annahmen!$C$97,Annahmen!$D$97*(1+Annahmen!$B$92)^(V$4-1)*Annahmen!$E$97,0)</f>
        <v>2178.98505616</v>
      </c>
      <c r="W41" s="26" t="n">
        <f aca="false">IF(W$2&gt;=Annahmen!$C$97,Annahmen!$D$97*(1+Annahmen!$B$92)^(W$4-1)*Annahmen!$E$97,0)</f>
        <v>2178.98505616</v>
      </c>
      <c r="X41" s="26" t="n">
        <f aca="false">IF(X$2&gt;=Annahmen!$C$97,Annahmen!$D$97*(1+Annahmen!$B$92)^(X$4-1)*Annahmen!$E$97,0)</f>
        <v>2178.98505616</v>
      </c>
      <c r="Y41" s="26" t="n">
        <f aca="false">IF(Y$2&gt;=Annahmen!$C$97,Annahmen!$D$97*(1+Annahmen!$B$92)^(Y$4-1)*Annahmen!$E$97,0)</f>
        <v>2178.98505616</v>
      </c>
      <c r="Z41" s="26" t="n">
        <f aca="false">IF(Z$2&gt;=Annahmen!$C$97,Annahmen!$D$97*(1+Annahmen!$B$92)^(Z$4-1)*Annahmen!$E$97,0)</f>
        <v>2178.98505616</v>
      </c>
    </row>
    <row r="42" customFormat="false" ht="15" hidden="false" customHeight="false" outlineLevel="0" collapsed="false">
      <c r="A42" s="5" t="s">
        <v>171</v>
      </c>
      <c r="C42" s="26" t="n">
        <f aca="false">IF(C$2&gt;=Annahmen!$C$98,Annahmen!$D$98*(1+Annahmen!$B$92)^(C$4-1)*Annahmen!$E$98,0)</f>
        <v>6875.438284</v>
      </c>
      <c r="D42" s="26" t="n">
        <f aca="false">IF(D$2&gt;=Annahmen!$C$98,Annahmen!$D$98*(1+Annahmen!$B$92)^(D$4-1)*Annahmen!$E$98,0)</f>
        <v>6875.438284</v>
      </c>
      <c r="E42" s="26" t="n">
        <f aca="false">IF(E$2&gt;=Annahmen!$C$98,Annahmen!$D$98*(1+Annahmen!$B$92)^(E$4-1)*Annahmen!$E$98,0)</f>
        <v>6875.438284</v>
      </c>
      <c r="F42" s="26" t="n">
        <f aca="false">IF(F$2&gt;=Annahmen!$C$98,Annahmen!$D$98*(1+Annahmen!$B$92)^(F$4-1)*Annahmen!$E$98,0)</f>
        <v>6875.438284</v>
      </c>
      <c r="G42" s="26" t="n">
        <f aca="false">IF(G$2&gt;=Annahmen!$C$98,Annahmen!$D$98*(1+Annahmen!$B$92)^(G$4-1)*Annahmen!$E$98,0)</f>
        <v>6875.438284</v>
      </c>
      <c r="H42" s="26" t="n">
        <f aca="false">IF(H$2&gt;=Annahmen!$C$98,Annahmen!$D$98*(1+Annahmen!$B$92)^(H$4-1)*Annahmen!$E$98,0)</f>
        <v>6875.438284</v>
      </c>
      <c r="I42" s="26" t="n">
        <f aca="false">IF(I$2&gt;=Annahmen!$C$98,Annahmen!$D$98*(1+Annahmen!$B$92)^(I$4-1)*Annahmen!$E$98,0)</f>
        <v>6875.438284</v>
      </c>
      <c r="J42" s="26" t="n">
        <f aca="false">IF(J$2&gt;=Annahmen!$C$98,Annahmen!$D$98*(1+Annahmen!$B$92)^(J$4-1)*Annahmen!$E$98,0)</f>
        <v>6875.438284</v>
      </c>
      <c r="K42" s="26" t="n">
        <f aca="false">IF(K$2&gt;=Annahmen!$C$98,Annahmen!$D$98*(1+Annahmen!$B$92)^(K$4-1)*Annahmen!$E$98,0)</f>
        <v>6875.438284</v>
      </c>
      <c r="L42" s="26" t="n">
        <f aca="false">IF(L$2&gt;=Annahmen!$C$98,Annahmen!$D$98*(1+Annahmen!$B$92)^(L$4-1)*Annahmen!$E$98,0)</f>
        <v>6875.438284</v>
      </c>
      <c r="M42" s="26" t="n">
        <f aca="false">IF(M$2&gt;=Annahmen!$C$98,Annahmen!$D$98*(1+Annahmen!$B$92)^(M$4-1)*Annahmen!$E$98,0)</f>
        <v>6875.438284</v>
      </c>
      <c r="N42" s="26" t="n">
        <f aca="false">IF(N$2&gt;=Annahmen!$C$98,Annahmen!$D$98*(1+Annahmen!$B$92)^(N$4-1)*Annahmen!$E$98,0)</f>
        <v>6875.438284</v>
      </c>
      <c r="O42" s="26" t="n">
        <f aca="false">IF(O$2&gt;=Annahmen!$C$98,Annahmen!$D$98*(1+Annahmen!$B$92)^(O$4-1)*Annahmen!$E$98,0)</f>
        <v>7081.70143252</v>
      </c>
      <c r="P42" s="26" t="n">
        <f aca="false">IF(P$2&gt;=Annahmen!$C$98,Annahmen!$D$98*(1+Annahmen!$B$92)^(P$4-1)*Annahmen!$E$98,0)</f>
        <v>7081.70143252</v>
      </c>
      <c r="Q42" s="26" t="n">
        <f aca="false">IF(Q$2&gt;=Annahmen!$C$98,Annahmen!$D$98*(1+Annahmen!$B$92)^(Q$4-1)*Annahmen!$E$98,0)</f>
        <v>7081.70143252</v>
      </c>
      <c r="R42" s="26" t="n">
        <f aca="false">IF(R$2&gt;=Annahmen!$C$98,Annahmen!$D$98*(1+Annahmen!$B$92)^(R$4-1)*Annahmen!$E$98,0)</f>
        <v>7081.70143252</v>
      </c>
      <c r="S42" s="26" t="n">
        <f aca="false">IF(S$2&gt;=Annahmen!$C$98,Annahmen!$D$98*(1+Annahmen!$B$92)^(S$4-1)*Annahmen!$E$98,0)</f>
        <v>7081.70143252</v>
      </c>
      <c r="T42" s="26" t="n">
        <f aca="false">IF(T$2&gt;=Annahmen!$C$98,Annahmen!$D$98*(1+Annahmen!$B$92)^(T$4-1)*Annahmen!$E$98,0)</f>
        <v>7081.70143252</v>
      </c>
      <c r="U42" s="26" t="n">
        <f aca="false">IF(U$2&gt;=Annahmen!$C$98,Annahmen!$D$98*(1+Annahmen!$B$92)^(U$4-1)*Annahmen!$E$98,0)</f>
        <v>7081.70143252</v>
      </c>
      <c r="V42" s="26" t="n">
        <f aca="false">IF(V$2&gt;=Annahmen!$C$98,Annahmen!$D$98*(1+Annahmen!$B$92)^(V$4-1)*Annahmen!$E$98,0)</f>
        <v>7081.70143252</v>
      </c>
      <c r="W42" s="26" t="n">
        <f aca="false">IF(W$2&gt;=Annahmen!$C$98,Annahmen!$D$98*(1+Annahmen!$B$92)^(W$4-1)*Annahmen!$E$98,0)</f>
        <v>7081.70143252</v>
      </c>
      <c r="X42" s="26" t="n">
        <f aca="false">IF(X$2&gt;=Annahmen!$C$98,Annahmen!$D$98*(1+Annahmen!$B$92)^(X$4-1)*Annahmen!$E$98,0)</f>
        <v>7081.70143252</v>
      </c>
      <c r="Y42" s="26" t="n">
        <f aca="false">IF(Y$2&gt;=Annahmen!$C$98,Annahmen!$D$98*(1+Annahmen!$B$92)^(Y$4-1)*Annahmen!$E$98,0)</f>
        <v>7081.70143252</v>
      </c>
      <c r="Z42" s="26" t="n">
        <f aca="false">IF(Z$2&gt;=Annahmen!$C$98,Annahmen!$D$98*(1+Annahmen!$B$92)^(Z$4-1)*Annahmen!$E$98,0)</f>
        <v>7081.70143252</v>
      </c>
    </row>
    <row r="43" customFormat="false" ht="15" hidden="false" customHeight="false" outlineLevel="0" collapsed="false">
      <c r="A43" s="5" t="s">
        <v>172</v>
      </c>
      <c r="C43" s="26" t="n">
        <f aca="false">IF(C$2&gt;=Annahmen!$C$99,Annahmen!$D$99*(1+Annahmen!$B$92)^(C$4-1)*Annahmen!$E$99,0)</f>
        <v>5024.358746</v>
      </c>
      <c r="D43" s="26" t="n">
        <f aca="false">IF(D$2&gt;=Annahmen!$C$99,Annahmen!$D$99*(1+Annahmen!$B$92)^(D$4-1)*Annahmen!$E$99,0)</f>
        <v>5024.358746</v>
      </c>
      <c r="E43" s="26" t="n">
        <f aca="false">IF(E$2&gt;=Annahmen!$C$99,Annahmen!$D$99*(1+Annahmen!$B$92)^(E$4-1)*Annahmen!$E$99,0)</f>
        <v>5024.358746</v>
      </c>
      <c r="F43" s="26" t="n">
        <f aca="false">IF(F$2&gt;=Annahmen!$C$99,Annahmen!$D$99*(1+Annahmen!$B$92)^(F$4-1)*Annahmen!$E$99,0)</f>
        <v>5024.358746</v>
      </c>
      <c r="G43" s="26" t="n">
        <f aca="false">IF(G$2&gt;=Annahmen!$C$99,Annahmen!$D$99*(1+Annahmen!$B$92)^(G$4-1)*Annahmen!$E$99,0)</f>
        <v>5024.358746</v>
      </c>
      <c r="H43" s="26" t="n">
        <f aca="false">IF(H$2&gt;=Annahmen!$C$99,Annahmen!$D$99*(1+Annahmen!$B$92)^(H$4-1)*Annahmen!$E$99,0)</f>
        <v>5024.358746</v>
      </c>
      <c r="I43" s="26" t="n">
        <f aca="false">IF(I$2&gt;=Annahmen!$C$99,Annahmen!$D$99*(1+Annahmen!$B$92)^(I$4-1)*Annahmen!$E$99,0)</f>
        <v>5024.358746</v>
      </c>
      <c r="J43" s="26" t="n">
        <f aca="false">IF(J$2&gt;=Annahmen!$C$99,Annahmen!$D$99*(1+Annahmen!$B$92)^(J$4-1)*Annahmen!$E$99,0)</f>
        <v>5024.358746</v>
      </c>
      <c r="K43" s="26" t="n">
        <f aca="false">IF(K$2&gt;=Annahmen!$C$99,Annahmen!$D$99*(1+Annahmen!$B$92)^(K$4-1)*Annahmen!$E$99,0)</f>
        <v>5024.358746</v>
      </c>
      <c r="L43" s="26" t="n">
        <f aca="false">IF(L$2&gt;=Annahmen!$C$99,Annahmen!$D$99*(1+Annahmen!$B$92)^(L$4-1)*Annahmen!$E$99,0)</f>
        <v>5024.358746</v>
      </c>
      <c r="M43" s="26" t="n">
        <f aca="false">IF(M$2&gt;=Annahmen!$C$99,Annahmen!$D$99*(1+Annahmen!$B$92)^(M$4-1)*Annahmen!$E$99,0)</f>
        <v>5024.358746</v>
      </c>
      <c r="N43" s="26" t="n">
        <f aca="false">IF(N$2&gt;=Annahmen!$C$99,Annahmen!$D$99*(1+Annahmen!$B$92)^(N$4-1)*Annahmen!$E$99,0)</f>
        <v>5024.358746</v>
      </c>
      <c r="O43" s="26" t="n">
        <f aca="false">IF(O$2&gt;=Annahmen!$C$99,Annahmen!$D$99*(1+Annahmen!$B$92)^(O$4-1)*Annahmen!$E$99,0)</f>
        <v>5175.08950838</v>
      </c>
      <c r="P43" s="26" t="n">
        <f aca="false">IF(P$2&gt;=Annahmen!$C$99,Annahmen!$D$99*(1+Annahmen!$B$92)^(P$4-1)*Annahmen!$E$99,0)</f>
        <v>5175.08950838</v>
      </c>
      <c r="Q43" s="26" t="n">
        <f aca="false">IF(Q$2&gt;=Annahmen!$C$99,Annahmen!$D$99*(1+Annahmen!$B$92)^(Q$4-1)*Annahmen!$E$99,0)</f>
        <v>5175.08950838</v>
      </c>
      <c r="R43" s="26" t="n">
        <f aca="false">IF(R$2&gt;=Annahmen!$C$99,Annahmen!$D$99*(1+Annahmen!$B$92)^(R$4-1)*Annahmen!$E$99,0)</f>
        <v>5175.08950838</v>
      </c>
      <c r="S43" s="26" t="n">
        <f aca="false">IF(S$2&gt;=Annahmen!$C$99,Annahmen!$D$99*(1+Annahmen!$B$92)^(S$4-1)*Annahmen!$E$99,0)</f>
        <v>5175.08950838</v>
      </c>
      <c r="T43" s="26" t="n">
        <f aca="false">IF(T$2&gt;=Annahmen!$C$99,Annahmen!$D$99*(1+Annahmen!$B$92)^(T$4-1)*Annahmen!$E$99,0)</f>
        <v>5175.08950838</v>
      </c>
      <c r="U43" s="26" t="n">
        <f aca="false">IF(U$2&gt;=Annahmen!$C$99,Annahmen!$D$99*(1+Annahmen!$B$92)^(U$4-1)*Annahmen!$E$99,0)</f>
        <v>5175.08950838</v>
      </c>
      <c r="V43" s="26" t="n">
        <f aca="false">IF(V$2&gt;=Annahmen!$C$99,Annahmen!$D$99*(1+Annahmen!$B$92)^(V$4-1)*Annahmen!$E$99,0)</f>
        <v>5175.08950838</v>
      </c>
      <c r="W43" s="26" t="n">
        <f aca="false">IF(W$2&gt;=Annahmen!$C$99,Annahmen!$D$99*(1+Annahmen!$B$92)^(W$4-1)*Annahmen!$E$99,0)</f>
        <v>5175.08950838</v>
      </c>
      <c r="X43" s="26" t="n">
        <f aca="false">IF(X$2&gt;=Annahmen!$C$99,Annahmen!$D$99*(1+Annahmen!$B$92)^(X$4-1)*Annahmen!$E$99,0)</f>
        <v>5175.08950838</v>
      </c>
      <c r="Y43" s="26" t="n">
        <f aca="false">IF(Y$2&gt;=Annahmen!$C$99,Annahmen!$D$99*(1+Annahmen!$B$92)^(Y$4-1)*Annahmen!$E$99,0)</f>
        <v>5175.08950838</v>
      </c>
      <c r="Z43" s="26" t="n">
        <f aca="false">IF(Z$2&gt;=Annahmen!$C$99,Annahmen!$D$99*(1+Annahmen!$B$92)^(Z$4-1)*Annahmen!$E$99,0)</f>
        <v>5175.08950838</v>
      </c>
    </row>
    <row r="44" customFormat="false" ht="15" hidden="false" customHeight="false" outlineLevel="0" collapsed="false">
      <c r="A44" s="5" t="s">
        <v>173</v>
      </c>
      <c r="C44" s="26" t="n">
        <f aca="false">IF(C$2&gt;=Annahmen!$C$100,Annahmen!$D$100*(1+Annahmen!$B$92)^(C$4-1)*Annahmen!$E$100,0)</f>
        <v>5288.79868</v>
      </c>
      <c r="D44" s="26" t="n">
        <f aca="false">IF(D$2&gt;=Annahmen!$C$100,Annahmen!$D$100*(1+Annahmen!$B$92)^(D$4-1)*Annahmen!$E$100,0)</f>
        <v>5288.79868</v>
      </c>
      <c r="E44" s="26" t="n">
        <f aca="false">IF(E$2&gt;=Annahmen!$C$100,Annahmen!$D$100*(1+Annahmen!$B$92)^(E$4-1)*Annahmen!$E$100,0)</f>
        <v>5288.79868</v>
      </c>
      <c r="F44" s="26" t="n">
        <f aca="false">IF(F$2&gt;=Annahmen!$C$100,Annahmen!$D$100*(1+Annahmen!$B$92)^(F$4-1)*Annahmen!$E$100,0)</f>
        <v>5288.79868</v>
      </c>
      <c r="G44" s="26" t="n">
        <f aca="false">IF(G$2&gt;=Annahmen!$C$100,Annahmen!$D$100*(1+Annahmen!$B$92)^(G$4-1)*Annahmen!$E$100,0)</f>
        <v>5288.79868</v>
      </c>
      <c r="H44" s="26" t="n">
        <f aca="false">IF(H$2&gt;=Annahmen!$C$100,Annahmen!$D$100*(1+Annahmen!$B$92)^(H$4-1)*Annahmen!$E$100,0)</f>
        <v>5288.79868</v>
      </c>
      <c r="I44" s="26" t="n">
        <f aca="false">IF(I$2&gt;=Annahmen!$C$100,Annahmen!$D$100*(1+Annahmen!$B$92)^(I$4-1)*Annahmen!$E$100,0)</f>
        <v>5288.79868</v>
      </c>
      <c r="J44" s="26" t="n">
        <f aca="false">IF(J$2&gt;=Annahmen!$C$100,Annahmen!$D$100*(1+Annahmen!$B$92)^(J$4-1)*Annahmen!$E$100,0)</f>
        <v>5288.79868</v>
      </c>
      <c r="K44" s="26" t="n">
        <f aca="false">IF(K$2&gt;=Annahmen!$C$100,Annahmen!$D$100*(1+Annahmen!$B$92)^(K$4-1)*Annahmen!$E$100,0)</f>
        <v>5288.79868</v>
      </c>
      <c r="L44" s="26" t="n">
        <f aca="false">IF(L$2&gt;=Annahmen!$C$100,Annahmen!$D$100*(1+Annahmen!$B$92)^(L$4-1)*Annahmen!$E$100,0)</f>
        <v>5288.79868</v>
      </c>
      <c r="M44" s="26" t="n">
        <f aca="false">IF(M$2&gt;=Annahmen!$C$100,Annahmen!$D$100*(1+Annahmen!$B$92)^(M$4-1)*Annahmen!$E$100,0)</f>
        <v>5288.79868</v>
      </c>
      <c r="N44" s="26" t="n">
        <f aca="false">IF(N$2&gt;=Annahmen!$C$100,Annahmen!$D$100*(1+Annahmen!$B$92)^(N$4-1)*Annahmen!$E$100,0)</f>
        <v>5288.79868</v>
      </c>
      <c r="O44" s="26" t="n">
        <f aca="false">IF(O$2&gt;=Annahmen!$C$100,Annahmen!$D$100*(1+Annahmen!$B$92)^(O$4-1)*Annahmen!$E$100,0)</f>
        <v>5447.4626404</v>
      </c>
      <c r="P44" s="26" t="n">
        <f aca="false">IF(P$2&gt;=Annahmen!$C$100,Annahmen!$D$100*(1+Annahmen!$B$92)^(P$4-1)*Annahmen!$E$100,0)</f>
        <v>5447.4626404</v>
      </c>
      <c r="Q44" s="26" t="n">
        <f aca="false">IF(Q$2&gt;=Annahmen!$C$100,Annahmen!$D$100*(1+Annahmen!$B$92)^(Q$4-1)*Annahmen!$E$100,0)</f>
        <v>5447.4626404</v>
      </c>
      <c r="R44" s="26" t="n">
        <f aca="false">IF(R$2&gt;=Annahmen!$C$100,Annahmen!$D$100*(1+Annahmen!$B$92)^(R$4-1)*Annahmen!$E$100,0)</f>
        <v>5447.4626404</v>
      </c>
      <c r="S44" s="26" t="n">
        <f aca="false">IF(S$2&gt;=Annahmen!$C$100,Annahmen!$D$100*(1+Annahmen!$B$92)^(S$4-1)*Annahmen!$E$100,0)</f>
        <v>5447.4626404</v>
      </c>
      <c r="T44" s="26" t="n">
        <f aca="false">IF(T$2&gt;=Annahmen!$C$100,Annahmen!$D$100*(1+Annahmen!$B$92)^(T$4-1)*Annahmen!$E$100,0)</f>
        <v>5447.4626404</v>
      </c>
      <c r="U44" s="26" t="n">
        <f aca="false">IF(U$2&gt;=Annahmen!$C$100,Annahmen!$D$100*(1+Annahmen!$B$92)^(U$4-1)*Annahmen!$E$100,0)</f>
        <v>5447.4626404</v>
      </c>
      <c r="V44" s="26" t="n">
        <f aca="false">IF(V$2&gt;=Annahmen!$C$100,Annahmen!$D$100*(1+Annahmen!$B$92)^(V$4-1)*Annahmen!$E$100,0)</f>
        <v>5447.4626404</v>
      </c>
      <c r="W44" s="26" t="n">
        <f aca="false">IF(W$2&gt;=Annahmen!$C$100,Annahmen!$D$100*(1+Annahmen!$B$92)^(W$4-1)*Annahmen!$E$100,0)</f>
        <v>5447.4626404</v>
      </c>
      <c r="X44" s="26" t="n">
        <f aca="false">IF(X$2&gt;=Annahmen!$C$100,Annahmen!$D$100*(1+Annahmen!$B$92)^(X$4-1)*Annahmen!$E$100,0)</f>
        <v>5447.4626404</v>
      </c>
      <c r="Y44" s="26" t="n">
        <f aca="false">IF(Y$2&gt;=Annahmen!$C$100,Annahmen!$D$100*(1+Annahmen!$B$92)^(Y$4-1)*Annahmen!$E$100,0)</f>
        <v>5447.4626404</v>
      </c>
      <c r="Z44" s="26" t="n">
        <f aca="false">IF(Z$2&gt;=Annahmen!$C$100,Annahmen!$D$100*(1+Annahmen!$B$92)^(Z$4-1)*Annahmen!$E$100,0)</f>
        <v>5447.4626404</v>
      </c>
    </row>
    <row r="45" customFormat="false" ht="15" hidden="false" customHeight="false" outlineLevel="0" collapsed="false">
      <c r="A45" s="5" t="s">
        <v>174</v>
      </c>
      <c r="C45" s="26" t="n">
        <f aca="false">IF(C$2&gt;=Annahmen!$C$101,Annahmen!$D$101*(1+Annahmen!$B$92)^(C$4-1)*Annahmen!$E$101,0)</f>
        <v>7139.878218</v>
      </c>
      <c r="D45" s="26" t="n">
        <f aca="false">IF(D$2&gt;=Annahmen!$C$101,Annahmen!$D$101*(1+Annahmen!$B$92)^(D$4-1)*Annahmen!$E$101,0)</f>
        <v>7139.878218</v>
      </c>
      <c r="E45" s="26" t="n">
        <f aca="false">IF(E$2&gt;=Annahmen!$C$101,Annahmen!$D$101*(1+Annahmen!$B$92)^(E$4-1)*Annahmen!$E$101,0)</f>
        <v>7139.878218</v>
      </c>
      <c r="F45" s="26" t="n">
        <f aca="false">IF(F$2&gt;=Annahmen!$C$101,Annahmen!$D$101*(1+Annahmen!$B$92)^(F$4-1)*Annahmen!$E$101,0)</f>
        <v>7139.878218</v>
      </c>
      <c r="G45" s="26" t="n">
        <f aca="false">IF(G$2&gt;=Annahmen!$C$101,Annahmen!$D$101*(1+Annahmen!$B$92)^(G$4-1)*Annahmen!$E$101,0)</f>
        <v>7139.878218</v>
      </c>
      <c r="H45" s="26" t="n">
        <f aca="false">IF(H$2&gt;=Annahmen!$C$101,Annahmen!$D$101*(1+Annahmen!$B$92)^(H$4-1)*Annahmen!$E$101,0)</f>
        <v>7139.878218</v>
      </c>
      <c r="I45" s="26" t="n">
        <f aca="false">IF(I$2&gt;=Annahmen!$C$101,Annahmen!$D$101*(1+Annahmen!$B$92)^(I$4-1)*Annahmen!$E$101,0)</f>
        <v>7139.878218</v>
      </c>
      <c r="J45" s="26" t="n">
        <f aca="false">IF(J$2&gt;=Annahmen!$C$101,Annahmen!$D$101*(1+Annahmen!$B$92)^(J$4-1)*Annahmen!$E$101,0)</f>
        <v>7139.878218</v>
      </c>
      <c r="K45" s="26" t="n">
        <f aca="false">IF(K$2&gt;=Annahmen!$C$101,Annahmen!$D$101*(1+Annahmen!$B$92)^(K$4-1)*Annahmen!$E$101,0)</f>
        <v>7139.878218</v>
      </c>
      <c r="L45" s="26" t="n">
        <f aca="false">IF(L$2&gt;=Annahmen!$C$101,Annahmen!$D$101*(1+Annahmen!$B$92)^(L$4-1)*Annahmen!$E$101,0)</f>
        <v>7139.878218</v>
      </c>
      <c r="M45" s="26" t="n">
        <f aca="false">IF(M$2&gt;=Annahmen!$C$101,Annahmen!$D$101*(1+Annahmen!$B$92)^(M$4-1)*Annahmen!$E$101,0)</f>
        <v>7139.878218</v>
      </c>
      <c r="N45" s="26" t="n">
        <f aca="false">IF(N$2&gt;=Annahmen!$C$101,Annahmen!$D$101*(1+Annahmen!$B$92)^(N$4-1)*Annahmen!$E$101,0)</f>
        <v>7139.878218</v>
      </c>
      <c r="O45" s="26" t="n">
        <f aca="false">IF(O$2&gt;=Annahmen!$C$101,Annahmen!$D$101*(1+Annahmen!$B$92)^(O$4-1)*Annahmen!$E$101,0)</f>
        <v>7354.07456454</v>
      </c>
      <c r="P45" s="26" t="n">
        <f aca="false">IF(P$2&gt;=Annahmen!$C$101,Annahmen!$D$101*(1+Annahmen!$B$92)^(P$4-1)*Annahmen!$E$101,0)</f>
        <v>7354.07456454</v>
      </c>
      <c r="Q45" s="26" t="n">
        <f aca="false">IF(Q$2&gt;=Annahmen!$C$101,Annahmen!$D$101*(1+Annahmen!$B$92)^(Q$4-1)*Annahmen!$E$101,0)</f>
        <v>7354.07456454</v>
      </c>
      <c r="R45" s="26" t="n">
        <f aca="false">IF(R$2&gt;=Annahmen!$C$101,Annahmen!$D$101*(1+Annahmen!$B$92)^(R$4-1)*Annahmen!$E$101,0)</f>
        <v>7354.07456454</v>
      </c>
      <c r="S45" s="26" t="n">
        <f aca="false">IF(S$2&gt;=Annahmen!$C$101,Annahmen!$D$101*(1+Annahmen!$B$92)^(S$4-1)*Annahmen!$E$101,0)</f>
        <v>7354.07456454</v>
      </c>
      <c r="T45" s="26" t="n">
        <f aca="false">IF(T$2&gt;=Annahmen!$C$101,Annahmen!$D$101*(1+Annahmen!$B$92)^(T$4-1)*Annahmen!$E$101,0)</f>
        <v>7354.07456454</v>
      </c>
      <c r="U45" s="26" t="n">
        <f aca="false">IF(U$2&gt;=Annahmen!$C$101,Annahmen!$D$101*(1+Annahmen!$B$92)^(U$4-1)*Annahmen!$E$101,0)</f>
        <v>7354.07456454</v>
      </c>
      <c r="V45" s="26" t="n">
        <f aca="false">IF(V$2&gt;=Annahmen!$C$101,Annahmen!$D$101*(1+Annahmen!$B$92)^(V$4-1)*Annahmen!$E$101,0)</f>
        <v>7354.07456454</v>
      </c>
      <c r="W45" s="26" t="n">
        <f aca="false">IF(W$2&gt;=Annahmen!$C$101,Annahmen!$D$101*(1+Annahmen!$B$92)^(W$4-1)*Annahmen!$E$101,0)</f>
        <v>7354.07456454</v>
      </c>
      <c r="X45" s="26" t="n">
        <f aca="false">IF(X$2&gt;=Annahmen!$C$101,Annahmen!$D$101*(1+Annahmen!$B$92)^(X$4-1)*Annahmen!$E$101,0)</f>
        <v>7354.07456454</v>
      </c>
      <c r="Y45" s="26" t="n">
        <f aca="false">IF(Y$2&gt;=Annahmen!$C$101,Annahmen!$D$101*(1+Annahmen!$B$92)^(Y$4-1)*Annahmen!$E$101,0)</f>
        <v>7354.07456454</v>
      </c>
      <c r="Z45" s="26" t="n">
        <f aca="false">IF(Z$2&gt;=Annahmen!$C$101,Annahmen!$D$101*(1+Annahmen!$B$92)^(Z$4-1)*Annahmen!$E$101,0)</f>
        <v>7354.07456454</v>
      </c>
    </row>
    <row r="46" customFormat="false" ht="15" hidden="false" customHeight="false" outlineLevel="0" collapsed="false">
      <c r="A46" s="5" t="s">
        <v>175</v>
      </c>
      <c r="C46" s="26" t="n">
        <f aca="false">IF(C$2&gt;=Annahmen!$C$102,Annahmen!$D$102*(1+Annahmen!$B$92)^(C$4-1)*Annahmen!$E$102,0)</f>
        <v>5553.238614</v>
      </c>
      <c r="D46" s="26" t="n">
        <f aca="false">IF(D$2&gt;=Annahmen!$C$102,Annahmen!$D$102*(1+Annahmen!$B$92)^(D$4-1)*Annahmen!$E$102,0)</f>
        <v>5553.238614</v>
      </c>
      <c r="E46" s="26" t="n">
        <f aca="false">IF(E$2&gt;=Annahmen!$C$102,Annahmen!$D$102*(1+Annahmen!$B$92)^(E$4-1)*Annahmen!$E$102,0)</f>
        <v>5553.238614</v>
      </c>
      <c r="F46" s="26" t="n">
        <f aca="false">IF(F$2&gt;=Annahmen!$C$102,Annahmen!$D$102*(1+Annahmen!$B$92)^(F$4-1)*Annahmen!$E$102,0)</f>
        <v>5553.238614</v>
      </c>
      <c r="G46" s="26" t="n">
        <f aca="false">IF(G$2&gt;=Annahmen!$C$102,Annahmen!$D$102*(1+Annahmen!$B$92)^(G$4-1)*Annahmen!$E$102,0)</f>
        <v>5553.238614</v>
      </c>
      <c r="H46" s="26" t="n">
        <f aca="false">IF(H$2&gt;=Annahmen!$C$102,Annahmen!$D$102*(1+Annahmen!$B$92)^(H$4-1)*Annahmen!$E$102,0)</f>
        <v>5553.238614</v>
      </c>
      <c r="I46" s="26" t="n">
        <f aca="false">IF(I$2&gt;=Annahmen!$C$102,Annahmen!$D$102*(1+Annahmen!$B$92)^(I$4-1)*Annahmen!$E$102,0)</f>
        <v>5553.238614</v>
      </c>
      <c r="J46" s="26" t="n">
        <f aca="false">IF(J$2&gt;=Annahmen!$C$102,Annahmen!$D$102*(1+Annahmen!$B$92)^(J$4-1)*Annahmen!$E$102,0)</f>
        <v>5553.238614</v>
      </c>
      <c r="K46" s="26" t="n">
        <f aca="false">IF(K$2&gt;=Annahmen!$C$102,Annahmen!$D$102*(1+Annahmen!$B$92)^(K$4-1)*Annahmen!$E$102,0)</f>
        <v>5553.238614</v>
      </c>
      <c r="L46" s="26" t="n">
        <f aca="false">IF(L$2&gt;=Annahmen!$C$102,Annahmen!$D$102*(1+Annahmen!$B$92)^(L$4-1)*Annahmen!$E$102,0)</f>
        <v>5553.238614</v>
      </c>
      <c r="M46" s="26" t="n">
        <f aca="false">IF(M$2&gt;=Annahmen!$C$102,Annahmen!$D$102*(1+Annahmen!$B$92)^(M$4-1)*Annahmen!$E$102,0)</f>
        <v>5553.238614</v>
      </c>
      <c r="N46" s="26" t="n">
        <f aca="false">IF(N$2&gt;=Annahmen!$C$102,Annahmen!$D$102*(1+Annahmen!$B$92)^(N$4-1)*Annahmen!$E$102,0)</f>
        <v>5553.238614</v>
      </c>
      <c r="O46" s="26" t="n">
        <f aca="false">IF(O$2&gt;=Annahmen!$C$102,Annahmen!$D$102*(1+Annahmen!$B$92)^(O$4-1)*Annahmen!$E$102,0)</f>
        <v>5719.83577242</v>
      </c>
      <c r="P46" s="26" t="n">
        <f aca="false">IF(P$2&gt;=Annahmen!$C$102,Annahmen!$D$102*(1+Annahmen!$B$92)^(P$4-1)*Annahmen!$E$102,0)</f>
        <v>5719.83577242</v>
      </c>
      <c r="Q46" s="26" t="n">
        <f aca="false">IF(Q$2&gt;=Annahmen!$C$102,Annahmen!$D$102*(1+Annahmen!$B$92)^(Q$4-1)*Annahmen!$E$102,0)</f>
        <v>5719.83577242</v>
      </c>
      <c r="R46" s="26" t="n">
        <f aca="false">IF(R$2&gt;=Annahmen!$C$102,Annahmen!$D$102*(1+Annahmen!$B$92)^(R$4-1)*Annahmen!$E$102,0)</f>
        <v>5719.83577242</v>
      </c>
      <c r="S46" s="26" t="n">
        <f aca="false">IF(S$2&gt;=Annahmen!$C$102,Annahmen!$D$102*(1+Annahmen!$B$92)^(S$4-1)*Annahmen!$E$102,0)</f>
        <v>5719.83577242</v>
      </c>
      <c r="T46" s="26" t="n">
        <f aca="false">IF(T$2&gt;=Annahmen!$C$102,Annahmen!$D$102*(1+Annahmen!$B$92)^(T$4-1)*Annahmen!$E$102,0)</f>
        <v>5719.83577242</v>
      </c>
      <c r="U46" s="26" t="n">
        <f aca="false">IF(U$2&gt;=Annahmen!$C$102,Annahmen!$D$102*(1+Annahmen!$B$92)^(U$4-1)*Annahmen!$E$102,0)</f>
        <v>5719.83577242</v>
      </c>
      <c r="V46" s="26" t="n">
        <f aca="false">IF(V$2&gt;=Annahmen!$C$102,Annahmen!$D$102*(1+Annahmen!$B$92)^(V$4-1)*Annahmen!$E$102,0)</f>
        <v>5719.83577242</v>
      </c>
      <c r="W46" s="26" t="n">
        <f aca="false">IF(W$2&gt;=Annahmen!$C$102,Annahmen!$D$102*(1+Annahmen!$B$92)^(W$4-1)*Annahmen!$E$102,0)</f>
        <v>5719.83577242</v>
      </c>
      <c r="X46" s="26" t="n">
        <f aca="false">IF(X$2&gt;=Annahmen!$C$102,Annahmen!$D$102*(1+Annahmen!$B$92)^(X$4-1)*Annahmen!$E$102,0)</f>
        <v>5719.83577242</v>
      </c>
      <c r="Y46" s="26" t="n">
        <f aca="false">IF(Y$2&gt;=Annahmen!$C$102,Annahmen!$D$102*(1+Annahmen!$B$92)^(Y$4-1)*Annahmen!$E$102,0)</f>
        <v>5719.83577242</v>
      </c>
      <c r="Z46" s="26" t="n">
        <f aca="false">IF(Z$2&gt;=Annahmen!$C$102,Annahmen!$D$102*(1+Annahmen!$B$92)^(Z$4-1)*Annahmen!$E$102,0)</f>
        <v>5719.83577242</v>
      </c>
    </row>
    <row r="47" customFormat="false" ht="15" hidden="false" customHeight="false" outlineLevel="0" collapsed="false">
      <c r="A47" s="5" t="s">
        <v>176</v>
      </c>
      <c r="C47" s="26" t="n">
        <f aca="false">IF(C$2&gt;=Annahmen!$C$103,Annahmen!$D$103*(1+Annahmen!$B$92)^(C$4-1)*Annahmen!$E$103,0)</f>
        <v>0</v>
      </c>
      <c r="D47" s="26" t="n">
        <f aca="false">IF(D$2&gt;=Annahmen!$C$103,Annahmen!$D$103*(1+Annahmen!$B$92)^(D$4-1)*Annahmen!$E$103,0)</f>
        <v>0</v>
      </c>
      <c r="E47" s="26" t="n">
        <f aca="false">IF(E$2&gt;=Annahmen!$C$103,Annahmen!$D$103*(1+Annahmen!$B$92)^(E$4-1)*Annahmen!$E$103,0)</f>
        <v>0</v>
      </c>
      <c r="F47" s="26" t="n">
        <f aca="false">IF(F$2&gt;=Annahmen!$C$103,Annahmen!$D$103*(1+Annahmen!$B$92)^(F$4-1)*Annahmen!$E$103,0)</f>
        <v>0</v>
      </c>
      <c r="G47" s="26" t="n">
        <f aca="false">IF(G$2&gt;=Annahmen!$C$103,Annahmen!$D$103*(1+Annahmen!$B$92)^(G$4-1)*Annahmen!$E$103,0)</f>
        <v>0</v>
      </c>
      <c r="H47" s="26" t="n">
        <f aca="false">IF(H$2&gt;=Annahmen!$C$103,Annahmen!$D$103*(1+Annahmen!$B$92)^(H$4-1)*Annahmen!$E$103,0)</f>
        <v>0</v>
      </c>
      <c r="I47" s="26" t="n">
        <f aca="false">IF(I$2&gt;=Annahmen!$C$103,Annahmen!$D$103*(1+Annahmen!$B$92)^(I$4-1)*Annahmen!$E$103,0)</f>
        <v>5024.358746</v>
      </c>
      <c r="J47" s="26" t="n">
        <f aca="false">IF(J$2&gt;=Annahmen!$C$103,Annahmen!$D$103*(1+Annahmen!$B$92)^(J$4-1)*Annahmen!$E$103,0)</f>
        <v>5024.358746</v>
      </c>
      <c r="K47" s="26" t="n">
        <f aca="false">IF(K$2&gt;=Annahmen!$C$103,Annahmen!$D$103*(1+Annahmen!$B$92)^(K$4-1)*Annahmen!$E$103,0)</f>
        <v>5024.358746</v>
      </c>
      <c r="L47" s="26" t="n">
        <f aca="false">IF(L$2&gt;=Annahmen!$C$103,Annahmen!$D$103*(1+Annahmen!$B$92)^(L$4-1)*Annahmen!$E$103,0)</f>
        <v>5024.358746</v>
      </c>
      <c r="M47" s="26" t="n">
        <f aca="false">IF(M$2&gt;=Annahmen!$C$103,Annahmen!$D$103*(1+Annahmen!$B$92)^(M$4-1)*Annahmen!$E$103,0)</f>
        <v>5024.358746</v>
      </c>
      <c r="N47" s="26" t="n">
        <f aca="false">IF(N$2&gt;=Annahmen!$C$103,Annahmen!$D$103*(1+Annahmen!$B$92)^(N$4-1)*Annahmen!$E$103,0)</f>
        <v>5024.358746</v>
      </c>
      <c r="O47" s="26" t="n">
        <f aca="false">IF(O$2&gt;=Annahmen!$C$103,Annahmen!$D$103*(1+Annahmen!$B$92)^(O$4-1)*Annahmen!$E$103,0)</f>
        <v>5175.08950838</v>
      </c>
      <c r="P47" s="26" t="n">
        <f aca="false">IF(P$2&gt;=Annahmen!$C$103,Annahmen!$D$103*(1+Annahmen!$B$92)^(P$4-1)*Annahmen!$E$103,0)</f>
        <v>5175.08950838</v>
      </c>
      <c r="Q47" s="26" t="n">
        <f aca="false">IF(Q$2&gt;=Annahmen!$C$103,Annahmen!$D$103*(1+Annahmen!$B$92)^(Q$4-1)*Annahmen!$E$103,0)</f>
        <v>5175.08950838</v>
      </c>
      <c r="R47" s="26" t="n">
        <f aca="false">IF(R$2&gt;=Annahmen!$C$103,Annahmen!$D$103*(1+Annahmen!$B$92)^(R$4-1)*Annahmen!$E$103,0)</f>
        <v>5175.08950838</v>
      </c>
      <c r="S47" s="26" t="n">
        <f aca="false">IF(S$2&gt;=Annahmen!$C$103,Annahmen!$D$103*(1+Annahmen!$B$92)^(S$4-1)*Annahmen!$E$103,0)</f>
        <v>5175.08950838</v>
      </c>
      <c r="T47" s="26" t="n">
        <f aca="false">IF(T$2&gt;=Annahmen!$C$103,Annahmen!$D$103*(1+Annahmen!$B$92)^(T$4-1)*Annahmen!$E$103,0)</f>
        <v>5175.08950838</v>
      </c>
      <c r="U47" s="26" t="n">
        <f aca="false">IF(U$2&gt;=Annahmen!$C$103,Annahmen!$D$103*(1+Annahmen!$B$92)^(U$4-1)*Annahmen!$E$103,0)</f>
        <v>5175.08950838</v>
      </c>
      <c r="V47" s="26" t="n">
        <f aca="false">IF(V$2&gt;=Annahmen!$C$103,Annahmen!$D$103*(1+Annahmen!$B$92)^(V$4-1)*Annahmen!$E$103,0)</f>
        <v>5175.08950838</v>
      </c>
      <c r="W47" s="26" t="n">
        <f aca="false">IF(W$2&gt;=Annahmen!$C$103,Annahmen!$D$103*(1+Annahmen!$B$92)^(W$4-1)*Annahmen!$E$103,0)</f>
        <v>5175.08950838</v>
      </c>
      <c r="X47" s="26" t="n">
        <f aca="false">IF(X$2&gt;=Annahmen!$C$103,Annahmen!$D$103*(1+Annahmen!$B$92)^(X$4-1)*Annahmen!$E$103,0)</f>
        <v>5175.08950838</v>
      </c>
      <c r="Y47" s="26" t="n">
        <f aca="false">IF(Y$2&gt;=Annahmen!$C$103,Annahmen!$D$103*(1+Annahmen!$B$92)^(Y$4-1)*Annahmen!$E$103,0)</f>
        <v>5175.08950838</v>
      </c>
      <c r="Z47" s="26" t="n">
        <f aca="false">IF(Z$2&gt;=Annahmen!$C$103,Annahmen!$D$103*(1+Annahmen!$B$92)^(Z$4-1)*Annahmen!$E$103,0)</f>
        <v>5175.08950838</v>
      </c>
    </row>
    <row r="48" customFormat="false" ht="15" hidden="false" customHeight="false" outlineLevel="0" collapsed="false">
      <c r="A48" s="5" t="s">
        <v>177</v>
      </c>
      <c r="C48" s="26" t="n">
        <f aca="false">IF(C$2&gt;=Annahmen!$C$104,Annahmen!$D$104*(1+Annahmen!$B$92)^(C$4-1)*Annahmen!$E$104,0)</f>
        <v>0</v>
      </c>
      <c r="D48" s="26" t="n">
        <f aca="false">IF(D$2&gt;=Annahmen!$C$104,Annahmen!$D$104*(1+Annahmen!$B$92)^(D$4-1)*Annahmen!$E$104,0)</f>
        <v>0</v>
      </c>
      <c r="E48" s="26" t="n">
        <f aca="false">IF(E$2&gt;=Annahmen!$C$104,Annahmen!$D$104*(1+Annahmen!$B$92)^(E$4-1)*Annahmen!$E$104,0)</f>
        <v>0</v>
      </c>
      <c r="F48" s="26" t="n">
        <f aca="false">IF(F$2&gt;=Annahmen!$C$104,Annahmen!$D$104*(1+Annahmen!$B$92)^(F$4-1)*Annahmen!$E$104,0)</f>
        <v>0</v>
      </c>
      <c r="G48" s="26" t="n">
        <f aca="false">IF(G$2&gt;=Annahmen!$C$104,Annahmen!$D$104*(1+Annahmen!$B$92)^(G$4-1)*Annahmen!$E$104,0)</f>
        <v>0</v>
      </c>
      <c r="H48" s="26" t="n">
        <f aca="false">IF(H$2&gt;=Annahmen!$C$104,Annahmen!$D$104*(1+Annahmen!$B$92)^(H$4-1)*Annahmen!$E$104,0)</f>
        <v>0</v>
      </c>
      <c r="I48" s="26" t="n">
        <f aca="false">IF(I$2&gt;=Annahmen!$C$104,Annahmen!$D$104*(1+Annahmen!$B$92)^(I$4-1)*Annahmen!$E$104,0)</f>
        <v>0</v>
      </c>
      <c r="J48" s="26" t="n">
        <f aca="false">IF(J$2&gt;=Annahmen!$C$104,Annahmen!$D$104*(1+Annahmen!$B$92)^(J$4-1)*Annahmen!$E$104,0)</f>
        <v>0</v>
      </c>
      <c r="K48" s="26" t="n">
        <f aca="false">IF(K$2&gt;=Annahmen!$C$104,Annahmen!$D$104*(1+Annahmen!$B$92)^(K$4-1)*Annahmen!$E$104,0)</f>
        <v>0</v>
      </c>
      <c r="L48" s="26" t="n">
        <f aca="false">IF(L$2&gt;=Annahmen!$C$104,Annahmen!$D$104*(1+Annahmen!$B$92)^(L$4-1)*Annahmen!$E$104,0)</f>
        <v>0</v>
      </c>
      <c r="M48" s="26" t="n">
        <f aca="false">IF(M$2&gt;=Annahmen!$C$104,Annahmen!$D$104*(1+Annahmen!$B$92)^(M$4-1)*Annahmen!$E$104,0)</f>
        <v>0</v>
      </c>
      <c r="N48" s="26" t="n">
        <f aca="false">IF(N$2&gt;=Annahmen!$C$104,Annahmen!$D$104*(1+Annahmen!$B$92)^(N$4-1)*Annahmen!$E$104,0)</f>
        <v>0</v>
      </c>
      <c r="O48" s="26" t="n">
        <f aca="false">IF(O$2&gt;=Annahmen!$C$104,Annahmen!$D$104*(1+Annahmen!$B$92)^(O$4-1)*Annahmen!$E$104,0)</f>
        <v>5719.83577242</v>
      </c>
      <c r="P48" s="26" t="n">
        <f aca="false">IF(P$2&gt;=Annahmen!$C$104,Annahmen!$D$104*(1+Annahmen!$B$92)^(P$4-1)*Annahmen!$E$104,0)</f>
        <v>5719.83577242</v>
      </c>
      <c r="Q48" s="26" t="n">
        <f aca="false">IF(Q$2&gt;=Annahmen!$C$104,Annahmen!$D$104*(1+Annahmen!$B$92)^(Q$4-1)*Annahmen!$E$104,0)</f>
        <v>5719.83577242</v>
      </c>
      <c r="R48" s="26" t="n">
        <f aca="false">IF(R$2&gt;=Annahmen!$C$104,Annahmen!$D$104*(1+Annahmen!$B$92)^(R$4-1)*Annahmen!$E$104,0)</f>
        <v>5719.83577242</v>
      </c>
      <c r="S48" s="26" t="n">
        <f aca="false">IF(S$2&gt;=Annahmen!$C$104,Annahmen!$D$104*(1+Annahmen!$B$92)^(S$4-1)*Annahmen!$E$104,0)</f>
        <v>5719.83577242</v>
      </c>
      <c r="T48" s="26" t="n">
        <f aca="false">IF(T$2&gt;=Annahmen!$C$104,Annahmen!$D$104*(1+Annahmen!$B$92)^(T$4-1)*Annahmen!$E$104,0)</f>
        <v>5719.83577242</v>
      </c>
      <c r="U48" s="26" t="n">
        <f aca="false">IF(U$2&gt;=Annahmen!$C$104,Annahmen!$D$104*(1+Annahmen!$B$92)^(U$4-1)*Annahmen!$E$104,0)</f>
        <v>5719.83577242</v>
      </c>
      <c r="V48" s="26" t="n">
        <f aca="false">IF(V$2&gt;=Annahmen!$C$104,Annahmen!$D$104*(1+Annahmen!$B$92)^(V$4-1)*Annahmen!$E$104,0)</f>
        <v>5719.83577242</v>
      </c>
      <c r="W48" s="26" t="n">
        <f aca="false">IF(W$2&gt;=Annahmen!$C$104,Annahmen!$D$104*(1+Annahmen!$B$92)^(W$4-1)*Annahmen!$E$104,0)</f>
        <v>5719.83577242</v>
      </c>
      <c r="X48" s="26" t="n">
        <f aca="false">IF(X$2&gt;=Annahmen!$C$104,Annahmen!$D$104*(1+Annahmen!$B$92)^(X$4-1)*Annahmen!$E$104,0)</f>
        <v>5719.83577242</v>
      </c>
      <c r="Y48" s="26" t="n">
        <f aca="false">IF(Y$2&gt;=Annahmen!$C$104,Annahmen!$D$104*(1+Annahmen!$B$92)^(Y$4-1)*Annahmen!$E$104,0)</f>
        <v>5719.83577242</v>
      </c>
      <c r="Z48" s="26" t="n">
        <f aca="false">IF(Z$2&gt;=Annahmen!$C$104,Annahmen!$D$104*(1+Annahmen!$B$92)^(Z$4-1)*Annahmen!$E$104,0)</f>
        <v>5719.83577242</v>
      </c>
    </row>
    <row r="49" customFormat="false" ht="15" hidden="false" customHeight="false" outlineLevel="0" collapsed="false">
      <c r="A49" s="5" t="s">
        <v>178</v>
      </c>
      <c r="C49" s="26" t="n">
        <f aca="false">IF(C$2&gt;=Annahmen!$C$105,Annahmen!$D$105*(1+Annahmen!$B$92)^(C$4-1)*Annahmen!$E$105,0)</f>
        <v>0</v>
      </c>
      <c r="D49" s="26" t="n">
        <f aca="false">IF(D$2&gt;=Annahmen!$C$105,Annahmen!$D$105*(1+Annahmen!$B$92)^(D$4-1)*Annahmen!$E$105,0)</f>
        <v>0</v>
      </c>
      <c r="E49" s="26" t="n">
        <f aca="false">IF(E$2&gt;=Annahmen!$C$105,Annahmen!$D$105*(1+Annahmen!$B$92)^(E$4-1)*Annahmen!$E$105,0)</f>
        <v>0</v>
      </c>
      <c r="F49" s="26" t="n">
        <f aca="false">IF(F$2&gt;=Annahmen!$C$105,Annahmen!$D$105*(1+Annahmen!$B$92)^(F$4-1)*Annahmen!$E$105,0)</f>
        <v>0</v>
      </c>
      <c r="G49" s="26" t="n">
        <f aca="false">IF(G$2&gt;=Annahmen!$C$105,Annahmen!$D$105*(1+Annahmen!$B$92)^(G$4-1)*Annahmen!$E$105,0)</f>
        <v>0</v>
      </c>
      <c r="H49" s="26" t="n">
        <f aca="false">IF(H$2&gt;=Annahmen!$C$105,Annahmen!$D$105*(1+Annahmen!$B$92)^(H$4-1)*Annahmen!$E$105,0)</f>
        <v>0</v>
      </c>
      <c r="I49" s="26" t="n">
        <f aca="false">IF(I$2&gt;=Annahmen!$C$105,Annahmen!$D$105*(1+Annahmen!$B$92)^(I$4-1)*Annahmen!$E$105,0)</f>
        <v>0</v>
      </c>
      <c r="J49" s="26" t="n">
        <f aca="false">IF(J$2&gt;=Annahmen!$C$105,Annahmen!$D$105*(1+Annahmen!$B$92)^(J$4-1)*Annahmen!$E$105,0)</f>
        <v>0</v>
      </c>
      <c r="K49" s="26" t="n">
        <f aca="false">IF(K$2&gt;=Annahmen!$C$105,Annahmen!$D$105*(1+Annahmen!$B$92)^(K$4-1)*Annahmen!$E$105,0)</f>
        <v>0</v>
      </c>
      <c r="L49" s="26" t="n">
        <f aca="false">IF(L$2&gt;=Annahmen!$C$105,Annahmen!$D$105*(1+Annahmen!$B$92)^(L$4-1)*Annahmen!$E$105,0)</f>
        <v>0</v>
      </c>
      <c r="M49" s="26" t="n">
        <f aca="false">IF(M$2&gt;=Annahmen!$C$105,Annahmen!$D$105*(1+Annahmen!$B$92)^(M$4-1)*Annahmen!$E$105,0)</f>
        <v>0</v>
      </c>
      <c r="N49" s="26" t="n">
        <f aca="false">IF(N$2&gt;=Annahmen!$C$105,Annahmen!$D$105*(1+Annahmen!$B$92)^(N$4-1)*Annahmen!$E$105,0)</f>
        <v>0</v>
      </c>
      <c r="O49" s="26" t="n">
        <f aca="false">IF(O$2&gt;=Annahmen!$C$105,Annahmen!$D$105*(1+Annahmen!$B$92)^(O$4-1)*Annahmen!$E$105,0)</f>
        <v>4085.5969803</v>
      </c>
      <c r="P49" s="26" t="n">
        <f aca="false">IF(P$2&gt;=Annahmen!$C$105,Annahmen!$D$105*(1+Annahmen!$B$92)^(P$4-1)*Annahmen!$E$105,0)</f>
        <v>4085.5969803</v>
      </c>
      <c r="Q49" s="26" t="n">
        <f aca="false">IF(Q$2&gt;=Annahmen!$C$105,Annahmen!$D$105*(1+Annahmen!$B$92)^(Q$4-1)*Annahmen!$E$105,0)</f>
        <v>4085.5969803</v>
      </c>
      <c r="R49" s="26" t="n">
        <f aca="false">IF(R$2&gt;=Annahmen!$C$105,Annahmen!$D$105*(1+Annahmen!$B$92)^(R$4-1)*Annahmen!$E$105,0)</f>
        <v>4085.5969803</v>
      </c>
      <c r="S49" s="26" t="n">
        <f aca="false">IF(S$2&gt;=Annahmen!$C$105,Annahmen!$D$105*(1+Annahmen!$B$92)^(S$4-1)*Annahmen!$E$105,0)</f>
        <v>4085.5969803</v>
      </c>
      <c r="T49" s="26" t="n">
        <f aca="false">IF(T$2&gt;=Annahmen!$C$105,Annahmen!$D$105*(1+Annahmen!$B$92)^(T$4-1)*Annahmen!$E$105,0)</f>
        <v>4085.5969803</v>
      </c>
      <c r="U49" s="26" t="n">
        <f aca="false">IF(U$2&gt;=Annahmen!$C$105,Annahmen!$D$105*(1+Annahmen!$B$92)^(U$4-1)*Annahmen!$E$105,0)</f>
        <v>4085.5969803</v>
      </c>
      <c r="V49" s="26" t="n">
        <f aca="false">IF(V$2&gt;=Annahmen!$C$105,Annahmen!$D$105*(1+Annahmen!$B$92)^(V$4-1)*Annahmen!$E$105,0)</f>
        <v>4085.5969803</v>
      </c>
      <c r="W49" s="26" t="n">
        <f aca="false">IF(W$2&gt;=Annahmen!$C$105,Annahmen!$D$105*(1+Annahmen!$B$92)^(W$4-1)*Annahmen!$E$105,0)</f>
        <v>4085.5969803</v>
      </c>
      <c r="X49" s="26" t="n">
        <f aca="false">IF(X$2&gt;=Annahmen!$C$105,Annahmen!$D$105*(1+Annahmen!$B$92)^(X$4-1)*Annahmen!$E$105,0)</f>
        <v>4085.5969803</v>
      </c>
      <c r="Y49" s="26" t="n">
        <f aca="false">IF(Y$2&gt;=Annahmen!$C$105,Annahmen!$D$105*(1+Annahmen!$B$92)^(Y$4-1)*Annahmen!$E$105,0)</f>
        <v>4085.5969803</v>
      </c>
      <c r="Z49" s="26" t="n">
        <f aca="false">IF(Z$2&gt;=Annahmen!$C$105,Annahmen!$D$105*(1+Annahmen!$B$92)^(Z$4-1)*Annahmen!$E$105,0)</f>
        <v>4085.5969803</v>
      </c>
    </row>
    <row r="50" customFormat="false" ht="15" hidden="false" customHeight="false" outlineLevel="0" collapsed="false">
      <c r="A50" s="3" t="s">
        <v>248</v>
      </c>
      <c r="C50" s="30" t="n">
        <f aca="false">SUM(C37:C49)</f>
        <v>55950.267658</v>
      </c>
      <c r="D50" s="30" t="n">
        <f aca="false">SUM(D37:D49)</f>
        <v>55950.267658</v>
      </c>
      <c r="E50" s="30" t="n">
        <f aca="false">SUM(E37:E49)</f>
        <v>55950.267658</v>
      </c>
      <c r="F50" s="30" t="n">
        <f aca="false">SUM(F37:F49)</f>
        <v>55950.267658</v>
      </c>
      <c r="G50" s="30" t="n">
        <f aca="false">SUM(G37:G49)</f>
        <v>55950.267658</v>
      </c>
      <c r="H50" s="30" t="n">
        <f aca="false">SUM(H37:H49)</f>
        <v>55950.267658</v>
      </c>
      <c r="I50" s="30" t="n">
        <f aca="false">SUM(I37:I49)</f>
        <v>60974.626404</v>
      </c>
      <c r="J50" s="30" t="n">
        <f aca="false">SUM(J37:J49)</f>
        <v>60974.626404</v>
      </c>
      <c r="K50" s="30" t="n">
        <f aca="false">SUM(K37:K49)</f>
        <v>60974.626404</v>
      </c>
      <c r="L50" s="30" t="n">
        <f aca="false">SUM(L37:L49)</f>
        <v>60974.626404</v>
      </c>
      <c r="M50" s="30" t="n">
        <f aca="false">SUM(M37:M49)</f>
        <v>60974.626404</v>
      </c>
      <c r="N50" s="30" t="n">
        <f aca="false">SUM(N37:N49)</f>
        <v>60974.626404</v>
      </c>
      <c r="O50" s="30" t="n">
        <f aca="false">SUM(O37:O49)</f>
        <v>72914.29794884</v>
      </c>
      <c r="P50" s="30" t="n">
        <f aca="false">SUM(P37:P49)</f>
        <v>72914.29794884</v>
      </c>
      <c r="Q50" s="30" t="n">
        <f aca="false">SUM(Q37:Q49)</f>
        <v>72914.29794884</v>
      </c>
      <c r="R50" s="30" t="n">
        <f aca="false">SUM(R37:R49)</f>
        <v>72914.29794884</v>
      </c>
      <c r="S50" s="30" t="n">
        <f aca="false">SUM(S37:S49)</f>
        <v>72914.29794884</v>
      </c>
      <c r="T50" s="30" t="n">
        <f aca="false">SUM(T37:T49)</f>
        <v>72914.29794884</v>
      </c>
      <c r="U50" s="30" t="n">
        <f aca="false">SUM(U37:U49)</f>
        <v>72914.29794884</v>
      </c>
      <c r="V50" s="30" t="n">
        <f aca="false">SUM(V37:V49)</f>
        <v>72914.29794884</v>
      </c>
      <c r="W50" s="30" t="n">
        <f aca="false">SUM(W37:W49)</f>
        <v>72914.29794884</v>
      </c>
      <c r="X50" s="30" t="n">
        <f aca="false">SUM(X37:X49)</f>
        <v>72914.29794884</v>
      </c>
      <c r="Y50" s="30" t="n">
        <f aca="false">SUM(Y37:Y49)</f>
        <v>72914.29794884</v>
      </c>
      <c r="Z50" s="30" t="n">
        <f aca="false">SUM(Z37:Z49)</f>
        <v>72914.29794884</v>
      </c>
    </row>
    <row r="51" customFormat="false" ht="15" hidden="false" customHeight="false" outlineLevel="0" collapsed="false">
      <c r="A51" s="5" t="s">
        <v>249</v>
      </c>
      <c r="C51" s="26" t="n">
        <f aca="false">SUMIF(Annahmen!$B$94:$B$105,"Vertrieb",C38:C49)+SUMIF(Annahmen!$B$94:$B$105,"Marketing",C38:C49)</f>
        <v>21419.634654</v>
      </c>
      <c r="D51" s="26" t="n">
        <f aca="false">SUMIF(Annahmen!$B$94:$B$105,"Vertrieb",D38:D49)+SUMIF(Annahmen!$B$94:$B$105,"Marketing",D38:D49)</f>
        <v>21419.634654</v>
      </c>
      <c r="E51" s="26" t="n">
        <f aca="false">SUMIF(Annahmen!$B$94:$B$105,"Vertrieb",E38:E49)+SUMIF(Annahmen!$B$94:$B$105,"Marketing",E38:E49)</f>
        <v>21419.634654</v>
      </c>
      <c r="F51" s="26" t="n">
        <f aca="false">SUMIF(Annahmen!$B$94:$B$105,"Vertrieb",F38:F49)+SUMIF(Annahmen!$B$94:$B$105,"Marketing",F38:F49)</f>
        <v>21419.634654</v>
      </c>
      <c r="G51" s="26" t="n">
        <f aca="false">SUMIF(Annahmen!$B$94:$B$105,"Vertrieb",G38:G49)+SUMIF(Annahmen!$B$94:$B$105,"Marketing",G38:G49)</f>
        <v>21419.634654</v>
      </c>
      <c r="H51" s="26" t="n">
        <f aca="false">SUMIF(Annahmen!$B$94:$B$105,"Vertrieb",H38:H49)+SUMIF(Annahmen!$B$94:$B$105,"Marketing",H38:H49)</f>
        <v>21419.634654</v>
      </c>
      <c r="I51" s="26" t="n">
        <f aca="false">SUMIF(Annahmen!$B$94:$B$105,"Vertrieb",I38:I49)+SUMIF(Annahmen!$B$94:$B$105,"Marketing",I38:I49)</f>
        <v>21419.634654</v>
      </c>
      <c r="J51" s="26" t="n">
        <f aca="false">SUMIF(Annahmen!$B$94:$B$105,"Vertrieb",J38:J49)+SUMIF(Annahmen!$B$94:$B$105,"Marketing",J38:J49)</f>
        <v>21419.634654</v>
      </c>
      <c r="K51" s="26" t="n">
        <f aca="false">SUMIF(Annahmen!$B$94:$B$105,"Vertrieb",K38:K49)+SUMIF(Annahmen!$B$94:$B$105,"Marketing",K38:K49)</f>
        <v>21419.634654</v>
      </c>
      <c r="L51" s="26" t="n">
        <f aca="false">SUMIF(Annahmen!$B$94:$B$105,"Vertrieb",L38:L49)+SUMIF(Annahmen!$B$94:$B$105,"Marketing",L38:L49)</f>
        <v>21419.634654</v>
      </c>
      <c r="M51" s="26" t="n">
        <f aca="false">SUMIF(Annahmen!$B$94:$B$105,"Vertrieb",M38:M49)+SUMIF(Annahmen!$B$94:$B$105,"Marketing",M38:M49)</f>
        <v>21419.634654</v>
      </c>
      <c r="N51" s="26" t="n">
        <f aca="false">SUMIF(Annahmen!$B$94:$B$105,"Vertrieb",N38:N49)+SUMIF(Annahmen!$B$94:$B$105,"Marketing",N38:N49)</f>
        <v>21419.634654</v>
      </c>
      <c r="O51" s="26" t="n">
        <f aca="false">SUMIF(Annahmen!$B$94:$B$105,"Vertrieb",O38:O49)+SUMIF(Annahmen!$B$94:$B$105,"Marketing",O38:O49)</f>
        <v>27782.05946604</v>
      </c>
      <c r="P51" s="26" t="n">
        <f aca="false">SUMIF(Annahmen!$B$94:$B$105,"Vertrieb",P38:P49)+SUMIF(Annahmen!$B$94:$B$105,"Marketing",P38:P49)</f>
        <v>27782.05946604</v>
      </c>
      <c r="Q51" s="26" t="n">
        <f aca="false">SUMIF(Annahmen!$B$94:$B$105,"Vertrieb",Q38:Q49)+SUMIF(Annahmen!$B$94:$B$105,"Marketing",Q38:Q49)</f>
        <v>27782.05946604</v>
      </c>
      <c r="R51" s="26" t="n">
        <f aca="false">SUMIF(Annahmen!$B$94:$B$105,"Vertrieb",R38:R49)+SUMIF(Annahmen!$B$94:$B$105,"Marketing",R38:R49)</f>
        <v>27782.05946604</v>
      </c>
      <c r="S51" s="26" t="n">
        <f aca="false">SUMIF(Annahmen!$B$94:$B$105,"Vertrieb",S38:S49)+SUMIF(Annahmen!$B$94:$B$105,"Marketing",S38:S49)</f>
        <v>27782.05946604</v>
      </c>
      <c r="T51" s="26" t="n">
        <f aca="false">SUMIF(Annahmen!$B$94:$B$105,"Vertrieb",T38:T49)+SUMIF(Annahmen!$B$94:$B$105,"Marketing",T38:T49)</f>
        <v>27782.05946604</v>
      </c>
      <c r="U51" s="26" t="n">
        <f aca="false">SUMIF(Annahmen!$B$94:$B$105,"Vertrieb",U38:U49)+SUMIF(Annahmen!$B$94:$B$105,"Marketing",U38:U49)</f>
        <v>27782.05946604</v>
      </c>
      <c r="V51" s="26" t="n">
        <f aca="false">SUMIF(Annahmen!$B$94:$B$105,"Vertrieb",V38:V49)+SUMIF(Annahmen!$B$94:$B$105,"Marketing",V38:V49)</f>
        <v>27782.05946604</v>
      </c>
      <c r="W51" s="26" t="n">
        <f aca="false">SUMIF(Annahmen!$B$94:$B$105,"Vertrieb",W38:W49)+SUMIF(Annahmen!$B$94:$B$105,"Marketing",W38:W49)</f>
        <v>27782.05946604</v>
      </c>
      <c r="X51" s="26" t="n">
        <f aca="false">SUMIF(Annahmen!$B$94:$B$105,"Vertrieb",X38:X49)+SUMIF(Annahmen!$B$94:$B$105,"Marketing",X38:X49)</f>
        <v>27782.05946604</v>
      </c>
      <c r="Y51" s="26" t="n">
        <f aca="false">SUMIF(Annahmen!$B$94:$B$105,"Vertrieb",Y38:Y49)+SUMIF(Annahmen!$B$94:$B$105,"Marketing",Y38:Y49)</f>
        <v>27782.05946604</v>
      </c>
      <c r="Z51" s="26" t="n">
        <f aca="false">SUMIF(Annahmen!$B$94:$B$105,"Vertrieb",Z38:Z49)+SUMIF(Annahmen!$B$94:$B$105,"Marketing",Z38:Z49)</f>
        <v>27782.05946604</v>
      </c>
    </row>
    <row r="52" customFormat="false" ht="15" hidden="false" customHeight="false" outlineLevel="0" collapsed="false">
      <c r="A52" s="5" t="s">
        <v>250</v>
      </c>
      <c r="B52" s="25" t="n">
        <f aca="false">'Monat 1–36'!$AL$52</f>
        <v>8</v>
      </c>
      <c r="C52" s="25" t="n">
        <f aca="false">1+COUNTIF(Annahmen!$C$94:$C$105,"&lt;="&amp;C$2)</f>
        <v>10</v>
      </c>
      <c r="D52" s="25" t="n">
        <f aca="false">1+COUNTIF(Annahmen!$C$94:$C$105,"&lt;="&amp;D$2)</f>
        <v>10</v>
      </c>
      <c r="E52" s="25" t="n">
        <f aca="false">1+COUNTIF(Annahmen!$C$94:$C$105,"&lt;="&amp;E$2)</f>
        <v>10</v>
      </c>
      <c r="F52" s="25" t="n">
        <f aca="false">1+COUNTIF(Annahmen!$C$94:$C$105,"&lt;="&amp;F$2)</f>
        <v>10</v>
      </c>
      <c r="G52" s="25" t="n">
        <f aca="false">1+COUNTIF(Annahmen!$C$94:$C$105,"&lt;="&amp;G$2)</f>
        <v>10</v>
      </c>
      <c r="H52" s="25" t="n">
        <f aca="false">1+COUNTIF(Annahmen!$C$94:$C$105,"&lt;="&amp;H$2)</f>
        <v>10</v>
      </c>
      <c r="I52" s="25" t="n">
        <f aca="false">1+COUNTIF(Annahmen!$C$94:$C$105,"&lt;="&amp;I$2)</f>
        <v>11</v>
      </c>
      <c r="J52" s="25" t="n">
        <f aca="false">1+COUNTIF(Annahmen!$C$94:$C$105,"&lt;="&amp;J$2)</f>
        <v>11</v>
      </c>
      <c r="K52" s="25" t="n">
        <f aca="false">1+COUNTIF(Annahmen!$C$94:$C$105,"&lt;="&amp;K$2)</f>
        <v>11</v>
      </c>
      <c r="L52" s="25" t="n">
        <f aca="false">1+COUNTIF(Annahmen!$C$94:$C$105,"&lt;="&amp;L$2)</f>
        <v>11</v>
      </c>
      <c r="M52" s="25" t="n">
        <f aca="false">1+COUNTIF(Annahmen!$C$94:$C$105,"&lt;="&amp;M$2)</f>
        <v>11</v>
      </c>
      <c r="N52" s="25" t="n">
        <f aca="false">1+COUNTIF(Annahmen!$C$94:$C$105,"&lt;="&amp;N$2)</f>
        <v>11</v>
      </c>
      <c r="O52" s="25" t="n">
        <f aca="false">1+COUNTIF(Annahmen!$C$94:$C$105,"&lt;="&amp;O$2)</f>
        <v>13</v>
      </c>
      <c r="P52" s="25" t="n">
        <f aca="false">1+COUNTIF(Annahmen!$C$94:$C$105,"&lt;="&amp;P$2)</f>
        <v>13</v>
      </c>
      <c r="Q52" s="25" t="n">
        <f aca="false">1+COUNTIF(Annahmen!$C$94:$C$105,"&lt;="&amp;Q$2)</f>
        <v>13</v>
      </c>
      <c r="R52" s="25" t="n">
        <f aca="false">1+COUNTIF(Annahmen!$C$94:$C$105,"&lt;="&amp;R$2)</f>
        <v>13</v>
      </c>
      <c r="S52" s="25" t="n">
        <f aca="false">1+COUNTIF(Annahmen!$C$94:$C$105,"&lt;="&amp;S$2)</f>
        <v>13</v>
      </c>
      <c r="T52" s="25" t="n">
        <f aca="false">1+COUNTIF(Annahmen!$C$94:$C$105,"&lt;="&amp;T$2)</f>
        <v>13</v>
      </c>
      <c r="U52" s="25" t="n">
        <f aca="false">1+COUNTIF(Annahmen!$C$94:$C$105,"&lt;="&amp;U$2)</f>
        <v>13</v>
      </c>
      <c r="V52" s="25" t="n">
        <f aca="false">1+COUNTIF(Annahmen!$C$94:$C$105,"&lt;="&amp;V$2)</f>
        <v>13</v>
      </c>
      <c r="W52" s="25" t="n">
        <f aca="false">1+COUNTIF(Annahmen!$C$94:$C$105,"&lt;="&amp;W$2)</f>
        <v>13</v>
      </c>
      <c r="X52" s="25" t="n">
        <f aca="false">1+COUNTIF(Annahmen!$C$94:$C$105,"&lt;="&amp;X$2)</f>
        <v>13</v>
      </c>
      <c r="Y52" s="25" t="n">
        <f aca="false">1+COUNTIF(Annahmen!$C$94:$C$105,"&lt;="&amp;Y$2)</f>
        <v>13</v>
      </c>
      <c r="Z52" s="25" t="n">
        <f aca="false">1+COUNTIF(Annahmen!$C$94:$C$105,"&lt;="&amp;Z$2)</f>
        <v>13</v>
      </c>
    </row>
    <row r="53" customFormat="false" ht="15" hidden="false" customHeight="false" outlineLevel="0" collapsed="false">
      <c r="A53" s="19" t="s">
        <v>251</v>
      </c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customFormat="false" ht="15" hidden="false" customHeight="false" outlineLevel="0" collapsed="false">
      <c r="A54" s="5" t="s">
        <v>252</v>
      </c>
      <c r="C54" s="26" t="n">
        <f aca="false">INDEX(Annahmen!$B$63:$F$63,1,C$4)</f>
        <v>8000</v>
      </c>
      <c r="D54" s="26" t="n">
        <f aca="false">INDEX(Annahmen!$B$63:$F$63,1,D$4)</f>
        <v>8000</v>
      </c>
      <c r="E54" s="26" t="n">
        <f aca="false">INDEX(Annahmen!$B$63:$F$63,1,E$4)</f>
        <v>8000</v>
      </c>
      <c r="F54" s="26" t="n">
        <f aca="false">INDEX(Annahmen!$B$63:$F$63,1,F$4)</f>
        <v>8000</v>
      </c>
      <c r="G54" s="26" t="n">
        <f aca="false">INDEX(Annahmen!$B$63:$F$63,1,G$4)</f>
        <v>8000</v>
      </c>
      <c r="H54" s="26" t="n">
        <f aca="false">INDEX(Annahmen!$B$63:$F$63,1,H$4)</f>
        <v>8000</v>
      </c>
      <c r="I54" s="26" t="n">
        <f aca="false">INDEX(Annahmen!$B$63:$F$63,1,I$4)</f>
        <v>8000</v>
      </c>
      <c r="J54" s="26" t="n">
        <f aca="false">INDEX(Annahmen!$B$63:$F$63,1,J$4)</f>
        <v>8000</v>
      </c>
      <c r="K54" s="26" t="n">
        <f aca="false">INDEX(Annahmen!$B$63:$F$63,1,K$4)</f>
        <v>8000</v>
      </c>
      <c r="L54" s="26" t="n">
        <f aca="false">INDEX(Annahmen!$B$63:$F$63,1,L$4)</f>
        <v>8000</v>
      </c>
      <c r="M54" s="26" t="n">
        <f aca="false">INDEX(Annahmen!$B$63:$F$63,1,M$4)</f>
        <v>8000</v>
      </c>
      <c r="N54" s="26" t="n">
        <f aca="false">INDEX(Annahmen!$B$63:$F$63,1,N$4)</f>
        <v>8000</v>
      </c>
      <c r="O54" s="26" t="n">
        <f aca="false">INDEX(Annahmen!$B$63:$F$63,1,O$4)</f>
        <v>10000</v>
      </c>
      <c r="P54" s="26" t="n">
        <f aca="false">INDEX(Annahmen!$B$63:$F$63,1,P$4)</f>
        <v>10000</v>
      </c>
      <c r="Q54" s="26" t="n">
        <f aca="false">INDEX(Annahmen!$B$63:$F$63,1,Q$4)</f>
        <v>10000</v>
      </c>
      <c r="R54" s="26" t="n">
        <f aca="false">INDEX(Annahmen!$B$63:$F$63,1,R$4)</f>
        <v>10000</v>
      </c>
      <c r="S54" s="26" t="n">
        <f aca="false">INDEX(Annahmen!$B$63:$F$63,1,S$4)</f>
        <v>10000</v>
      </c>
      <c r="T54" s="26" t="n">
        <f aca="false">INDEX(Annahmen!$B$63:$F$63,1,T$4)</f>
        <v>10000</v>
      </c>
      <c r="U54" s="26" t="n">
        <f aca="false">INDEX(Annahmen!$B$63:$F$63,1,U$4)</f>
        <v>10000</v>
      </c>
      <c r="V54" s="26" t="n">
        <f aca="false">INDEX(Annahmen!$B$63:$F$63,1,V$4)</f>
        <v>10000</v>
      </c>
      <c r="W54" s="26" t="n">
        <f aca="false">INDEX(Annahmen!$B$63:$F$63,1,W$4)</f>
        <v>10000</v>
      </c>
      <c r="X54" s="26" t="n">
        <f aca="false">INDEX(Annahmen!$B$63:$F$63,1,X$4)</f>
        <v>10000</v>
      </c>
      <c r="Y54" s="26" t="n">
        <f aca="false">INDEX(Annahmen!$B$63:$F$63,1,Y$4)</f>
        <v>10000</v>
      </c>
      <c r="Z54" s="26" t="n">
        <f aca="false">INDEX(Annahmen!$B$63:$F$63,1,Z$4)</f>
        <v>10000</v>
      </c>
    </row>
    <row r="55" customFormat="false" ht="15" hidden="false" customHeight="false" outlineLevel="0" collapsed="false">
      <c r="A55" s="5" t="s">
        <v>253</v>
      </c>
      <c r="C55" s="26" t="n">
        <f aca="false">SUMIF(Annahmen!$B$76:$B$87,C$2,Annahmen!$C$76:$C$87)</f>
        <v>0</v>
      </c>
      <c r="D55" s="26" t="n">
        <f aca="false">SUMIF(Annahmen!$B$76:$B$87,D$2,Annahmen!$C$76:$C$87)</f>
        <v>0</v>
      </c>
      <c r="E55" s="26" t="n">
        <f aca="false">SUMIF(Annahmen!$B$76:$B$87,E$2,Annahmen!$C$76:$C$87)</f>
        <v>10000</v>
      </c>
      <c r="F55" s="26" t="n">
        <f aca="false">SUMIF(Annahmen!$B$76:$B$87,F$2,Annahmen!$C$76:$C$87)</f>
        <v>0</v>
      </c>
      <c r="G55" s="26" t="n">
        <f aca="false">SUMIF(Annahmen!$B$76:$B$87,G$2,Annahmen!$C$76:$C$87)</f>
        <v>0</v>
      </c>
      <c r="H55" s="26" t="n">
        <f aca="false">SUMIF(Annahmen!$B$76:$B$87,H$2,Annahmen!$C$76:$C$87)</f>
        <v>0</v>
      </c>
      <c r="I55" s="26" t="n">
        <f aca="false">SUMIF(Annahmen!$B$76:$B$87,I$2,Annahmen!$C$76:$C$87)</f>
        <v>0</v>
      </c>
      <c r="J55" s="26" t="n">
        <f aca="false">SUMIF(Annahmen!$B$76:$B$87,J$2,Annahmen!$C$76:$C$87)</f>
        <v>0</v>
      </c>
      <c r="K55" s="26" t="n">
        <f aca="false">SUMIF(Annahmen!$B$76:$B$87,K$2,Annahmen!$C$76:$C$87)</f>
        <v>18000</v>
      </c>
      <c r="L55" s="26" t="n">
        <f aca="false">SUMIF(Annahmen!$B$76:$B$87,L$2,Annahmen!$C$76:$C$87)</f>
        <v>0</v>
      </c>
      <c r="M55" s="26" t="n">
        <f aca="false">SUMIF(Annahmen!$B$76:$B$87,M$2,Annahmen!$C$76:$C$87)</f>
        <v>0</v>
      </c>
      <c r="N55" s="26" t="n">
        <f aca="false">SUMIF(Annahmen!$B$76:$B$87,N$2,Annahmen!$C$76:$C$87)</f>
        <v>0</v>
      </c>
      <c r="O55" s="26" t="n">
        <f aca="false">SUMIF(Annahmen!$B$76:$B$87,O$2,Annahmen!$C$76:$C$87)</f>
        <v>0</v>
      </c>
      <c r="P55" s="26" t="n">
        <f aca="false">SUMIF(Annahmen!$B$76:$B$87,P$2,Annahmen!$C$76:$C$87)</f>
        <v>0</v>
      </c>
      <c r="Q55" s="26" t="n">
        <f aca="false">SUMIF(Annahmen!$B$76:$B$87,Q$2,Annahmen!$C$76:$C$87)</f>
        <v>0</v>
      </c>
      <c r="R55" s="26" t="n">
        <f aca="false">SUMIF(Annahmen!$B$76:$B$87,R$2,Annahmen!$C$76:$C$87)</f>
        <v>18000</v>
      </c>
      <c r="S55" s="26" t="n">
        <f aca="false">SUMIF(Annahmen!$B$76:$B$87,S$2,Annahmen!$C$76:$C$87)</f>
        <v>0</v>
      </c>
      <c r="T55" s="26" t="n">
        <f aca="false">SUMIF(Annahmen!$B$76:$B$87,T$2,Annahmen!$C$76:$C$87)</f>
        <v>0</v>
      </c>
      <c r="U55" s="26" t="n">
        <f aca="false">SUMIF(Annahmen!$B$76:$B$87,U$2,Annahmen!$C$76:$C$87)</f>
        <v>0</v>
      </c>
      <c r="V55" s="26" t="n">
        <f aca="false">SUMIF(Annahmen!$B$76:$B$87,V$2,Annahmen!$C$76:$C$87)</f>
        <v>0</v>
      </c>
      <c r="W55" s="26" t="n">
        <f aca="false">SUMIF(Annahmen!$B$76:$B$87,W$2,Annahmen!$C$76:$C$87)</f>
        <v>0</v>
      </c>
      <c r="X55" s="26" t="n">
        <f aca="false">SUMIF(Annahmen!$B$76:$B$87,X$2,Annahmen!$C$76:$C$87)</f>
        <v>5000</v>
      </c>
      <c r="Y55" s="26" t="n">
        <f aca="false">SUMIF(Annahmen!$B$76:$B$87,Y$2,Annahmen!$C$76:$C$87)</f>
        <v>0</v>
      </c>
      <c r="Z55" s="26" t="n">
        <f aca="false">SUMIF(Annahmen!$B$76:$B$87,Z$2,Annahmen!$C$76:$C$87)</f>
        <v>0</v>
      </c>
    </row>
    <row r="56" customFormat="false" ht="15" hidden="false" customHeight="false" outlineLevel="0" collapsed="false">
      <c r="A56" s="5" t="s">
        <v>254</v>
      </c>
      <c r="C56" s="26" t="n">
        <f aca="false">INDEX(Annahmen!$B$62:$F$62,1,C$4)</f>
        <v>800</v>
      </c>
      <c r="D56" s="26" t="n">
        <f aca="false">INDEX(Annahmen!$B$62:$F$62,1,D$4)</f>
        <v>800</v>
      </c>
      <c r="E56" s="26" t="n">
        <f aca="false">INDEX(Annahmen!$B$62:$F$62,1,E$4)</f>
        <v>800</v>
      </c>
      <c r="F56" s="26" t="n">
        <f aca="false">INDEX(Annahmen!$B$62:$F$62,1,F$4)</f>
        <v>800</v>
      </c>
      <c r="G56" s="26" t="n">
        <f aca="false">INDEX(Annahmen!$B$62:$F$62,1,G$4)</f>
        <v>800</v>
      </c>
      <c r="H56" s="26" t="n">
        <f aca="false">INDEX(Annahmen!$B$62:$F$62,1,H$4)</f>
        <v>800</v>
      </c>
      <c r="I56" s="26" t="n">
        <f aca="false">INDEX(Annahmen!$B$62:$F$62,1,I$4)</f>
        <v>800</v>
      </c>
      <c r="J56" s="26" t="n">
        <f aca="false">INDEX(Annahmen!$B$62:$F$62,1,J$4)</f>
        <v>800</v>
      </c>
      <c r="K56" s="26" t="n">
        <f aca="false">INDEX(Annahmen!$B$62:$F$62,1,K$4)</f>
        <v>800</v>
      </c>
      <c r="L56" s="26" t="n">
        <f aca="false">INDEX(Annahmen!$B$62:$F$62,1,L$4)</f>
        <v>800</v>
      </c>
      <c r="M56" s="26" t="n">
        <f aca="false">INDEX(Annahmen!$B$62:$F$62,1,M$4)</f>
        <v>800</v>
      </c>
      <c r="N56" s="26" t="n">
        <f aca="false">INDEX(Annahmen!$B$62:$F$62,1,N$4)</f>
        <v>800</v>
      </c>
      <c r="O56" s="26" t="n">
        <f aca="false">INDEX(Annahmen!$B$62:$F$62,1,O$4)</f>
        <v>1000</v>
      </c>
      <c r="P56" s="26" t="n">
        <f aca="false">INDEX(Annahmen!$B$62:$F$62,1,P$4)</f>
        <v>1000</v>
      </c>
      <c r="Q56" s="26" t="n">
        <f aca="false">INDEX(Annahmen!$B$62:$F$62,1,Q$4)</f>
        <v>1000</v>
      </c>
      <c r="R56" s="26" t="n">
        <f aca="false">INDEX(Annahmen!$B$62:$F$62,1,R$4)</f>
        <v>1000</v>
      </c>
      <c r="S56" s="26" t="n">
        <f aca="false">INDEX(Annahmen!$B$62:$F$62,1,S$4)</f>
        <v>1000</v>
      </c>
      <c r="T56" s="26" t="n">
        <f aca="false">INDEX(Annahmen!$B$62:$F$62,1,T$4)</f>
        <v>1000</v>
      </c>
      <c r="U56" s="26" t="n">
        <f aca="false">INDEX(Annahmen!$B$62:$F$62,1,U$4)</f>
        <v>1000</v>
      </c>
      <c r="V56" s="26" t="n">
        <f aca="false">INDEX(Annahmen!$B$62:$F$62,1,V$4)</f>
        <v>1000</v>
      </c>
      <c r="W56" s="26" t="n">
        <f aca="false">INDEX(Annahmen!$B$62:$F$62,1,W$4)</f>
        <v>1000</v>
      </c>
      <c r="X56" s="26" t="n">
        <f aca="false">INDEX(Annahmen!$B$62:$F$62,1,X$4)</f>
        <v>1000</v>
      </c>
      <c r="Y56" s="26" t="n">
        <f aca="false">INDEX(Annahmen!$B$62:$F$62,1,Y$4)</f>
        <v>1000</v>
      </c>
      <c r="Z56" s="26" t="n">
        <f aca="false">INDEX(Annahmen!$B$62:$F$62,1,Z$4)</f>
        <v>1000</v>
      </c>
    </row>
    <row r="57" customFormat="false" ht="15" hidden="false" customHeight="false" outlineLevel="0" collapsed="false">
      <c r="A57" s="5" t="s">
        <v>109</v>
      </c>
      <c r="C57" s="26" t="n">
        <f aca="false">INDEX(Annahmen!$B$64:$F$64,1,C$4)</f>
        <v>2200</v>
      </c>
      <c r="D57" s="26" t="n">
        <f aca="false">INDEX(Annahmen!$B$64:$F$64,1,D$4)</f>
        <v>2200</v>
      </c>
      <c r="E57" s="26" t="n">
        <f aca="false">INDEX(Annahmen!$B$64:$F$64,1,E$4)</f>
        <v>2200</v>
      </c>
      <c r="F57" s="26" t="n">
        <f aca="false">INDEX(Annahmen!$B$64:$F$64,1,F$4)</f>
        <v>2200</v>
      </c>
      <c r="G57" s="26" t="n">
        <f aca="false">INDEX(Annahmen!$B$64:$F$64,1,G$4)</f>
        <v>2200</v>
      </c>
      <c r="H57" s="26" t="n">
        <f aca="false">INDEX(Annahmen!$B$64:$F$64,1,H$4)</f>
        <v>2200</v>
      </c>
      <c r="I57" s="26" t="n">
        <f aca="false">INDEX(Annahmen!$B$64:$F$64,1,I$4)</f>
        <v>2200</v>
      </c>
      <c r="J57" s="26" t="n">
        <f aca="false">INDEX(Annahmen!$B$64:$F$64,1,J$4)</f>
        <v>2200</v>
      </c>
      <c r="K57" s="26" t="n">
        <f aca="false">INDEX(Annahmen!$B$64:$F$64,1,K$4)</f>
        <v>2200</v>
      </c>
      <c r="L57" s="26" t="n">
        <f aca="false">INDEX(Annahmen!$B$64:$F$64,1,L$4)</f>
        <v>2200</v>
      </c>
      <c r="M57" s="26" t="n">
        <f aca="false">INDEX(Annahmen!$B$64:$F$64,1,M$4)</f>
        <v>2200</v>
      </c>
      <c r="N57" s="26" t="n">
        <f aca="false">INDEX(Annahmen!$B$64:$F$64,1,N$4)</f>
        <v>2200</v>
      </c>
      <c r="O57" s="26" t="n">
        <f aca="false">INDEX(Annahmen!$B$64:$F$64,1,O$4)</f>
        <v>2800</v>
      </c>
      <c r="P57" s="26" t="n">
        <f aca="false">INDEX(Annahmen!$B$64:$F$64,1,P$4)</f>
        <v>2800</v>
      </c>
      <c r="Q57" s="26" t="n">
        <f aca="false">INDEX(Annahmen!$B$64:$F$64,1,Q$4)</f>
        <v>2800</v>
      </c>
      <c r="R57" s="26" t="n">
        <f aca="false">INDEX(Annahmen!$B$64:$F$64,1,R$4)</f>
        <v>2800</v>
      </c>
      <c r="S57" s="26" t="n">
        <f aca="false">INDEX(Annahmen!$B$64:$F$64,1,S$4)</f>
        <v>2800</v>
      </c>
      <c r="T57" s="26" t="n">
        <f aca="false">INDEX(Annahmen!$B$64:$F$64,1,T$4)</f>
        <v>2800</v>
      </c>
      <c r="U57" s="26" t="n">
        <f aca="false">INDEX(Annahmen!$B$64:$F$64,1,U$4)</f>
        <v>2800</v>
      </c>
      <c r="V57" s="26" t="n">
        <f aca="false">INDEX(Annahmen!$B$64:$F$64,1,V$4)</f>
        <v>2800</v>
      </c>
      <c r="W57" s="26" t="n">
        <f aca="false">INDEX(Annahmen!$B$64:$F$64,1,W$4)</f>
        <v>2800</v>
      </c>
      <c r="X57" s="26" t="n">
        <f aca="false">INDEX(Annahmen!$B$64:$F$64,1,X$4)</f>
        <v>2800</v>
      </c>
      <c r="Y57" s="26" t="n">
        <f aca="false">INDEX(Annahmen!$B$64:$F$64,1,Y$4)</f>
        <v>2800</v>
      </c>
      <c r="Z57" s="26" t="n">
        <f aca="false">INDEX(Annahmen!$B$64:$F$64,1,Z$4)</f>
        <v>2800</v>
      </c>
    </row>
    <row r="58" customFormat="false" ht="15" hidden="false" customHeight="false" outlineLevel="0" collapsed="false">
      <c r="A58" s="5" t="s">
        <v>255</v>
      </c>
      <c r="C58" s="26" t="n">
        <f aca="false">INDEX(Annahmen!$B$65:$F$65,1,C$4)</f>
        <v>300</v>
      </c>
      <c r="D58" s="26" t="n">
        <f aca="false">INDEX(Annahmen!$B$65:$F$65,1,D$4)</f>
        <v>300</v>
      </c>
      <c r="E58" s="26" t="n">
        <f aca="false">INDEX(Annahmen!$B$65:$F$65,1,E$4)</f>
        <v>300</v>
      </c>
      <c r="F58" s="26" t="n">
        <f aca="false">INDEX(Annahmen!$B$65:$F$65,1,F$4)</f>
        <v>300</v>
      </c>
      <c r="G58" s="26" t="n">
        <f aca="false">INDEX(Annahmen!$B$65:$F$65,1,G$4)</f>
        <v>300</v>
      </c>
      <c r="H58" s="26" t="n">
        <f aca="false">INDEX(Annahmen!$B$65:$F$65,1,H$4)</f>
        <v>300</v>
      </c>
      <c r="I58" s="26" t="n">
        <f aca="false">INDEX(Annahmen!$B$65:$F$65,1,I$4)</f>
        <v>300</v>
      </c>
      <c r="J58" s="26" t="n">
        <f aca="false">INDEX(Annahmen!$B$65:$F$65,1,J$4)</f>
        <v>300</v>
      </c>
      <c r="K58" s="26" t="n">
        <f aca="false">INDEX(Annahmen!$B$65:$F$65,1,K$4)</f>
        <v>300</v>
      </c>
      <c r="L58" s="26" t="n">
        <f aca="false">INDEX(Annahmen!$B$65:$F$65,1,L$4)</f>
        <v>300</v>
      </c>
      <c r="M58" s="26" t="n">
        <f aca="false">INDEX(Annahmen!$B$65:$F$65,1,M$4)</f>
        <v>300</v>
      </c>
      <c r="N58" s="26" t="n">
        <f aca="false">INDEX(Annahmen!$B$65:$F$65,1,N$4)</f>
        <v>300</v>
      </c>
      <c r="O58" s="26" t="n">
        <f aca="false">INDEX(Annahmen!$B$65:$F$65,1,O$4)</f>
        <v>380</v>
      </c>
      <c r="P58" s="26" t="n">
        <f aca="false">INDEX(Annahmen!$B$65:$F$65,1,P$4)</f>
        <v>380</v>
      </c>
      <c r="Q58" s="26" t="n">
        <f aca="false">INDEX(Annahmen!$B$65:$F$65,1,Q$4)</f>
        <v>380</v>
      </c>
      <c r="R58" s="26" t="n">
        <f aca="false">INDEX(Annahmen!$B$65:$F$65,1,R$4)</f>
        <v>380</v>
      </c>
      <c r="S58" s="26" t="n">
        <f aca="false">INDEX(Annahmen!$B$65:$F$65,1,S$4)</f>
        <v>380</v>
      </c>
      <c r="T58" s="26" t="n">
        <f aca="false">INDEX(Annahmen!$B$65:$F$65,1,T$4)</f>
        <v>380</v>
      </c>
      <c r="U58" s="26" t="n">
        <f aca="false">INDEX(Annahmen!$B$65:$F$65,1,U$4)</f>
        <v>380</v>
      </c>
      <c r="V58" s="26" t="n">
        <f aca="false">INDEX(Annahmen!$B$65:$F$65,1,V$4)</f>
        <v>380</v>
      </c>
      <c r="W58" s="26" t="n">
        <f aca="false">INDEX(Annahmen!$B$65:$F$65,1,W$4)</f>
        <v>380</v>
      </c>
      <c r="X58" s="26" t="n">
        <f aca="false">INDEX(Annahmen!$B$65:$F$65,1,X$4)</f>
        <v>380</v>
      </c>
      <c r="Y58" s="26" t="n">
        <f aca="false">INDEX(Annahmen!$B$65:$F$65,1,Y$4)</f>
        <v>380</v>
      </c>
      <c r="Z58" s="26" t="n">
        <f aca="false">INDEX(Annahmen!$B$65:$F$65,1,Z$4)</f>
        <v>380</v>
      </c>
    </row>
    <row r="59" customFormat="false" ht="15" hidden="false" customHeight="false" outlineLevel="0" collapsed="false">
      <c r="A59" s="5" t="s">
        <v>256</v>
      </c>
      <c r="C59" s="26" t="n">
        <f aca="false">INDEX(Annahmen!$B$66:$F$66,1,C$4)</f>
        <v>1000</v>
      </c>
      <c r="D59" s="26" t="n">
        <f aca="false">INDEX(Annahmen!$B$66:$F$66,1,D$4)</f>
        <v>1000</v>
      </c>
      <c r="E59" s="26" t="n">
        <f aca="false">INDEX(Annahmen!$B$66:$F$66,1,E$4)</f>
        <v>1000</v>
      </c>
      <c r="F59" s="26" t="n">
        <f aca="false">INDEX(Annahmen!$B$66:$F$66,1,F$4)</f>
        <v>1000</v>
      </c>
      <c r="G59" s="26" t="n">
        <f aca="false">INDEX(Annahmen!$B$66:$F$66,1,G$4)</f>
        <v>1000</v>
      </c>
      <c r="H59" s="26" t="n">
        <f aca="false">INDEX(Annahmen!$B$66:$F$66,1,H$4)</f>
        <v>1000</v>
      </c>
      <c r="I59" s="26" t="n">
        <f aca="false">INDEX(Annahmen!$B$66:$F$66,1,I$4)</f>
        <v>1000</v>
      </c>
      <c r="J59" s="26" t="n">
        <f aca="false">INDEX(Annahmen!$B$66:$F$66,1,J$4)</f>
        <v>1000</v>
      </c>
      <c r="K59" s="26" t="n">
        <f aca="false">INDEX(Annahmen!$B$66:$F$66,1,K$4)</f>
        <v>1000</v>
      </c>
      <c r="L59" s="26" t="n">
        <f aca="false">INDEX(Annahmen!$B$66:$F$66,1,L$4)</f>
        <v>1000</v>
      </c>
      <c r="M59" s="26" t="n">
        <f aca="false">INDEX(Annahmen!$B$66:$F$66,1,M$4)</f>
        <v>1000</v>
      </c>
      <c r="N59" s="26" t="n">
        <f aca="false">INDEX(Annahmen!$B$66:$F$66,1,N$4)</f>
        <v>1000</v>
      </c>
      <c r="O59" s="26" t="n">
        <f aca="false">INDEX(Annahmen!$B$66:$F$66,1,O$4)</f>
        <v>1200</v>
      </c>
      <c r="P59" s="26" t="n">
        <f aca="false">INDEX(Annahmen!$B$66:$F$66,1,P$4)</f>
        <v>1200</v>
      </c>
      <c r="Q59" s="26" t="n">
        <f aca="false">INDEX(Annahmen!$B$66:$F$66,1,Q$4)</f>
        <v>1200</v>
      </c>
      <c r="R59" s="26" t="n">
        <f aca="false">INDEX(Annahmen!$B$66:$F$66,1,R$4)</f>
        <v>1200</v>
      </c>
      <c r="S59" s="26" t="n">
        <f aca="false">INDEX(Annahmen!$B$66:$F$66,1,S$4)</f>
        <v>1200</v>
      </c>
      <c r="T59" s="26" t="n">
        <f aca="false">INDEX(Annahmen!$B$66:$F$66,1,T$4)</f>
        <v>1200</v>
      </c>
      <c r="U59" s="26" t="n">
        <f aca="false">INDEX(Annahmen!$B$66:$F$66,1,U$4)</f>
        <v>1200</v>
      </c>
      <c r="V59" s="26" t="n">
        <f aca="false">INDEX(Annahmen!$B$66:$F$66,1,V$4)</f>
        <v>1200</v>
      </c>
      <c r="W59" s="26" t="n">
        <f aca="false">INDEX(Annahmen!$B$66:$F$66,1,W$4)</f>
        <v>1200</v>
      </c>
      <c r="X59" s="26" t="n">
        <f aca="false">INDEX(Annahmen!$B$66:$F$66,1,X$4)</f>
        <v>1200</v>
      </c>
      <c r="Y59" s="26" t="n">
        <f aca="false">INDEX(Annahmen!$B$66:$F$66,1,Y$4)</f>
        <v>1200</v>
      </c>
      <c r="Z59" s="26" t="n">
        <f aca="false">INDEX(Annahmen!$B$66:$F$66,1,Z$4)</f>
        <v>1200</v>
      </c>
    </row>
    <row r="60" customFormat="false" ht="15" hidden="false" customHeight="false" outlineLevel="0" collapsed="false">
      <c r="A60" s="5" t="s">
        <v>257</v>
      </c>
      <c r="C60" s="26" t="n">
        <f aca="false">INDEX(Annahmen!$B$67:$F$67,1,C$4)</f>
        <v>550</v>
      </c>
      <c r="D60" s="26" t="n">
        <f aca="false">INDEX(Annahmen!$B$67:$F$67,1,D$4)</f>
        <v>550</v>
      </c>
      <c r="E60" s="26" t="n">
        <f aca="false">INDEX(Annahmen!$B$67:$F$67,1,E$4)</f>
        <v>550</v>
      </c>
      <c r="F60" s="26" t="n">
        <f aca="false">INDEX(Annahmen!$B$67:$F$67,1,F$4)</f>
        <v>550</v>
      </c>
      <c r="G60" s="26" t="n">
        <f aca="false">INDEX(Annahmen!$B$67:$F$67,1,G$4)</f>
        <v>550</v>
      </c>
      <c r="H60" s="26" t="n">
        <f aca="false">INDEX(Annahmen!$B$67:$F$67,1,H$4)</f>
        <v>550</v>
      </c>
      <c r="I60" s="26" t="n">
        <f aca="false">INDEX(Annahmen!$B$67:$F$67,1,I$4)</f>
        <v>550</v>
      </c>
      <c r="J60" s="26" t="n">
        <f aca="false">INDEX(Annahmen!$B$67:$F$67,1,J$4)</f>
        <v>550</v>
      </c>
      <c r="K60" s="26" t="n">
        <f aca="false">INDEX(Annahmen!$B$67:$F$67,1,K$4)</f>
        <v>550</v>
      </c>
      <c r="L60" s="26" t="n">
        <f aca="false">INDEX(Annahmen!$B$67:$F$67,1,L$4)</f>
        <v>550</v>
      </c>
      <c r="M60" s="26" t="n">
        <f aca="false">INDEX(Annahmen!$B$67:$F$67,1,M$4)</f>
        <v>550</v>
      </c>
      <c r="N60" s="26" t="n">
        <f aca="false">INDEX(Annahmen!$B$67:$F$67,1,N$4)</f>
        <v>550</v>
      </c>
      <c r="O60" s="26" t="n">
        <f aca="false">INDEX(Annahmen!$B$67:$F$67,1,O$4)</f>
        <v>600</v>
      </c>
      <c r="P60" s="26" t="n">
        <f aca="false">INDEX(Annahmen!$B$67:$F$67,1,P$4)</f>
        <v>600</v>
      </c>
      <c r="Q60" s="26" t="n">
        <f aca="false">INDEX(Annahmen!$B$67:$F$67,1,Q$4)</f>
        <v>600</v>
      </c>
      <c r="R60" s="26" t="n">
        <f aca="false">INDEX(Annahmen!$B$67:$F$67,1,R$4)</f>
        <v>600</v>
      </c>
      <c r="S60" s="26" t="n">
        <f aca="false">INDEX(Annahmen!$B$67:$F$67,1,S$4)</f>
        <v>600</v>
      </c>
      <c r="T60" s="26" t="n">
        <f aca="false">INDEX(Annahmen!$B$67:$F$67,1,T$4)</f>
        <v>600</v>
      </c>
      <c r="U60" s="26" t="n">
        <f aca="false">INDEX(Annahmen!$B$67:$F$67,1,U$4)</f>
        <v>600</v>
      </c>
      <c r="V60" s="26" t="n">
        <f aca="false">INDEX(Annahmen!$B$67:$F$67,1,V$4)</f>
        <v>600</v>
      </c>
      <c r="W60" s="26" t="n">
        <f aca="false">INDEX(Annahmen!$B$67:$F$67,1,W$4)</f>
        <v>600</v>
      </c>
      <c r="X60" s="26" t="n">
        <f aca="false">INDEX(Annahmen!$B$67:$F$67,1,X$4)</f>
        <v>600</v>
      </c>
      <c r="Y60" s="26" t="n">
        <f aca="false">INDEX(Annahmen!$B$67:$F$67,1,Y$4)</f>
        <v>600</v>
      </c>
      <c r="Z60" s="26" t="n">
        <f aca="false">INDEX(Annahmen!$B$67:$F$67,1,Z$4)</f>
        <v>600</v>
      </c>
    </row>
    <row r="61" customFormat="false" ht="15" hidden="false" customHeight="false" outlineLevel="0" collapsed="false">
      <c r="A61" s="5" t="s">
        <v>258</v>
      </c>
      <c r="C61" s="26" t="n">
        <f aca="false">INDEX(Annahmen!$B$68:$F$68,1,C$4)</f>
        <v>1600</v>
      </c>
      <c r="D61" s="26" t="n">
        <f aca="false">INDEX(Annahmen!$B$68:$F$68,1,D$4)</f>
        <v>1600</v>
      </c>
      <c r="E61" s="26" t="n">
        <f aca="false">INDEX(Annahmen!$B$68:$F$68,1,E$4)</f>
        <v>1600</v>
      </c>
      <c r="F61" s="26" t="n">
        <f aca="false">INDEX(Annahmen!$B$68:$F$68,1,F$4)</f>
        <v>1600</v>
      </c>
      <c r="G61" s="26" t="n">
        <f aca="false">INDEX(Annahmen!$B$68:$F$68,1,G$4)</f>
        <v>1600</v>
      </c>
      <c r="H61" s="26" t="n">
        <f aca="false">INDEX(Annahmen!$B$68:$F$68,1,H$4)</f>
        <v>1600</v>
      </c>
      <c r="I61" s="26" t="n">
        <f aca="false">INDEX(Annahmen!$B$68:$F$68,1,I$4)</f>
        <v>1600</v>
      </c>
      <c r="J61" s="26" t="n">
        <f aca="false">INDEX(Annahmen!$B$68:$F$68,1,J$4)</f>
        <v>1600</v>
      </c>
      <c r="K61" s="26" t="n">
        <f aca="false">INDEX(Annahmen!$B$68:$F$68,1,K$4)</f>
        <v>1600</v>
      </c>
      <c r="L61" s="26" t="n">
        <f aca="false">INDEX(Annahmen!$B$68:$F$68,1,L$4)</f>
        <v>1600</v>
      </c>
      <c r="M61" s="26" t="n">
        <f aca="false">INDEX(Annahmen!$B$68:$F$68,1,M$4)</f>
        <v>1600</v>
      </c>
      <c r="N61" s="26" t="n">
        <f aca="false">INDEX(Annahmen!$B$68:$F$68,1,N$4)</f>
        <v>1600</v>
      </c>
      <c r="O61" s="26" t="n">
        <f aca="false">INDEX(Annahmen!$B$68:$F$68,1,O$4)</f>
        <v>2000</v>
      </c>
      <c r="P61" s="26" t="n">
        <f aca="false">INDEX(Annahmen!$B$68:$F$68,1,P$4)</f>
        <v>2000</v>
      </c>
      <c r="Q61" s="26" t="n">
        <f aca="false">INDEX(Annahmen!$B$68:$F$68,1,Q$4)</f>
        <v>2000</v>
      </c>
      <c r="R61" s="26" t="n">
        <f aca="false">INDEX(Annahmen!$B$68:$F$68,1,R$4)</f>
        <v>2000</v>
      </c>
      <c r="S61" s="26" t="n">
        <f aca="false">INDEX(Annahmen!$B$68:$F$68,1,S$4)</f>
        <v>2000</v>
      </c>
      <c r="T61" s="26" t="n">
        <f aca="false">INDEX(Annahmen!$B$68:$F$68,1,T$4)</f>
        <v>2000</v>
      </c>
      <c r="U61" s="26" t="n">
        <f aca="false">INDEX(Annahmen!$B$68:$F$68,1,U$4)</f>
        <v>2000</v>
      </c>
      <c r="V61" s="26" t="n">
        <f aca="false">INDEX(Annahmen!$B$68:$F$68,1,V$4)</f>
        <v>2000</v>
      </c>
      <c r="W61" s="26" t="n">
        <f aca="false">INDEX(Annahmen!$B$68:$F$68,1,W$4)</f>
        <v>2000</v>
      </c>
      <c r="X61" s="26" t="n">
        <f aca="false">INDEX(Annahmen!$B$68:$F$68,1,X$4)</f>
        <v>2000</v>
      </c>
      <c r="Y61" s="26" t="n">
        <f aca="false">INDEX(Annahmen!$B$68:$F$68,1,Y$4)</f>
        <v>2000</v>
      </c>
      <c r="Z61" s="26" t="n">
        <f aca="false">INDEX(Annahmen!$B$68:$F$68,1,Z$4)</f>
        <v>2000</v>
      </c>
    </row>
    <row r="62" customFormat="false" ht="15" hidden="false" customHeight="false" outlineLevel="0" collapsed="false">
      <c r="A62" s="5" t="s">
        <v>259</v>
      </c>
      <c r="C62" s="26" t="n">
        <f aca="false">INDEX(Annahmen!$B$69:$F$69,1,C$4)</f>
        <v>400</v>
      </c>
      <c r="D62" s="26" t="n">
        <f aca="false">INDEX(Annahmen!$B$69:$F$69,1,D$4)</f>
        <v>400</v>
      </c>
      <c r="E62" s="26" t="n">
        <f aca="false">INDEX(Annahmen!$B$69:$F$69,1,E$4)</f>
        <v>400</v>
      </c>
      <c r="F62" s="26" t="n">
        <f aca="false">INDEX(Annahmen!$B$69:$F$69,1,F$4)</f>
        <v>400</v>
      </c>
      <c r="G62" s="26" t="n">
        <f aca="false">INDEX(Annahmen!$B$69:$F$69,1,G$4)</f>
        <v>400</v>
      </c>
      <c r="H62" s="26" t="n">
        <f aca="false">INDEX(Annahmen!$B$69:$F$69,1,H$4)</f>
        <v>400</v>
      </c>
      <c r="I62" s="26" t="n">
        <f aca="false">INDEX(Annahmen!$B$69:$F$69,1,I$4)</f>
        <v>400</v>
      </c>
      <c r="J62" s="26" t="n">
        <f aca="false">INDEX(Annahmen!$B$69:$F$69,1,J$4)</f>
        <v>400</v>
      </c>
      <c r="K62" s="26" t="n">
        <f aca="false">INDEX(Annahmen!$B$69:$F$69,1,K$4)</f>
        <v>400</v>
      </c>
      <c r="L62" s="26" t="n">
        <f aca="false">INDEX(Annahmen!$B$69:$F$69,1,L$4)</f>
        <v>400</v>
      </c>
      <c r="M62" s="26" t="n">
        <f aca="false">INDEX(Annahmen!$B$69:$F$69,1,M$4)</f>
        <v>400</v>
      </c>
      <c r="N62" s="26" t="n">
        <f aca="false">INDEX(Annahmen!$B$69:$F$69,1,N$4)</f>
        <v>400</v>
      </c>
      <c r="O62" s="26" t="n">
        <f aca="false">INDEX(Annahmen!$B$69:$F$69,1,O$4)</f>
        <v>500</v>
      </c>
      <c r="P62" s="26" t="n">
        <f aca="false">INDEX(Annahmen!$B$69:$F$69,1,P$4)</f>
        <v>500</v>
      </c>
      <c r="Q62" s="26" t="n">
        <f aca="false">INDEX(Annahmen!$B$69:$F$69,1,Q$4)</f>
        <v>500</v>
      </c>
      <c r="R62" s="26" t="n">
        <f aca="false">INDEX(Annahmen!$B$69:$F$69,1,R$4)</f>
        <v>500</v>
      </c>
      <c r="S62" s="26" t="n">
        <f aca="false">INDEX(Annahmen!$B$69:$F$69,1,S$4)</f>
        <v>500</v>
      </c>
      <c r="T62" s="26" t="n">
        <f aca="false">INDEX(Annahmen!$B$69:$F$69,1,T$4)</f>
        <v>500</v>
      </c>
      <c r="U62" s="26" t="n">
        <f aca="false">INDEX(Annahmen!$B$69:$F$69,1,U$4)</f>
        <v>500</v>
      </c>
      <c r="V62" s="26" t="n">
        <f aca="false">INDEX(Annahmen!$B$69:$F$69,1,V$4)</f>
        <v>500</v>
      </c>
      <c r="W62" s="26" t="n">
        <f aca="false">INDEX(Annahmen!$B$69:$F$69,1,W$4)</f>
        <v>500</v>
      </c>
      <c r="X62" s="26" t="n">
        <f aca="false">INDEX(Annahmen!$B$69:$F$69,1,X$4)</f>
        <v>500</v>
      </c>
      <c r="Y62" s="26" t="n">
        <f aca="false">INDEX(Annahmen!$B$69:$F$69,1,Y$4)</f>
        <v>500</v>
      </c>
      <c r="Z62" s="26" t="n">
        <f aca="false">INDEX(Annahmen!$B$69:$F$69,1,Z$4)</f>
        <v>500</v>
      </c>
    </row>
    <row r="63" customFormat="false" ht="15" hidden="false" customHeight="false" outlineLevel="0" collapsed="false">
      <c r="A63" s="5" t="s">
        <v>260</v>
      </c>
      <c r="C63" s="26" t="n">
        <f aca="false">Annahmen!$B$70+Annahmen!$B$71*C52</f>
        <v>550</v>
      </c>
      <c r="D63" s="26" t="n">
        <f aca="false">Annahmen!$B$70+Annahmen!$B$71*D52</f>
        <v>550</v>
      </c>
      <c r="E63" s="26" t="n">
        <f aca="false">Annahmen!$B$70+Annahmen!$B$71*E52</f>
        <v>550</v>
      </c>
      <c r="F63" s="26" t="n">
        <f aca="false">Annahmen!$B$70+Annahmen!$B$71*F52</f>
        <v>550</v>
      </c>
      <c r="G63" s="26" t="n">
        <f aca="false">Annahmen!$B$70+Annahmen!$B$71*G52</f>
        <v>550</v>
      </c>
      <c r="H63" s="26" t="n">
        <f aca="false">Annahmen!$B$70+Annahmen!$B$71*H52</f>
        <v>550</v>
      </c>
      <c r="I63" s="26" t="n">
        <f aca="false">Annahmen!$B$70+Annahmen!$B$71*I52</f>
        <v>590</v>
      </c>
      <c r="J63" s="26" t="n">
        <f aca="false">Annahmen!$B$70+Annahmen!$B$71*J52</f>
        <v>590</v>
      </c>
      <c r="K63" s="26" t="n">
        <f aca="false">Annahmen!$B$70+Annahmen!$B$71*K52</f>
        <v>590</v>
      </c>
      <c r="L63" s="26" t="n">
        <f aca="false">Annahmen!$B$70+Annahmen!$B$71*L52</f>
        <v>590</v>
      </c>
      <c r="M63" s="26" t="n">
        <f aca="false">Annahmen!$B$70+Annahmen!$B$71*M52</f>
        <v>590</v>
      </c>
      <c r="N63" s="26" t="n">
        <f aca="false">Annahmen!$B$70+Annahmen!$B$71*N52</f>
        <v>590</v>
      </c>
      <c r="O63" s="26" t="n">
        <f aca="false">Annahmen!$B$70+Annahmen!$B$71*O52</f>
        <v>670</v>
      </c>
      <c r="P63" s="26" t="n">
        <f aca="false">Annahmen!$B$70+Annahmen!$B$71*P52</f>
        <v>670</v>
      </c>
      <c r="Q63" s="26" t="n">
        <f aca="false">Annahmen!$B$70+Annahmen!$B$71*Q52</f>
        <v>670</v>
      </c>
      <c r="R63" s="26" t="n">
        <f aca="false">Annahmen!$B$70+Annahmen!$B$71*R52</f>
        <v>670</v>
      </c>
      <c r="S63" s="26" t="n">
        <f aca="false">Annahmen!$B$70+Annahmen!$B$71*S52</f>
        <v>670</v>
      </c>
      <c r="T63" s="26" t="n">
        <f aca="false">Annahmen!$B$70+Annahmen!$B$71*T52</f>
        <v>670</v>
      </c>
      <c r="U63" s="26" t="n">
        <f aca="false">Annahmen!$B$70+Annahmen!$B$71*U52</f>
        <v>670</v>
      </c>
      <c r="V63" s="26" t="n">
        <f aca="false">Annahmen!$B$70+Annahmen!$B$71*V52</f>
        <v>670</v>
      </c>
      <c r="W63" s="26" t="n">
        <f aca="false">Annahmen!$B$70+Annahmen!$B$71*W52</f>
        <v>670</v>
      </c>
      <c r="X63" s="26" t="n">
        <f aca="false">Annahmen!$B$70+Annahmen!$B$71*X52</f>
        <v>670</v>
      </c>
      <c r="Y63" s="26" t="n">
        <f aca="false">Annahmen!$B$70+Annahmen!$B$71*Y52</f>
        <v>670</v>
      </c>
      <c r="Z63" s="26" t="n">
        <f aca="false">Annahmen!$B$70+Annahmen!$B$71*Z52</f>
        <v>670</v>
      </c>
    </row>
    <row r="64" customFormat="false" ht="15" hidden="false" customHeight="false" outlineLevel="0" collapsed="false">
      <c r="A64" s="5" t="s">
        <v>261</v>
      </c>
      <c r="C64" s="26" t="n">
        <f aca="false">MAX(0,C52-B52)*Annahmen!$B$72</f>
        <v>3600</v>
      </c>
      <c r="D64" s="26" t="n">
        <f aca="false">MAX(0,D52-C52)*Annahmen!$B$72</f>
        <v>0</v>
      </c>
      <c r="E64" s="26" t="n">
        <f aca="false">MAX(0,E52-D52)*Annahmen!$B$72</f>
        <v>0</v>
      </c>
      <c r="F64" s="26" t="n">
        <f aca="false">MAX(0,F52-E52)*Annahmen!$B$72</f>
        <v>0</v>
      </c>
      <c r="G64" s="26" t="n">
        <f aca="false">MAX(0,G52-F52)*Annahmen!$B$72</f>
        <v>0</v>
      </c>
      <c r="H64" s="26" t="n">
        <f aca="false">MAX(0,H52-G52)*Annahmen!$B$72</f>
        <v>0</v>
      </c>
      <c r="I64" s="26" t="n">
        <f aca="false">MAX(0,I52-H52)*Annahmen!$B$72</f>
        <v>1800</v>
      </c>
      <c r="J64" s="26" t="n">
        <f aca="false">MAX(0,J52-I52)*Annahmen!$B$72</f>
        <v>0</v>
      </c>
      <c r="K64" s="26" t="n">
        <f aca="false">MAX(0,K52-J52)*Annahmen!$B$72</f>
        <v>0</v>
      </c>
      <c r="L64" s="26" t="n">
        <f aca="false">MAX(0,L52-K52)*Annahmen!$B$72</f>
        <v>0</v>
      </c>
      <c r="M64" s="26" t="n">
        <f aca="false">MAX(0,M52-L52)*Annahmen!$B$72</f>
        <v>0</v>
      </c>
      <c r="N64" s="26" t="n">
        <f aca="false">MAX(0,N52-M52)*Annahmen!$B$72</f>
        <v>0</v>
      </c>
      <c r="O64" s="26" t="n">
        <f aca="false">MAX(0,O52-N52)*Annahmen!$B$72</f>
        <v>3600</v>
      </c>
      <c r="P64" s="26" t="n">
        <f aca="false">MAX(0,P52-O52)*Annahmen!$B$72</f>
        <v>0</v>
      </c>
      <c r="Q64" s="26" t="n">
        <f aca="false">MAX(0,Q52-P52)*Annahmen!$B$72</f>
        <v>0</v>
      </c>
      <c r="R64" s="26" t="n">
        <f aca="false">MAX(0,R52-Q52)*Annahmen!$B$72</f>
        <v>0</v>
      </c>
      <c r="S64" s="26" t="n">
        <f aca="false">MAX(0,S52-R52)*Annahmen!$B$72</f>
        <v>0</v>
      </c>
      <c r="T64" s="26" t="n">
        <f aca="false">MAX(0,T52-S52)*Annahmen!$B$72</f>
        <v>0</v>
      </c>
      <c r="U64" s="26" t="n">
        <f aca="false">MAX(0,U52-T52)*Annahmen!$B$72</f>
        <v>0</v>
      </c>
      <c r="V64" s="26" t="n">
        <f aca="false">MAX(0,V52-U52)*Annahmen!$B$72</f>
        <v>0</v>
      </c>
      <c r="W64" s="26" t="n">
        <f aca="false">MAX(0,W52-V52)*Annahmen!$B$72</f>
        <v>0</v>
      </c>
      <c r="X64" s="26" t="n">
        <f aca="false">MAX(0,X52-W52)*Annahmen!$B$72</f>
        <v>0</v>
      </c>
      <c r="Y64" s="26" t="n">
        <f aca="false">MAX(0,Y52-X52)*Annahmen!$B$72</f>
        <v>0</v>
      </c>
      <c r="Z64" s="26" t="n">
        <f aca="false">MAX(0,Z52-Y52)*Annahmen!$B$72</f>
        <v>0</v>
      </c>
    </row>
    <row r="65" customFormat="false" ht="15" hidden="false" customHeight="false" outlineLevel="0" collapsed="false">
      <c r="A65" s="5" t="s">
        <v>262</v>
      </c>
      <c r="C65" s="26" t="n">
        <f aca="false">IF(C$2=1,Annahmen!$B$73,0)</f>
        <v>0</v>
      </c>
      <c r="D65" s="26" t="n">
        <f aca="false">IF(D$2=1,Annahmen!$B$73,0)</f>
        <v>0</v>
      </c>
      <c r="E65" s="26" t="n">
        <f aca="false">IF(E$2=1,Annahmen!$B$73,0)</f>
        <v>0</v>
      </c>
      <c r="F65" s="26" t="n">
        <f aca="false">IF(F$2=1,Annahmen!$B$73,0)</f>
        <v>0</v>
      </c>
      <c r="G65" s="26" t="n">
        <f aca="false">IF(G$2=1,Annahmen!$B$73,0)</f>
        <v>0</v>
      </c>
      <c r="H65" s="26" t="n">
        <f aca="false">IF(H$2=1,Annahmen!$B$73,0)</f>
        <v>0</v>
      </c>
      <c r="I65" s="26" t="n">
        <f aca="false">IF(I$2=1,Annahmen!$B$73,0)</f>
        <v>0</v>
      </c>
      <c r="J65" s="26" t="n">
        <f aca="false">IF(J$2=1,Annahmen!$B$73,0)</f>
        <v>0</v>
      </c>
      <c r="K65" s="26" t="n">
        <f aca="false">IF(K$2=1,Annahmen!$B$73,0)</f>
        <v>0</v>
      </c>
      <c r="L65" s="26" t="n">
        <f aca="false">IF(L$2=1,Annahmen!$B$73,0)</f>
        <v>0</v>
      </c>
      <c r="M65" s="26" t="n">
        <f aca="false">IF(M$2=1,Annahmen!$B$73,0)</f>
        <v>0</v>
      </c>
      <c r="N65" s="26" t="n">
        <f aca="false">IF(N$2=1,Annahmen!$B$73,0)</f>
        <v>0</v>
      </c>
      <c r="O65" s="26" t="n">
        <f aca="false">IF(O$2=1,Annahmen!$B$73,0)</f>
        <v>0</v>
      </c>
      <c r="P65" s="26" t="n">
        <f aca="false">IF(P$2=1,Annahmen!$B$73,0)</f>
        <v>0</v>
      </c>
      <c r="Q65" s="26" t="n">
        <f aca="false">IF(Q$2=1,Annahmen!$B$73,0)</f>
        <v>0</v>
      </c>
      <c r="R65" s="26" t="n">
        <f aca="false">IF(R$2=1,Annahmen!$B$73,0)</f>
        <v>0</v>
      </c>
      <c r="S65" s="26" t="n">
        <f aca="false">IF(S$2=1,Annahmen!$B$73,0)</f>
        <v>0</v>
      </c>
      <c r="T65" s="26" t="n">
        <f aca="false">IF(T$2=1,Annahmen!$B$73,0)</f>
        <v>0</v>
      </c>
      <c r="U65" s="26" t="n">
        <f aca="false">IF(U$2=1,Annahmen!$B$73,0)</f>
        <v>0</v>
      </c>
      <c r="V65" s="26" t="n">
        <f aca="false">IF(V$2=1,Annahmen!$B$73,0)</f>
        <v>0</v>
      </c>
      <c r="W65" s="26" t="n">
        <f aca="false">IF(W$2=1,Annahmen!$B$73,0)</f>
        <v>0</v>
      </c>
      <c r="X65" s="26" t="n">
        <f aca="false">IF(X$2=1,Annahmen!$B$73,0)</f>
        <v>0</v>
      </c>
      <c r="Y65" s="26" t="n">
        <f aca="false">IF(Y$2=1,Annahmen!$B$73,0)</f>
        <v>0</v>
      </c>
      <c r="Z65" s="26" t="n">
        <f aca="false">IF(Z$2=1,Annahmen!$B$73,0)</f>
        <v>0</v>
      </c>
    </row>
    <row r="66" customFormat="false" ht="15" hidden="false" customHeight="false" outlineLevel="0" collapsed="false">
      <c r="A66" s="3" t="s">
        <v>263</v>
      </c>
      <c r="C66" s="30" t="n">
        <f aca="false">SUM(C54:C65)</f>
        <v>19000</v>
      </c>
      <c r="D66" s="30" t="n">
        <f aca="false">SUM(D54:D65)</f>
        <v>15400</v>
      </c>
      <c r="E66" s="30" t="n">
        <f aca="false">SUM(E54:E65)</f>
        <v>25400</v>
      </c>
      <c r="F66" s="30" t="n">
        <f aca="false">SUM(F54:F65)</f>
        <v>15400</v>
      </c>
      <c r="G66" s="30" t="n">
        <f aca="false">SUM(G54:G65)</f>
        <v>15400</v>
      </c>
      <c r="H66" s="30" t="n">
        <f aca="false">SUM(H54:H65)</f>
        <v>15400</v>
      </c>
      <c r="I66" s="30" t="n">
        <f aca="false">SUM(I54:I65)</f>
        <v>17240</v>
      </c>
      <c r="J66" s="30" t="n">
        <f aca="false">SUM(J54:J65)</f>
        <v>15440</v>
      </c>
      <c r="K66" s="30" t="n">
        <f aca="false">SUM(K54:K65)</f>
        <v>33440</v>
      </c>
      <c r="L66" s="30" t="n">
        <f aca="false">SUM(L54:L65)</f>
        <v>15440</v>
      </c>
      <c r="M66" s="30" t="n">
        <f aca="false">SUM(M54:M65)</f>
        <v>15440</v>
      </c>
      <c r="N66" s="30" t="n">
        <f aca="false">SUM(N54:N65)</f>
        <v>15440</v>
      </c>
      <c r="O66" s="30" t="n">
        <f aca="false">SUM(O54:O65)</f>
        <v>22750</v>
      </c>
      <c r="P66" s="30" t="n">
        <f aca="false">SUM(P54:P65)</f>
        <v>19150</v>
      </c>
      <c r="Q66" s="30" t="n">
        <f aca="false">SUM(Q54:Q65)</f>
        <v>19150</v>
      </c>
      <c r="R66" s="30" t="n">
        <f aca="false">SUM(R54:R65)</f>
        <v>37150</v>
      </c>
      <c r="S66" s="30" t="n">
        <f aca="false">SUM(S54:S65)</f>
        <v>19150</v>
      </c>
      <c r="T66" s="30" t="n">
        <f aca="false">SUM(T54:T65)</f>
        <v>19150</v>
      </c>
      <c r="U66" s="30" t="n">
        <f aca="false">SUM(U54:U65)</f>
        <v>19150</v>
      </c>
      <c r="V66" s="30" t="n">
        <f aca="false">SUM(V54:V65)</f>
        <v>19150</v>
      </c>
      <c r="W66" s="30" t="n">
        <f aca="false">SUM(W54:W65)</f>
        <v>19150</v>
      </c>
      <c r="X66" s="30" t="n">
        <f aca="false">SUM(X54:X65)</f>
        <v>24150</v>
      </c>
      <c r="Y66" s="30" t="n">
        <f aca="false">SUM(Y54:Y65)</f>
        <v>19150</v>
      </c>
      <c r="Z66" s="30" t="n">
        <f aca="false">SUM(Z54:Z65)</f>
        <v>19150</v>
      </c>
    </row>
    <row r="67" customFormat="false" ht="15" hidden="false" customHeight="false" outlineLevel="0" collapsed="false">
      <c r="A67" s="3" t="s">
        <v>264</v>
      </c>
      <c r="C67" s="30" t="n">
        <f aca="false">C50+C66</f>
        <v>74950.267658</v>
      </c>
      <c r="D67" s="30" t="n">
        <f aca="false">D50+D66</f>
        <v>71350.267658</v>
      </c>
      <c r="E67" s="30" t="n">
        <f aca="false">E50+E66</f>
        <v>81350.267658</v>
      </c>
      <c r="F67" s="30" t="n">
        <f aca="false">F50+F66</f>
        <v>71350.267658</v>
      </c>
      <c r="G67" s="30" t="n">
        <f aca="false">G50+G66</f>
        <v>71350.267658</v>
      </c>
      <c r="H67" s="30" t="n">
        <f aca="false">H50+H66</f>
        <v>71350.267658</v>
      </c>
      <c r="I67" s="30" t="n">
        <f aca="false">I50+I66</f>
        <v>78214.626404</v>
      </c>
      <c r="J67" s="30" t="n">
        <f aca="false">J50+J66</f>
        <v>76414.626404</v>
      </c>
      <c r="K67" s="30" t="n">
        <f aca="false">K50+K66</f>
        <v>94414.626404</v>
      </c>
      <c r="L67" s="30" t="n">
        <f aca="false">L50+L66</f>
        <v>76414.626404</v>
      </c>
      <c r="M67" s="30" t="n">
        <f aca="false">M50+M66</f>
        <v>76414.626404</v>
      </c>
      <c r="N67" s="30" t="n">
        <f aca="false">N50+N66</f>
        <v>76414.626404</v>
      </c>
      <c r="O67" s="30" t="n">
        <f aca="false">O50+O66</f>
        <v>95664.29794884</v>
      </c>
      <c r="P67" s="30" t="n">
        <f aca="false">P50+P66</f>
        <v>92064.29794884</v>
      </c>
      <c r="Q67" s="30" t="n">
        <f aca="false">Q50+Q66</f>
        <v>92064.29794884</v>
      </c>
      <c r="R67" s="30" t="n">
        <f aca="false">R50+R66</f>
        <v>110064.29794884</v>
      </c>
      <c r="S67" s="30" t="n">
        <f aca="false">S50+S66</f>
        <v>92064.29794884</v>
      </c>
      <c r="T67" s="30" t="n">
        <f aca="false">T50+T66</f>
        <v>92064.29794884</v>
      </c>
      <c r="U67" s="30" t="n">
        <f aca="false">U50+U66</f>
        <v>92064.29794884</v>
      </c>
      <c r="V67" s="30" t="n">
        <f aca="false">V50+V66</f>
        <v>92064.29794884</v>
      </c>
      <c r="W67" s="30" t="n">
        <f aca="false">W50+W66</f>
        <v>92064.29794884</v>
      </c>
      <c r="X67" s="30" t="n">
        <f aca="false">X50+X66</f>
        <v>97064.29794884</v>
      </c>
      <c r="Y67" s="30" t="n">
        <f aca="false">Y50+Y66</f>
        <v>92064.29794884</v>
      </c>
      <c r="Z67" s="30" t="n">
        <f aca="false">Z50+Z66</f>
        <v>92064.29794884</v>
      </c>
    </row>
    <row r="68" customFormat="false" ht="15" hidden="false" customHeight="false" outlineLevel="0" collapsed="false">
      <c r="A68" s="19" t="s">
        <v>265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customFormat="false" ht="15" hidden="false" customHeight="false" outlineLevel="0" collapsed="false">
      <c r="A69" s="3" t="s">
        <v>266</v>
      </c>
      <c r="C69" s="30" t="n">
        <f aca="false">C34+C67</f>
        <v>81910.5187613982</v>
      </c>
      <c r="D69" s="30" t="n">
        <f aca="false">D34+D67</f>
        <v>78638.9359262915</v>
      </c>
      <c r="E69" s="30" t="n">
        <f aca="false">E34+E67</f>
        <v>88961.1818504308</v>
      </c>
      <c r="F69" s="30" t="n">
        <f aca="false">F34+F67</f>
        <v>79277.3861306922</v>
      </c>
      <c r="G69" s="30" t="n">
        <f aca="false">G34+G67</f>
        <v>79587.6753698305</v>
      </c>
      <c r="H69" s="30" t="n">
        <f aca="false">H34+H67</f>
        <v>79892.1732510321</v>
      </c>
      <c r="I69" s="30" t="n">
        <f aca="false">I34+I67</f>
        <v>87055.359356504</v>
      </c>
      <c r="J69" s="30" t="n">
        <f aca="false">J34+J67</f>
        <v>85548.6342541557</v>
      </c>
      <c r="K69" s="30" t="n">
        <f aca="false">K34+K67</f>
        <v>103836.472042423</v>
      </c>
      <c r="L69" s="30" t="n">
        <f aca="false">L34+L67</f>
        <v>86118.9854332897</v>
      </c>
      <c r="M69" s="30" t="n">
        <f aca="false">M34+M67</f>
        <v>86396.2845635458</v>
      </c>
      <c r="N69" s="30" t="n">
        <f aca="false">N34+N67</f>
        <v>86668.4770583473</v>
      </c>
      <c r="O69" s="30" t="n">
        <f aca="false">O34+O67</f>
        <v>107839.302330254</v>
      </c>
      <c r="P69" s="30" t="n">
        <f aca="false">P34+P67</f>
        <v>104651.57886233</v>
      </c>
      <c r="Q69" s="30" t="n">
        <f aca="false">Q34+Q67</f>
        <v>105056.19597852</v>
      </c>
      <c r="R69" s="30" t="n">
        <f aca="false">R34+R67</f>
        <v>123453.31279581</v>
      </c>
      <c r="S69" s="30" t="n">
        <f aca="false">S34+S67</f>
        <v>105843.084788845</v>
      </c>
      <c r="T69" s="30" t="n">
        <f aca="false">T34+T67</f>
        <v>106225.663879952</v>
      </c>
      <c r="U69" s="30" t="n">
        <f aca="false">U34+U67</f>
        <v>106601.198526828</v>
      </c>
      <c r="V69" s="30" t="n">
        <f aca="false">V34+V67</f>
        <v>106969.833807911</v>
      </c>
      <c r="W69" s="30" t="n">
        <f aca="false">W34+W67</f>
        <v>107331.711505543</v>
      </c>
      <c r="X69" s="30" t="n">
        <f aca="false">X34+X67</f>
        <v>112686.970186949</v>
      </c>
      <c r="Y69" s="30" t="n">
        <f aca="false">Y34+Y67</f>
        <v>108035.745283113</v>
      </c>
      <c r="Z69" s="30" t="n">
        <f aca="false">Z34+Z67</f>
        <v>108378.169165597</v>
      </c>
    </row>
    <row r="70" customFormat="false" ht="15" hidden="false" customHeight="false" outlineLevel="0" collapsed="false">
      <c r="A70" s="22" t="s">
        <v>267</v>
      </c>
      <c r="B70" s="27"/>
      <c r="C70" s="28" t="n">
        <f aca="false">C26-C69</f>
        <v>-4997.59134363233</v>
      </c>
      <c r="D70" s="28" t="n">
        <f aca="false">D26-D69</f>
        <v>1971.80729570752</v>
      </c>
      <c r="E70" s="28" t="n">
        <f aca="false">E26-E69</f>
        <v>-4721.3656125688</v>
      </c>
      <c r="F70" s="28" t="n">
        <f aca="false">F26-F69</f>
        <v>8524.18751003918</v>
      </c>
      <c r="G70" s="28" t="n">
        <f aca="false">G26-G69</f>
        <v>11709.7346183518</v>
      </c>
      <c r="H70" s="28" t="n">
        <f aca="false">H26-H69</f>
        <v>14836.5147735985</v>
      </c>
      <c r="I70" s="28" t="n">
        <f aca="false">I26-I69</f>
        <v>11041.380108447</v>
      </c>
      <c r="J70" s="28" t="n">
        <f aca="false">J26-J69</f>
        <v>15854.2315034924</v>
      </c>
      <c r="K70" s="28" t="n">
        <f aca="false">K26-K69</f>
        <v>811.866785708742</v>
      </c>
      <c r="L70" s="28" t="n">
        <f aca="false">L26-L69</f>
        <v>21715.4163693555</v>
      </c>
      <c r="M70" s="28" t="n">
        <f aca="false">M26-M69</f>
        <v>24565.9851498133</v>
      </c>
      <c r="N70" s="28" t="n">
        <f aca="false">N26-N69</f>
        <v>27364.6531268135</v>
      </c>
      <c r="O70" s="28" t="n">
        <f aca="false">O26-O69</f>
        <v>10820.418774363</v>
      </c>
      <c r="P70" s="28" t="n">
        <f aca="false">P26-P69</f>
        <v>18080.5954252742</v>
      </c>
      <c r="Q70" s="28" t="n">
        <f aca="false">Q26-Q69</f>
        <v>21673.4712755641</v>
      </c>
      <c r="R70" s="28" t="n">
        <f aca="false">R26-R69</f>
        <v>7200.42889451691</v>
      </c>
      <c r="S70" s="28" t="n">
        <f aca="false">S26-S69</f>
        <v>28662.8195398101</v>
      </c>
      <c r="T70" s="28" t="n">
        <f aca="false">T26-T69</f>
        <v>32061.9639243167</v>
      </c>
      <c r="U70" s="28" t="n">
        <f aca="false">U26-U69</f>
        <v>35399.1529629851</v>
      </c>
      <c r="V70" s="28" t="n">
        <f aca="false">V26-V69</f>
        <v>38675.648500337</v>
      </c>
      <c r="W70" s="28" t="n">
        <f aca="false">W26-W69</f>
        <v>41892.6840191095</v>
      </c>
      <c r="X70" s="28" t="n">
        <f aca="false">X26-X69</f>
        <v>40051.4653305503</v>
      </c>
      <c r="Y70" s="28" t="n">
        <f aca="false">Y26-Y69</f>
        <v>48153.1712468642</v>
      </c>
      <c r="Z70" s="28" t="n">
        <f aca="false">Z26-Z69</f>
        <v>51198.9542362925</v>
      </c>
    </row>
    <row r="71" customFormat="false" ht="15" hidden="false" customHeight="false" outlineLevel="0" collapsed="false">
      <c r="A71" s="19" t="s">
        <v>268</v>
      </c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customFormat="false" ht="15" hidden="false" customHeight="false" outlineLevel="0" collapsed="false">
      <c r="A72" s="5" t="s">
        <v>269</v>
      </c>
      <c r="C72" s="26" t="n">
        <f aca="false">IF(C$2=Annahmen!$B$109,Annahmen!$B$108,0)</f>
        <v>0</v>
      </c>
      <c r="D72" s="26" t="n">
        <f aca="false">IF(D$2=Annahmen!$B$109,Annahmen!$B$108,0)</f>
        <v>0</v>
      </c>
      <c r="E72" s="26" t="n">
        <f aca="false">IF(E$2=Annahmen!$B$109,Annahmen!$B$108,0)</f>
        <v>0</v>
      </c>
      <c r="F72" s="26" t="n">
        <f aca="false">IF(F$2=Annahmen!$B$109,Annahmen!$B$108,0)</f>
        <v>0</v>
      </c>
      <c r="G72" s="26" t="n">
        <f aca="false">IF(G$2=Annahmen!$B$109,Annahmen!$B$108,0)</f>
        <v>0</v>
      </c>
      <c r="H72" s="26" t="n">
        <f aca="false">IF(H$2=Annahmen!$B$109,Annahmen!$B$108,0)</f>
        <v>0</v>
      </c>
      <c r="I72" s="26" t="n">
        <f aca="false">IF(I$2=Annahmen!$B$109,Annahmen!$B$108,0)</f>
        <v>0</v>
      </c>
      <c r="J72" s="26" t="n">
        <f aca="false">IF(J$2=Annahmen!$B$109,Annahmen!$B$108,0)</f>
        <v>0</v>
      </c>
      <c r="K72" s="26" t="n">
        <f aca="false">IF(K$2=Annahmen!$B$109,Annahmen!$B$108,0)</f>
        <v>0</v>
      </c>
      <c r="L72" s="26" t="n">
        <f aca="false">IF(L$2=Annahmen!$B$109,Annahmen!$B$108,0)</f>
        <v>0</v>
      </c>
      <c r="M72" s="26" t="n">
        <f aca="false">IF(M$2=Annahmen!$B$109,Annahmen!$B$108,0)</f>
        <v>0</v>
      </c>
      <c r="N72" s="26" t="n">
        <f aca="false">IF(N$2=Annahmen!$B$109,Annahmen!$B$108,0)</f>
        <v>0</v>
      </c>
      <c r="O72" s="26" t="n">
        <f aca="false">IF(O$2=Annahmen!$B$109,Annahmen!$B$108,0)</f>
        <v>0</v>
      </c>
      <c r="P72" s="26" t="n">
        <f aca="false">IF(P$2=Annahmen!$B$109,Annahmen!$B$108,0)</f>
        <v>0</v>
      </c>
      <c r="Q72" s="26" t="n">
        <f aca="false">IF(Q$2=Annahmen!$B$109,Annahmen!$B$108,0)</f>
        <v>0</v>
      </c>
      <c r="R72" s="26" t="n">
        <f aca="false">IF(R$2=Annahmen!$B$109,Annahmen!$B$108,0)</f>
        <v>0</v>
      </c>
      <c r="S72" s="26" t="n">
        <f aca="false">IF(S$2=Annahmen!$B$109,Annahmen!$B$108,0)</f>
        <v>0</v>
      </c>
      <c r="T72" s="26" t="n">
        <f aca="false">IF(T$2=Annahmen!$B$109,Annahmen!$B$108,0)</f>
        <v>0</v>
      </c>
      <c r="U72" s="26" t="n">
        <f aca="false">IF(U$2=Annahmen!$B$109,Annahmen!$B$108,0)</f>
        <v>0</v>
      </c>
      <c r="V72" s="26" t="n">
        <f aca="false">IF(V$2=Annahmen!$B$109,Annahmen!$B$108,0)</f>
        <v>0</v>
      </c>
      <c r="W72" s="26" t="n">
        <f aca="false">IF(W$2=Annahmen!$B$109,Annahmen!$B$108,0)</f>
        <v>0</v>
      </c>
      <c r="X72" s="26" t="n">
        <f aca="false">IF(X$2=Annahmen!$B$109,Annahmen!$B$108,0)</f>
        <v>0</v>
      </c>
      <c r="Y72" s="26" t="n">
        <f aca="false">IF(Y$2=Annahmen!$B$109,Annahmen!$B$108,0)</f>
        <v>0</v>
      </c>
      <c r="Z72" s="26" t="n">
        <f aca="false">IF(Z$2=Annahmen!$B$109,Annahmen!$B$108,0)</f>
        <v>0</v>
      </c>
    </row>
    <row r="73" customFormat="false" ht="15" hidden="false" customHeight="false" outlineLevel="0" collapsed="false">
      <c r="A73" s="5" t="s">
        <v>270</v>
      </c>
      <c r="C73" s="26" t="n">
        <f aca="false">IF(C$2=Annahmen!$B$111,Annahmen!$B$110,0)</f>
        <v>0</v>
      </c>
      <c r="D73" s="26" t="n">
        <f aca="false">IF(D$2=Annahmen!$B$111,Annahmen!$B$110,0)</f>
        <v>0</v>
      </c>
      <c r="E73" s="26" t="n">
        <f aca="false">IF(E$2=Annahmen!$B$111,Annahmen!$B$110,0)</f>
        <v>0</v>
      </c>
      <c r="F73" s="26" t="n">
        <f aca="false">IF(F$2=Annahmen!$B$111,Annahmen!$B$110,0)</f>
        <v>0</v>
      </c>
      <c r="G73" s="26" t="n">
        <f aca="false">IF(G$2=Annahmen!$B$111,Annahmen!$B$110,0)</f>
        <v>0</v>
      </c>
      <c r="H73" s="26" t="n">
        <f aca="false">IF(H$2=Annahmen!$B$111,Annahmen!$B$110,0)</f>
        <v>0</v>
      </c>
      <c r="I73" s="26" t="n">
        <f aca="false">IF(I$2=Annahmen!$B$111,Annahmen!$B$110,0)</f>
        <v>0</v>
      </c>
      <c r="J73" s="26" t="n">
        <f aca="false">IF(J$2=Annahmen!$B$111,Annahmen!$B$110,0)</f>
        <v>0</v>
      </c>
      <c r="K73" s="26" t="n">
        <f aca="false">IF(K$2=Annahmen!$B$111,Annahmen!$B$110,0)</f>
        <v>0</v>
      </c>
      <c r="L73" s="26" t="n">
        <f aca="false">IF(L$2=Annahmen!$B$111,Annahmen!$B$110,0)</f>
        <v>0</v>
      </c>
      <c r="M73" s="26" t="n">
        <f aca="false">IF(M$2=Annahmen!$B$111,Annahmen!$B$110,0)</f>
        <v>0</v>
      </c>
      <c r="N73" s="26" t="n">
        <f aca="false">IF(N$2=Annahmen!$B$111,Annahmen!$B$110,0)</f>
        <v>0</v>
      </c>
      <c r="O73" s="26" t="n">
        <f aca="false">IF(O$2=Annahmen!$B$111,Annahmen!$B$110,0)</f>
        <v>0</v>
      </c>
      <c r="P73" s="26" t="n">
        <f aca="false">IF(P$2=Annahmen!$B$111,Annahmen!$B$110,0)</f>
        <v>0</v>
      </c>
      <c r="Q73" s="26" t="n">
        <f aca="false">IF(Q$2=Annahmen!$B$111,Annahmen!$B$110,0)</f>
        <v>0</v>
      </c>
      <c r="R73" s="26" t="n">
        <f aca="false">IF(R$2=Annahmen!$B$111,Annahmen!$B$110,0)</f>
        <v>0</v>
      </c>
      <c r="S73" s="26" t="n">
        <f aca="false">IF(S$2=Annahmen!$B$111,Annahmen!$B$110,0)</f>
        <v>0</v>
      </c>
      <c r="T73" s="26" t="n">
        <f aca="false">IF(T$2=Annahmen!$B$111,Annahmen!$B$110,0)</f>
        <v>0</v>
      </c>
      <c r="U73" s="26" t="n">
        <f aca="false">IF(U$2=Annahmen!$B$111,Annahmen!$B$110,0)</f>
        <v>0</v>
      </c>
      <c r="V73" s="26" t="n">
        <f aca="false">IF(V$2=Annahmen!$B$111,Annahmen!$B$110,0)</f>
        <v>0</v>
      </c>
      <c r="W73" s="26" t="n">
        <f aca="false">IF(W$2=Annahmen!$B$111,Annahmen!$B$110,0)</f>
        <v>0</v>
      </c>
      <c r="X73" s="26" t="n">
        <f aca="false">IF(X$2=Annahmen!$B$111,Annahmen!$B$110,0)</f>
        <v>0</v>
      </c>
      <c r="Y73" s="26" t="n">
        <f aca="false">IF(Y$2=Annahmen!$B$111,Annahmen!$B$110,0)</f>
        <v>0</v>
      </c>
      <c r="Z73" s="26" t="n">
        <f aca="false">IF(Z$2=Annahmen!$B$111,Annahmen!$B$110,0)</f>
        <v>0</v>
      </c>
    </row>
    <row r="74" customFormat="false" ht="15" hidden="false" customHeight="false" outlineLevel="0" collapsed="false">
      <c r="A74" s="5" t="s">
        <v>271</v>
      </c>
      <c r="C74" s="26" t="n">
        <f aca="false">IF(C$2=Annahmen!$B$116,Annahmen!$B$115,0)</f>
        <v>0</v>
      </c>
      <c r="D74" s="26" t="n">
        <f aca="false">IF(D$2=Annahmen!$B$116,Annahmen!$B$115,0)</f>
        <v>0</v>
      </c>
      <c r="E74" s="26" t="n">
        <f aca="false">IF(E$2=Annahmen!$B$116,Annahmen!$B$115,0)</f>
        <v>0</v>
      </c>
      <c r="F74" s="26" t="n">
        <f aca="false">IF(F$2=Annahmen!$B$116,Annahmen!$B$115,0)</f>
        <v>0</v>
      </c>
      <c r="G74" s="26" t="n">
        <f aca="false">IF(G$2=Annahmen!$B$116,Annahmen!$B$115,0)</f>
        <v>0</v>
      </c>
      <c r="H74" s="26" t="n">
        <f aca="false">IF(H$2=Annahmen!$B$116,Annahmen!$B$115,0)</f>
        <v>0</v>
      </c>
      <c r="I74" s="26" t="n">
        <f aca="false">IF(I$2=Annahmen!$B$116,Annahmen!$B$115,0)</f>
        <v>0</v>
      </c>
      <c r="J74" s="26" t="n">
        <f aca="false">IF(J$2=Annahmen!$B$116,Annahmen!$B$115,0)</f>
        <v>0</v>
      </c>
      <c r="K74" s="26" t="n">
        <f aca="false">IF(K$2=Annahmen!$B$116,Annahmen!$B$115,0)</f>
        <v>0</v>
      </c>
      <c r="L74" s="26" t="n">
        <f aca="false">IF(L$2=Annahmen!$B$116,Annahmen!$B$115,0)</f>
        <v>0</v>
      </c>
      <c r="M74" s="26" t="n">
        <f aca="false">IF(M$2=Annahmen!$B$116,Annahmen!$B$115,0)</f>
        <v>0</v>
      </c>
      <c r="N74" s="26" t="n">
        <f aca="false">IF(N$2=Annahmen!$B$116,Annahmen!$B$115,0)</f>
        <v>0</v>
      </c>
      <c r="O74" s="26" t="n">
        <f aca="false">IF(O$2=Annahmen!$B$116,Annahmen!$B$115,0)</f>
        <v>0</v>
      </c>
      <c r="P74" s="26" t="n">
        <f aca="false">IF(P$2=Annahmen!$B$116,Annahmen!$B$115,0)</f>
        <v>0</v>
      </c>
      <c r="Q74" s="26" t="n">
        <f aca="false">IF(Q$2=Annahmen!$B$116,Annahmen!$B$115,0)</f>
        <v>0</v>
      </c>
      <c r="R74" s="26" t="n">
        <f aca="false">IF(R$2=Annahmen!$B$116,Annahmen!$B$115,0)</f>
        <v>0</v>
      </c>
      <c r="S74" s="26" t="n">
        <f aca="false">IF(S$2=Annahmen!$B$116,Annahmen!$B$115,0)</f>
        <v>0</v>
      </c>
      <c r="T74" s="26" t="n">
        <f aca="false">IF(T$2=Annahmen!$B$116,Annahmen!$B$115,0)</f>
        <v>0</v>
      </c>
      <c r="U74" s="26" t="n">
        <f aca="false">IF(U$2=Annahmen!$B$116,Annahmen!$B$115,0)</f>
        <v>0</v>
      </c>
      <c r="V74" s="26" t="n">
        <f aca="false">IF(V$2=Annahmen!$B$116,Annahmen!$B$115,0)</f>
        <v>0</v>
      </c>
      <c r="W74" s="26" t="n">
        <f aca="false">IF(W$2=Annahmen!$B$116,Annahmen!$B$115,0)</f>
        <v>0</v>
      </c>
      <c r="X74" s="26" t="n">
        <f aca="false">IF(X$2=Annahmen!$B$116,Annahmen!$B$115,0)</f>
        <v>0</v>
      </c>
      <c r="Y74" s="26" t="n">
        <f aca="false">IF(Y$2=Annahmen!$B$116,Annahmen!$B$115,0)</f>
        <v>0</v>
      </c>
      <c r="Z74" s="26" t="n">
        <f aca="false">IF(Z$2=Annahmen!$B$116,Annahmen!$B$115,0)</f>
        <v>0</v>
      </c>
    </row>
    <row r="75" customFormat="false" ht="15" hidden="false" customHeight="false" outlineLevel="0" collapsed="false">
      <c r="A75" s="5" t="s">
        <v>272</v>
      </c>
      <c r="C75" s="26" t="n">
        <f aca="false">IF(C$2&lt;=6,Annahmen!$B$117,IF(C$2&lt;=15,Annahmen!$B$118,0))</f>
        <v>0</v>
      </c>
      <c r="D75" s="26" t="n">
        <f aca="false">IF(D$2&lt;=6,Annahmen!$B$117,IF(D$2&lt;=15,Annahmen!$B$118,0))</f>
        <v>0</v>
      </c>
      <c r="E75" s="26" t="n">
        <f aca="false">IF(E$2&lt;=6,Annahmen!$B$117,IF(E$2&lt;=15,Annahmen!$B$118,0))</f>
        <v>0</v>
      </c>
      <c r="F75" s="26" t="n">
        <f aca="false">IF(F$2&lt;=6,Annahmen!$B$117,IF(F$2&lt;=15,Annahmen!$B$118,0))</f>
        <v>0</v>
      </c>
      <c r="G75" s="26" t="n">
        <f aca="false">IF(G$2&lt;=6,Annahmen!$B$117,IF(G$2&lt;=15,Annahmen!$B$118,0))</f>
        <v>0</v>
      </c>
      <c r="H75" s="26" t="n">
        <f aca="false">IF(H$2&lt;=6,Annahmen!$B$117,IF(H$2&lt;=15,Annahmen!$B$118,0))</f>
        <v>0</v>
      </c>
      <c r="I75" s="26" t="n">
        <f aca="false">IF(I$2&lt;=6,Annahmen!$B$117,IF(I$2&lt;=15,Annahmen!$B$118,0))</f>
        <v>0</v>
      </c>
      <c r="J75" s="26" t="n">
        <f aca="false">IF(J$2&lt;=6,Annahmen!$B$117,IF(J$2&lt;=15,Annahmen!$B$118,0))</f>
        <v>0</v>
      </c>
      <c r="K75" s="26" t="n">
        <f aca="false">IF(K$2&lt;=6,Annahmen!$B$117,IF(K$2&lt;=15,Annahmen!$B$118,0))</f>
        <v>0</v>
      </c>
      <c r="L75" s="26" t="n">
        <f aca="false">IF(L$2&lt;=6,Annahmen!$B$117,IF(L$2&lt;=15,Annahmen!$B$118,0))</f>
        <v>0</v>
      </c>
      <c r="M75" s="26" t="n">
        <f aca="false">IF(M$2&lt;=6,Annahmen!$B$117,IF(M$2&lt;=15,Annahmen!$B$118,0))</f>
        <v>0</v>
      </c>
      <c r="N75" s="26" t="n">
        <f aca="false">IF(N$2&lt;=6,Annahmen!$B$117,IF(N$2&lt;=15,Annahmen!$B$118,0))</f>
        <v>0</v>
      </c>
      <c r="O75" s="26" t="n">
        <f aca="false">IF(O$2&lt;=6,Annahmen!$B$117,IF(O$2&lt;=15,Annahmen!$B$118,0))</f>
        <v>0</v>
      </c>
      <c r="P75" s="26" t="n">
        <f aca="false">IF(P$2&lt;=6,Annahmen!$B$117,IF(P$2&lt;=15,Annahmen!$B$118,0))</f>
        <v>0</v>
      </c>
      <c r="Q75" s="26" t="n">
        <f aca="false">IF(Q$2&lt;=6,Annahmen!$B$117,IF(Q$2&lt;=15,Annahmen!$B$118,0))</f>
        <v>0</v>
      </c>
      <c r="R75" s="26" t="n">
        <f aca="false">IF(R$2&lt;=6,Annahmen!$B$117,IF(R$2&lt;=15,Annahmen!$B$118,0))</f>
        <v>0</v>
      </c>
      <c r="S75" s="26" t="n">
        <f aca="false">IF(S$2&lt;=6,Annahmen!$B$117,IF(S$2&lt;=15,Annahmen!$B$118,0))</f>
        <v>0</v>
      </c>
      <c r="T75" s="26" t="n">
        <f aca="false">IF(T$2&lt;=6,Annahmen!$B$117,IF(T$2&lt;=15,Annahmen!$B$118,0))</f>
        <v>0</v>
      </c>
      <c r="U75" s="26" t="n">
        <f aca="false">IF(U$2&lt;=6,Annahmen!$B$117,IF(U$2&lt;=15,Annahmen!$B$118,0))</f>
        <v>0</v>
      </c>
      <c r="V75" s="26" t="n">
        <f aca="false">IF(V$2&lt;=6,Annahmen!$B$117,IF(V$2&lt;=15,Annahmen!$B$118,0))</f>
        <v>0</v>
      </c>
      <c r="W75" s="26" t="n">
        <f aca="false">IF(W$2&lt;=6,Annahmen!$B$117,IF(W$2&lt;=15,Annahmen!$B$118,0))</f>
        <v>0</v>
      </c>
      <c r="X75" s="26" t="n">
        <f aca="false">IF(X$2&lt;=6,Annahmen!$B$117,IF(X$2&lt;=15,Annahmen!$B$118,0))</f>
        <v>0</v>
      </c>
      <c r="Y75" s="26" t="n">
        <f aca="false">IF(Y$2&lt;=6,Annahmen!$B$117,IF(Y$2&lt;=15,Annahmen!$B$118,0))</f>
        <v>0</v>
      </c>
      <c r="Z75" s="26" t="n">
        <f aca="false">IF(Z$2&lt;=6,Annahmen!$B$117,IF(Z$2&lt;=15,Annahmen!$B$118,0))</f>
        <v>0</v>
      </c>
    </row>
    <row r="76" customFormat="false" ht="15" hidden="false" customHeight="false" outlineLevel="0" collapsed="false">
      <c r="A76" s="5" t="s">
        <v>273</v>
      </c>
      <c r="C76" s="26" t="n">
        <f aca="false">(B78+C73)*Annahmen!$B$112/12</f>
        <v>364.583333333334</v>
      </c>
      <c r="D76" s="26" t="n">
        <f aca="false">(C78+D73)*Annahmen!$B$112/12</f>
        <v>360.243055555556</v>
      </c>
      <c r="E76" s="26" t="n">
        <f aca="false">(D78+E73)*Annahmen!$B$112/12</f>
        <v>355.902777777778</v>
      </c>
      <c r="F76" s="26" t="n">
        <f aca="false">(E78+F73)*Annahmen!$B$112/12</f>
        <v>351.5625</v>
      </c>
      <c r="G76" s="26" t="n">
        <f aca="false">(F78+G73)*Annahmen!$B$112/12</f>
        <v>347.222222222222</v>
      </c>
      <c r="H76" s="26" t="n">
        <f aca="false">(G78+H73)*Annahmen!$B$112/12</f>
        <v>342.881944444445</v>
      </c>
      <c r="I76" s="26" t="n">
        <f aca="false">(H78+I73)*Annahmen!$B$112/12</f>
        <v>338.541666666667</v>
      </c>
      <c r="J76" s="26" t="n">
        <f aca="false">(I78+J73)*Annahmen!$B$112/12</f>
        <v>334.201388888889</v>
      </c>
      <c r="K76" s="26" t="n">
        <f aca="false">(J78+K73)*Annahmen!$B$112/12</f>
        <v>329.861111111111</v>
      </c>
      <c r="L76" s="26" t="n">
        <f aca="false">(K78+L73)*Annahmen!$B$112/12</f>
        <v>325.520833333334</v>
      </c>
      <c r="M76" s="26" t="n">
        <f aca="false">(L78+M73)*Annahmen!$B$112/12</f>
        <v>321.180555555556</v>
      </c>
      <c r="N76" s="26" t="n">
        <f aca="false">(M78+N73)*Annahmen!$B$112/12</f>
        <v>316.840277777778</v>
      </c>
      <c r="O76" s="26" t="n">
        <f aca="false">(N78+O73)*Annahmen!$B$112/12</f>
        <v>312.5</v>
      </c>
      <c r="P76" s="26" t="n">
        <f aca="false">(O78+P73)*Annahmen!$B$112/12</f>
        <v>308.159722222223</v>
      </c>
      <c r="Q76" s="26" t="n">
        <f aca="false">(P78+Q73)*Annahmen!$B$112/12</f>
        <v>303.819444444445</v>
      </c>
      <c r="R76" s="26" t="n">
        <f aca="false">(Q78+R73)*Annahmen!$B$112/12</f>
        <v>299.479166666667</v>
      </c>
      <c r="S76" s="26" t="n">
        <f aca="false">(R78+S73)*Annahmen!$B$112/12</f>
        <v>295.138888888889</v>
      </c>
      <c r="T76" s="26" t="n">
        <f aca="false">(S78+T73)*Annahmen!$B$112/12</f>
        <v>290.798611111112</v>
      </c>
      <c r="U76" s="26" t="n">
        <f aca="false">(T78+U73)*Annahmen!$B$112/12</f>
        <v>286.458333333334</v>
      </c>
      <c r="V76" s="26" t="n">
        <f aca="false">(U78+V73)*Annahmen!$B$112/12</f>
        <v>282.118055555556</v>
      </c>
      <c r="W76" s="26" t="n">
        <f aca="false">(V78+W73)*Annahmen!$B$112/12</f>
        <v>277.777777777778</v>
      </c>
      <c r="X76" s="26" t="n">
        <f aca="false">(W78+X73)*Annahmen!$B$112/12</f>
        <v>273.437500000001</v>
      </c>
      <c r="Y76" s="26" t="n">
        <f aca="false">(X78+Y73)*Annahmen!$B$112/12</f>
        <v>269.097222222223</v>
      </c>
      <c r="Z76" s="26" t="n">
        <f aca="false">(Y78+Z73)*Annahmen!$B$112/12</f>
        <v>264.756944444445</v>
      </c>
    </row>
    <row r="77" customFormat="false" ht="15" hidden="false" customHeight="false" outlineLevel="0" collapsed="false">
      <c r="A77" s="5" t="s">
        <v>274</v>
      </c>
      <c r="C77" s="26" t="n">
        <f aca="false">IF(C$2&gt;Annahmen!$B$111-1+Annahmen!$B$113,MIN(B78,Annahmen!$B$110/(Annahmen!$B$114-Annahmen!$B$113)),0)</f>
        <v>1302.08333333333</v>
      </c>
      <c r="D77" s="26" t="n">
        <f aca="false">IF(D$2&gt;Annahmen!$B$111-1+Annahmen!$B$113,MIN(C78,Annahmen!$B$110/(Annahmen!$B$114-Annahmen!$B$113)),0)</f>
        <v>1302.08333333333</v>
      </c>
      <c r="E77" s="26" t="n">
        <f aca="false">IF(E$2&gt;Annahmen!$B$111-1+Annahmen!$B$113,MIN(D78,Annahmen!$B$110/(Annahmen!$B$114-Annahmen!$B$113)),0)</f>
        <v>1302.08333333333</v>
      </c>
      <c r="F77" s="26" t="n">
        <f aca="false">IF(F$2&gt;Annahmen!$B$111-1+Annahmen!$B$113,MIN(E78,Annahmen!$B$110/(Annahmen!$B$114-Annahmen!$B$113)),0)</f>
        <v>1302.08333333333</v>
      </c>
      <c r="G77" s="26" t="n">
        <f aca="false">IF(G$2&gt;Annahmen!$B$111-1+Annahmen!$B$113,MIN(F78,Annahmen!$B$110/(Annahmen!$B$114-Annahmen!$B$113)),0)</f>
        <v>1302.08333333333</v>
      </c>
      <c r="H77" s="26" t="n">
        <f aca="false">IF(H$2&gt;Annahmen!$B$111-1+Annahmen!$B$113,MIN(G78,Annahmen!$B$110/(Annahmen!$B$114-Annahmen!$B$113)),0)</f>
        <v>1302.08333333333</v>
      </c>
      <c r="I77" s="26" t="n">
        <f aca="false">IF(I$2&gt;Annahmen!$B$111-1+Annahmen!$B$113,MIN(H78,Annahmen!$B$110/(Annahmen!$B$114-Annahmen!$B$113)),0)</f>
        <v>1302.08333333333</v>
      </c>
      <c r="J77" s="26" t="n">
        <f aca="false">IF(J$2&gt;Annahmen!$B$111-1+Annahmen!$B$113,MIN(I78,Annahmen!$B$110/(Annahmen!$B$114-Annahmen!$B$113)),0)</f>
        <v>1302.08333333333</v>
      </c>
      <c r="K77" s="26" t="n">
        <f aca="false">IF(K$2&gt;Annahmen!$B$111-1+Annahmen!$B$113,MIN(J78,Annahmen!$B$110/(Annahmen!$B$114-Annahmen!$B$113)),0)</f>
        <v>1302.08333333333</v>
      </c>
      <c r="L77" s="26" t="n">
        <f aca="false">IF(L$2&gt;Annahmen!$B$111-1+Annahmen!$B$113,MIN(K78,Annahmen!$B$110/(Annahmen!$B$114-Annahmen!$B$113)),0)</f>
        <v>1302.08333333333</v>
      </c>
      <c r="M77" s="26" t="n">
        <f aca="false">IF(M$2&gt;Annahmen!$B$111-1+Annahmen!$B$113,MIN(L78,Annahmen!$B$110/(Annahmen!$B$114-Annahmen!$B$113)),0)</f>
        <v>1302.08333333333</v>
      </c>
      <c r="N77" s="26" t="n">
        <f aca="false">IF(N$2&gt;Annahmen!$B$111-1+Annahmen!$B$113,MIN(M78,Annahmen!$B$110/(Annahmen!$B$114-Annahmen!$B$113)),0)</f>
        <v>1302.08333333333</v>
      </c>
      <c r="O77" s="26" t="n">
        <f aca="false">IF(O$2&gt;Annahmen!$B$111-1+Annahmen!$B$113,MIN(N78,Annahmen!$B$110/(Annahmen!$B$114-Annahmen!$B$113)),0)</f>
        <v>1302.08333333333</v>
      </c>
      <c r="P77" s="26" t="n">
        <f aca="false">IF(P$2&gt;Annahmen!$B$111-1+Annahmen!$B$113,MIN(O78,Annahmen!$B$110/(Annahmen!$B$114-Annahmen!$B$113)),0)</f>
        <v>1302.08333333333</v>
      </c>
      <c r="Q77" s="26" t="n">
        <f aca="false">IF(Q$2&gt;Annahmen!$B$111-1+Annahmen!$B$113,MIN(P78,Annahmen!$B$110/(Annahmen!$B$114-Annahmen!$B$113)),0)</f>
        <v>1302.08333333333</v>
      </c>
      <c r="R77" s="26" t="n">
        <f aca="false">IF(R$2&gt;Annahmen!$B$111-1+Annahmen!$B$113,MIN(Q78,Annahmen!$B$110/(Annahmen!$B$114-Annahmen!$B$113)),0)</f>
        <v>1302.08333333333</v>
      </c>
      <c r="S77" s="26" t="n">
        <f aca="false">IF(S$2&gt;Annahmen!$B$111-1+Annahmen!$B$113,MIN(R78,Annahmen!$B$110/(Annahmen!$B$114-Annahmen!$B$113)),0)</f>
        <v>1302.08333333333</v>
      </c>
      <c r="T77" s="26" t="n">
        <f aca="false">IF(T$2&gt;Annahmen!$B$111-1+Annahmen!$B$113,MIN(S78,Annahmen!$B$110/(Annahmen!$B$114-Annahmen!$B$113)),0)</f>
        <v>1302.08333333333</v>
      </c>
      <c r="U77" s="26" t="n">
        <f aca="false">IF(U$2&gt;Annahmen!$B$111-1+Annahmen!$B$113,MIN(T78,Annahmen!$B$110/(Annahmen!$B$114-Annahmen!$B$113)),0)</f>
        <v>1302.08333333333</v>
      </c>
      <c r="V77" s="26" t="n">
        <f aca="false">IF(V$2&gt;Annahmen!$B$111-1+Annahmen!$B$113,MIN(U78,Annahmen!$B$110/(Annahmen!$B$114-Annahmen!$B$113)),0)</f>
        <v>1302.08333333333</v>
      </c>
      <c r="W77" s="26" t="n">
        <f aca="false">IF(W$2&gt;Annahmen!$B$111-1+Annahmen!$B$113,MIN(V78,Annahmen!$B$110/(Annahmen!$B$114-Annahmen!$B$113)),0)</f>
        <v>1302.08333333333</v>
      </c>
      <c r="X77" s="26" t="n">
        <f aca="false">IF(X$2&gt;Annahmen!$B$111-1+Annahmen!$B$113,MIN(W78,Annahmen!$B$110/(Annahmen!$B$114-Annahmen!$B$113)),0)</f>
        <v>1302.08333333333</v>
      </c>
      <c r="Y77" s="26" t="n">
        <f aca="false">IF(Y$2&gt;Annahmen!$B$111-1+Annahmen!$B$113,MIN(X78,Annahmen!$B$110/(Annahmen!$B$114-Annahmen!$B$113)),0)</f>
        <v>1302.08333333333</v>
      </c>
      <c r="Z77" s="26" t="n">
        <f aca="false">IF(Z$2&gt;Annahmen!$B$111-1+Annahmen!$B$113,MIN(Y78,Annahmen!$B$110/(Annahmen!$B$114-Annahmen!$B$113)),0)</f>
        <v>1302.08333333333</v>
      </c>
    </row>
    <row r="78" customFormat="false" ht="15" hidden="false" customHeight="false" outlineLevel="0" collapsed="false">
      <c r="A78" s="5" t="s">
        <v>275</v>
      </c>
      <c r="B78" s="26" t="n">
        <f aca="false">'Monat 1–36'!$AL$78</f>
        <v>109375</v>
      </c>
      <c r="C78" s="26" t="n">
        <f aca="false">B78+C73-C77</f>
        <v>108072.916666667</v>
      </c>
      <c r="D78" s="26" t="n">
        <f aca="false">C78+D73-D77</f>
        <v>106770.833333333</v>
      </c>
      <c r="E78" s="26" t="n">
        <f aca="false">D78+E73-E77</f>
        <v>105468.75</v>
      </c>
      <c r="F78" s="26" t="n">
        <f aca="false">E78+F73-F77</f>
        <v>104166.666666667</v>
      </c>
      <c r="G78" s="26" t="n">
        <f aca="false">F78+G73-G77</f>
        <v>102864.583333333</v>
      </c>
      <c r="H78" s="26" t="n">
        <f aca="false">G78+H73-H77</f>
        <v>101562.5</v>
      </c>
      <c r="I78" s="26" t="n">
        <f aca="false">H78+I73-I77</f>
        <v>100260.416666667</v>
      </c>
      <c r="J78" s="26" t="n">
        <f aca="false">I78+J73-J77</f>
        <v>98958.3333333334</v>
      </c>
      <c r="K78" s="26" t="n">
        <f aca="false">J78+K73-K77</f>
        <v>97656.2500000001</v>
      </c>
      <c r="L78" s="26" t="n">
        <f aca="false">K78+L73-L77</f>
        <v>96354.1666666668</v>
      </c>
      <c r="M78" s="26" t="n">
        <f aca="false">L78+M73-M77</f>
        <v>95052.0833333334</v>
      </c>
      <c r="N78" s="26" t="n">
        <f aca="false">M78+N73-N77</f>
        <v>93750.0000000001</v>
      </c>
      <c r="O78" s="26" t="n">
        <f aca="false">N78+O73-O77</f>
        <v>92447.9166666668</v>
      </c>
      <c r="P78" s="26" t="n">
        <f aca="false">O78+P73-P77</f>
        <v>91145.8333333335</v>
      </c>
      <c r="Q78" s="26" t="n">
        <f aca="false">P78+Q73-Q77</f>
        <v>89843.7500000001</v>
      </c>
      <c r="R78" s="26" t="n">
        <f aca="false">Q78+R73-R77</f>
        <v>88541.6666666668</v>
      </c>
      <c r="S78" s="26" t="n">
        <f aca="false">R78+S73-S77</f>
        <v>87239.5833333335</v>
      </c>
      <c r="T78" s="26" t="n">
        <f aca="false">S78+T73-T77</f>
        <v>85937.5000000002</v>
      </c>
      <c r="U78" s="26" t="n">
        <f aca="false">T78+U73-U77</f>
        <v>84635.4166666668</v>
      </c>
      <c r="V78" s="26" t="n">
        <f aca="false">U78+V73-V77</f>
        <v>83333.3333333335</v>
      </c>
      <c r="W78" s="26" t="n">
        <f aca="false">V78+W73-W77</f>
        <v>82031.2500000002</v>
      </c>
      <c r="X78" s="26" t="n">
        <f aca="false">W78+X73-X77</f>
        <v>80729.1666666668</v>
      </c>
      <c r="Y78" s="26" t="n">
        <f aca="false">X78+Y73-Y77</f>
        <v>79427.0833333335</v>
      </c>
      <c r="Z78" s="26" t="n">
        <f aca="false">Y78+Z73-Z77</f>
        <v>78125.0000000002</v>
      </c>
    </row>
    <row r="79" customFormat="false" ht="15" hidden="false" customHeight="false" outlineLevel="0" collapsed="false">
      <c r="A79" s="3" t="s">
        <v>276</v>
      </c>
      <c r="C79" s="30" t="n">
        <f aca="false">C70-C76</f>
        <v>-5362.17467696567</v>
      </c>
      <c r="D79" s="30" t="n">
        <f aca="false">D70-D76</f>
        <v>1611.56424015196</v>
      </c>
      <c r="E79" s="30" t="n">
        <f aca="false">E70-E76</f>
        <v>-5077.26839034658</v>
      </c>
      <c r="F79" s="30" t="n">
        <f aca="false">F70-F76</f>
        <v>8172.62501003918</v>
      </c>
      <c r="G79" s="30" t="n">
        <f aca="false">G70-G76</f>
        <v>11362.5123961296</v>
      </c>
      <c r="H79" s="30" t="n">
        <f aca="false">H70-H76</f>
        <v>14493.632829154</v>
      </c>
      <c r="I79" s="30" t="n">
        <f aca="false">I70-I76</f>
        <v>10702.8384417804</v>
      </c>
      <c r="J79" s="30" t="n">
        <f aca="false">J70-J76</f>
        <v>15520.0301146035</v>
      </c>
      <c r="K79" s="30" t="n">
        <f aca="false">K70-K76</f>
        <v>482.005674597631</v>
      </c>
      <c r="L79" s="30" t="n">
        <f aca="false">L70-L76</f>
        <v>21389.8955360222</v>
      </c>
      <c r="M79" s="30" t="n">
        <f aca="false">M70-M76</f>
        <v>24244.8045942578</v>
      </c>
      <c r="N79" s="30" t="n">
        <f aca="false">N70-N76</f>
        <v>27047.8128490357</v>
      </c>
      <c r="O79" s="30" t="n">
        <f aca="false">O70-O76</f>
        <v>10507.918774363</v>
      </c>
      <c r="P79" s="30" t="n">
        <f aca="false">P70-P76</f>
        <v>17772.435703052</v>
      </c>
      <c r="Q79" s="30" t="n">
        <f aca="false">Q70-Q76</f>
        <v>21369.6518311196</v>
      </c>
      <c r="R79" s="30" t="n">
        <f aca="false">R70-R76</f>
        <v>6900.94972785024</v>
      </c>
      <c r="S79" s="30" t="n">
        <f aca="false">S70-S76</f>
        <v>28367.6806509212</v>
      </c>
      <c r="T79" s="30" t="n">
        <f aca="false">T70-T76</f>
        <v>31771.1653132056</v>
      </c>
      <c r="U79" s="30" t="n">
        <f aca="false">U70-U76</f>
        <v>35112.6946296517</v>
      </c>
      <c r="V79" s="30" t="n">
        <f aca="false">V70-V76</f>
        <v>38393.5304447815</v>
      </c>
      <c r="W79" s="30" t="n">
        <f aca="false">W70-W76</f>
        <v>41614.9062413317</v>
      </c>
      <c r="X79" s="30" t="n">
        <f aca="false">X70-X76</f>
        <v>39778.0278305503</v>
      </c>
      <c r="Y79" s="30" t="n">
        <f aca="false">Y70-Y76</f>
        <v>47884.074024642</v>
      </c>
      <c r="Z79" s="30" t="n">
        <f aca="false">Z70-Z76</f>
        <v>50934.197291848</v>
      </c>
    </row>
    <row r="80" customFormat="false" ht="15" hidden="false" customHeight="false" outlineLevel="0" collapsed="false">
      <c r="A80" s="5" t="s">
        <v>277</v>
      </c>
      <c r="C80" s="26" t="n">
        <f aca="false">IF(AND(MOD(C$2,12)=6,C$2&gt;12),INDEX('5 Jahre'!$B$46:$F$46,1,C$4-1),0)</f>
        <v>0</v>
      </c>
      <c r="D80" s="26" t="n">
        <f aca="false">IF(AND(MOD(D$2,12)=6,D$2&gt;12),INDEX('5 Jahre'!$B$46:$F$46,1,D$4-1),0)</f>
        <v>0</v>
      </c>
      <c r="E80" s="26" t="n">
        <f aca="false">IF(AND(MOD(E$2,12)=6,E$2&gt;12),INDEX('5 Jahre'!$B$46:$F$46,1,E$4-1),0)</f>
        <v>0</v>
      </c>
      <c r="F80" s="26" t="n">
        <f aca="false">IF(AND(MOD(F$2,12)=6,F$2&gt;12),INDEX('5 Jahre'!$B$46:$F$46,1,F$4-1),0)</f>
        <v>0</v>
      </c>
      <c r="G80" s="26" t="n">
        <f aca="false">IF(AND(MOD(G$2,12)=6,G$2&gt;12),INDEX('5 Jahre'!$B$46:$F$46,1,G$4-1),0)</f>
        <v>0</v>
      </c>
      <c r="H80" s="26" t="n">
        <f aca="false">IF(AND(MOD(H$2,12)=6,H$2&gt;12),INDEX('5 Jahre'!$B$46:$F$46,1,H$4-1),0)</f>
        <v>0</v>
      </c>
      <c r="I80" s="26" t="n">
        <f aca="false">IF(AND(MOD(I$2,12)=6,I$2&gt;12),INDEX('5 Jahre'!$B$46:$F$46,1,I$4-1),0)</f>
        <v>0</v>
      </c>
      <c r="J80" s="26" t="n">
        <f aca="false">IF(AND(MOD(J$2,12)=6,J$2&gt;12),INDEX('5 Jahre'!$B$46:$F$46,1,J$4-1),0)</f>
        <v>0</v>
      </c>
      <c r="K80" s="26" t="n">
        <f aca="false">IF(AND(MOD(K$2,12)=6,K$2&gt;12),INDEX('5 Jahre'!$B$46:$F$46,1,K$4-1),0)</f>
        <v>0</v>
      </c>
      <c r="L80" s="26" t="n">
        <f aca="false">IF(AND(MOD(L$2,12)=6,L$2&gt;12),INDEX('5 Jahre'!$B$46:$F$46,1,L$4-1),0)</f>
        <v>0</v>
      </c>
      <c r="M80" s="26" t="n">
        <f aca="false">IF(AND(MOD(M$2,12)=6,M$2&gt;12),INDEX('5 Jahre'!$B$46:$F$46,1,M$4-1),0)</f>
        <v>0</v>
      </c>
      <c r="N80" s="26" t="n">
        <f aca="false">IF(AND(MOD(N$2,12)=6,N$2&gt;12),INDEX('5 Jahre'!$B$46:$F$46,1,N$4-1),0)</f>
        <v>0</v>
      </c>
      <c r="O80" s="26" t="n">
        <f aca="false">IF(AND(MOD(O$2,12)=6,O$2&gt;12),INDEX('5 Jahre'!$B$46:$F$46,1,O$4-1),0)</f>
        <v>0</v>
      </c>
      <c r="P80" s="26" t="n">
        <f aca="false">IF(AND(MOD(P$2,12)=6,P$2&gt;12),INDEX('5 Jahre'!$B$46:$F$46,1,P$4-1),0)</f>
        <v>0</v>
      </c>
      <c r="Q80" s="26" t="n">
        <f aca="false">IF(AND(MOD(Q$2,12)=6,Q$2&gt;12),INDEX('5 Jahre'!$B$46:$F$46,1,Q$4-1),0)</f>
        <v>0</v>
      </c>
      <c r="R80" s="26" t="n">
        <f aca="false">IF(AND(MOD(R$2,12)=6,R$2&gt;12),INDEX('5 Jahre'!$B$46:$F$46,1,R$4-1),0)</f>
        <v>0</v>
      </c>
      <c r="S80" s="26" t="n">
        <f aca="false">IF(AND(MOD(S$2,12)=6,S$2&gt;12),INDEX('5 Jahre'!$B$46:$F$46,1,S$4-1),0)</f>
        <v>0</v>
      </c>
      <c r="T80" s="26" t="n">
        <f aca="false">IF(AND(MOD(T$2,12)=6,T$2&gt;12),INDEX('5 Jahre'!$B$46:$F$46,1,T$4-1),0)</f>
        <v>0</v>
      </c>
      <c r="U80" s="26" t="n">
        <f aca="false">IF(AND(MOD(U$2,12)=6,U$2&gt;12),INDEX('5 Jahre'!$B$46:$F$46,1,U$4-1),0)</f>
        <v>0</v>
      </c>
      <c r="V80" s="26" t="n">
        <f aca="false">IF(AND(MOD(V$2,12)=6,V$2&gt;12),INDEX('5 Jahre'!$B$46:$F$46,1,V$4-1),0)</f>
        <v>0</v>
      </c>
      <c r="W80" s="26" t="n">
        <f aca="false">IF(AND(MOD(W$2,12)=6,W$2&gt;12),INDEX('5 Jahre'!$B$46:$F$46,1,W$4-1),0)</f>
        <v>0</v>
      </c>
      <c r="X80" s="26" t="n">
        <f aca="false">IF(AND(MOD(X$2,12)=6,X$2&gt;12),INDEX('5 Jahre'!$B$46:$F$46,1,X$4-1),0)</f>
        <v>0</v>
      </c>
      <c r="Y80" s="26" t="n">
        <f aca="false">IF(AND(MOD(Y$2,12)=6,Y$2&gt;12),INDEX('5 Jahre'!$B$46:$F$46,1,Y$4-1),0)</f>
        <v>0</v>
      </c>
      <c r="Z80" s="26" t="n">
        <f aca="false">IF(AND(MOD(Z$2,12)=6,Z$2&gt;12),INDEX('5 Jahre'!$B$46:$F$46,1,Z$4-1),0)</f>
        <v>0</v>
      </c>
    </row>
    <row r="81" customFormat="false" ht="15" hidden="false" customHeight="false" outlineLevel="0" collapsed="false">
      <c r="A81" s="3" t="s">
        <v>278</v>
      </c>
      <c r="C81" s="30" t="n">
        <f aca="false">C70-C76-C77-C80+C72+C73+C74+C75</f>
        <v>-6664.258010299</v>
      </c>
      <c r="D81" s="30" t="n">
        <f aca="false">D70-D76-D77-D80+D72+D73+D74+D75</f>
        <v>309.480906818631</v>
      </c>
      <c r="E81" s="30" t="n">
        <f aca="false">E70-E76-E77-E80+E72+E73+E74+E75</f>
        <v>-6379.35172367991</v>
      </c>
      <c r="F81" s="30" t="n">
        <f aca="false">F70-F76-F77-F80+F72+F73+F74+F75</f>
        <v>6870.54167670584</v>
      </c>
      <c r="G81" s="30" t="n">
        <f aca="false">G70-G76-G77-G80+G72+G73+G74+G75</f>
        <v>10060.4290627962</v>
      </c>
      <c r="H81" s="30" t="n">
        <f aca="false">H70-H76-H77-H80+H72+H73+H74+H75</f>
        <v>13191.5494958207</v>
      </c>
      <c r="I81" s="30" t="n">
        <f aca="false">I70-I76-I77-I80+I72+I73+I74+I75</f>
        <v>9400.75510844703</v>
      </c>
      <c r="J81" s="30" t="n">
        <f aca="false">J70-J76-J77-J80+J72+J73+J74+J75</f>
        <v>14217.9467812702</v>
      </c>
      <c r="K81" s="30" t="n">
        <f aca="false">K70-K76-K77-K80+K72+K73+K74+K75</f>
        <v>-820.077658735703</v>
      </c>
      <c r="L81" s="30" t="n">
        <f aca="false">L70-L76-L77-L80+L72+L73+L74+L75</f>
        <v>20087.8122026888</v>
      </c>
      <c r="M81" s="30" t="n">
        <f aca="false">M70-M76-M77-M80+M72+M73+M74+M75</f>
        <v>22942.7212609244</v>
      </c>
      <c r="N81" s="30" t="n">
        <f aca="false">N70-N76-N77-N80+N72+N73+N74+N75</f>
        <v>25745.7295157024</v>
      </c>
      <c r="O81" s="30" t="n">
        <f aca="false">O70-O76-O77-O80+O72+O73+O74+O75</f>
        <v>9205.83544102968</v>
      </c>
      <c r="P81" s="30" t="n">
        <f aca="false">P70-P76-P77-P80+P72+P73+P74+P75</f>
        <v>16470.3523697187</v>
      </c>
      <c r="Q81" s="30" t="n">
        <f aca="false">Q70-Q76-Q77-Q80+Q72+Q73+Q74+Q75</f>
        <v>20067.5684977863</v>
      </c>
      <c r="R81" s="30" t="n">
        <f aca="false">R70-R76-R77-R80+R72+R73+R74+R75</f>
        <v>5598.86639451691</v>
      </c>
      <c r="S81" s="30" t="n">
        <f aca="false">S70-S76-S77-S80+S72+S73+S74+S75</f>
        <v>27065.5973175879</v>
      </c>
      <c r="T81" s="30" t="n">
        <f aca="false">T70-T76-T77-T80+T72+T73+T74+T75</f>
        <v>30469.0819798723</v>
      </c>
      <c r="U81" s="30" t="n">
        <f aca="false">U70-U76-U77-U80+U72+U73+U74+U75</f>
        <v>33810.6112963184</v>
      </c>
      <c r="V81" s="30" t="n">
        <f aca="false">V70-V76-V77-V80+V72+V73+V74+V75</f>
        <v>37091.4471114481</v>
      </c>
      <c r="W81" s="30" t="n">
        <f aca="false">W70-W76-W77-W80+W72+W73+W74+W75</f>
        <v>40312.8229079984</v>
      </c>
      <c r="X81" s="30" t="n">
        <f aca="false">X70-X76-X77-X80+X72+X73+X74+X75</f>
        <v>38475.944497217</v>
      </c>
      <c r="Y81" s="30" t="n">
        <f aca="false">Y70-Y76-Y77-Y80+Y72+Y73+Y74+Y75</f>
        <v>46581.9906913086</v>
      </c>
      <c r="Z81" s="30" t="n">
        <f aca="false">Z70-Z76-Z77-Z80+Z72+Z73+Z74+Z75</f>
        <v>49632.1139585147</v>
      </c>
    </row>
    <row r="82" customFormat="false" ht="15" hidden="false" customHeight="false" outlineLevel="0" collapsed="false">
      <c r="A82" s="22" t="s">
        <v>279</v>
      </c>
      <c r="B82" s="31" t="n">
        <f aca="false">'Monat 1–36'!$AL$82</f>
        <v>82140.5578208451</v>
      </c>
      <c r="C82" s="28" t="n">
        <f aca="false">B82+C81</f>
        <v>75476.2998105461</v>
      </c>
      <c r="D82" s="28" t="n">
        <f aca="false">C82+D81</f>
        <v>75785.7807173647</v>
      </c>
      <c r="E82" s="28" t="n">
        <f aca="false">D82+E81</f>
        <v>69406.4289936848</v>
      </c>
      <c r="F82" s="28" t="n">
        <f aca="false">E82+F81</f>
        <v>76276.9706703906</v>
      </c>
      <c r="G82" s="28" t="n">
        <f aca="false">F82+G81</f>
        <v>86337.3997331869</v>
      </c>
      <c r="H82" s="28" t="n">
        <f aca="false">G82+H81</f>
        <v>99528.9492290076</v>
      </c>
      <c r="I82" s="28" t="n">
        <f aca="false">H82+I81</f>
        <v>108929.704337455</v>
      </c>
      <c r="J82" s="28" t="n">
        <f aca="false">I82+J81</f>
        <v>123147.651118725</v>
      </c>
      <c r="K82" s="28" t="n">
        <f aca="false">J82+K81</f>
        <v>122327.573459989</v>
      </c>
      <c r="L82" s="28" t="n">
        <f aca="false">K82+L81</f>
        <v>142415.385662678</v>
      </c>
      <c r="M82" s="28" t="n">
        <f aca="false">L82+M81</f>
        <v>165358.106923602</v>
      </c>
      <c r="N82" s="28" t="n">
        <f aca="false">M82+N81</f>
        <v>191103.836439305</v>
      </c>
      <c r="O82" s="28" t="n">
        <f aca="false">N82+O81</f>
        <v>200309.671880334</v>
      </c>
      <c r="P82" s="28" t="n">
        <f aca="false">O82+P81</f>
        <v>216780.024250053</v>
      </c>
      <c r="Q82" s="28" t="n">
        <f aca="false">P82+Q81</f>
        <v>236847.592747839</v>
      </c>
      <c r="R82" s="28" t="n">
        <f aca="false">Q82+R81</f>
        <v>242446.459142356</v>
      </c>
      <c r="S82" s="28" t="n">
        <f aca="false">R82+S81</f>
        <v>269512.056459944</v>
      </c>
      <c r="T82" s="28" t="n">
        <f aca="false">S82+T81</f>
        <v>299981.138439816</v>
      </c>
      <c r="U82" s="28" t="n">
        <f aca="false">T82+U81</f>
        <v>333791.749736135</v>
      </c>
      <c r="V82" s="28" t="n">
        <f aca="false">U82+V81</f>
        <v>370883.196847583</v>
      </c>
      <c r="W82" s="28" t="n">
        <f aca="false">V82+W81</f>
        <v>411196.019755581</v>
      </c>
      <c r="X82" s="28" t="n">
        <f aca="false">W82+X81</f>
        <v>449671.964252798</v>
      </c>
      <c r="Y82" s="28" t="n">
        <f aca="false">X82+Y81</f>
        <v>496253.954944107</v>
      </c>
      <c r="Z82" s="28" t="n">
        <f aca="false">Y82+Z81</f>
        <v>545886.068902622</v>
      </c>
    </row>
    <row r="83" customFormat="false" ht="15" hidden="false" customHeight="false" outlineLevel="0" collapsed="false">
      <c r="A83" s="5" t="s">
        <v>280</v>
      </c>
      <c r="B83" s="26" t="n">
        <f aca="false">'Monat 1–36'!$AL$83</f>
        <v>-267859.442179155</v>
      </c>
      <c r="C83" s="26" t="n">
        <f aca="false">B83+C70-C76-C77-C80</f>
        <v>-274523.700189454</v>
      </c>
      <c r="D83" s="26" t="n">
        <f aca="false">C83+D70-D76-D77-D80</f>
        <v>-274214.219282635</v>
      </c>
      <c r="E83" s="26" t="n">
        <f aca="false">D83+E70-E76-E77-E80</f>
        <v>-280593.571006315</v>
      </c>
      <c r="F83" s="26" t="n">
        <f aca="false">E83+F70-F76-F77-F80</f>
        <v>-273723.029329609</v>
      </c>
      <c r="G83" s="26" t="n">
        <f aca="false">F83+G70-G76-G77-G80</f>
        <v>-263662.600266813</v>
      </c>
      <c r="H83" s="26" t="n">
        <f aca="false">G83+H70-H76-H77-H80</f>
        <v>-250471.050770992</v>
      </c>
      <c r="I83" s="26" t="n">
        <f aca="false">H83+I70-I76-I77-I80</f>
        <v>-241070.295662545</v>
      </c>
      <c r="J83" s="26" t="n">
        <f aca="false">I83+J70-J76-J77-J80</f>
        <v>-226852.348881275</v>
      </c>
      <c r="K83" s="26" t="n">
        <f aca="false">J83+K70-K76-K77-K80</f>
        <v>-227672.426540011</v>
      </c>
      <c r="L83" s="26" t="n">
        <f aca="false">K83+L70-L76-L77-L80</f>
        <v>-207584.614337322</v>
      </c>
      <c r="M83" s="26" t="n">
        <f aca="false">L83+M70-M76-M77-M80</f>
        <v>-184641.893076397</v>
      </c>
      <c r="N83" s="26" t="n">
        <f aca="false">M83+N70-N76-N77-N80</f>
        <v>-158896.163560695</v>
      </c>
      <c r="O83" s="26" t="n">
        <f aca="false">N83+O70-O76-O77-O80</f>
        <v>-149690.328119665</v>
      </c>
      <c r="P83" s="26" t="n">
        <f aca="false">O83+P70-P76-P77-P80</f>
        <v>-133219.975749947</v>
      </c>
      <c r="Q83" s="26" t="n">
        <f aca="false">P83+Q70-Q76-Q77-Q80</f>
        <v>-113152.40725216</v>
      </c>
      <c r="R83" s="26" t="n">
        <f aca="false">Q83+R70-R76-R77-R80</f>
        <v>-107553.540857644</v>
      </c>
      <c r="S83" s="26" t="n">
        <f aca="false">R83+S70-S76-S77-S80</f>
        <v>-80487.9435400557</v>
      </c>
      <c r="T83" s="26" t="n">
        <f aca="false">S83+T70-T76-T77-T80</f>
        <v>-50018.8615601834</v>
      </c>
      <c r="U83" s="26" t="n">
        <f aca="false">T83+U70-U76-U77-U80</f>
        <v>-16208.250263865</v>
      </c>
      <c r="V83" s="26" t="n">
        <f aca="false">U83+V70-V76-V77-V80</f>
        <v>20883.1968475831</v>
      </c>
      <c r="W83" s="26" t="n">
        <f aca="false">V83+W70-W76-W77-W80</f>
        <v>61196.0197555815</v>
      </c>
      <c r="X83" s="26" t="n">
        <f aca="false">W83+X70-X76-X77-X80</f>
        <v>99671.9642527985</v>
      </c>
      <c r="Y83" s="26" t="n">
        <f aca="false">X83+Y70-Y76-Y77-Y80</f>
        <v>146253.954944107</v>
      </c>
      <c r="Z83" s="26" t="n">
        <f aca="false">Y83+Z70-Z76-Z77-Z80</f>
        <v>195886.068902622</v>
      </c>
    </row>
    <row r="84" customFormat="false" ht="15" hidden="false" customHeight="false" outlineLevel="0" collapsed="false">
      <c r="A84" s="5" t="s">
        <v>281</v>
      </c>
      <c r="C84" s="25" t="n">
        <f aca="false">IF(C70&gt;=0,C$2,999)</f>
        <v>999</v>
      </c>
      <c r="D84" s="25" t="n">
        <f aca="false">IF(D70&gt;=0,D$2,999)</f>
        <v>38</v>
      </c>
      <c r="E84" s="25" t="n">
        <f aca="false">IF(E70&gt;=0,E$2,999)</f>
        <v>999</v>
      </c>
      <c r="F84" s="25" t="n">
        <f aca="false">IF(F70&gt;=0,F$2,999)</f>
        <v>40</v>
      </c>
      <c r="G84" s="25" t="n">
        <f aca="false">IF(G70&gt;=0,G$2,999)</f>
        <v>41</v>
      </c>
      <c r="H84" s="25" t="n">
        <f aca="false">IF(H70&gt;=0,H$2,999)</f>
        <v>42</v>
      </c>
      <c r="I84" s="25" t="n">
        <f aca="false">IF(I70&gt;=0,I$2,999)</f>
        <v>43</v>
      </c>
      <c r="J84" s="25" t="n">
        <f aca="false">IF(J70&gt;=0,J$2,999)</f>
        <v>44</v>
      </c>
      <c r="K84" s="25" t="n">
        <f aca="false">IF(K70&gt;=0,K$2,999)</f>
        <v>45</v>
      </c>
      <c r="L84" s="25" t="n">
        <f aca="false">IF(L70&gt;=0,L$2,999)</f>
        <v>46</v>
      </c>
      <c r="M84" s="25" t="n">
        <f aca="false">IF(M70&gt;=0,M$2,999)</f>
        <v>47</v>
      </c>
      <c r="N84" s="25" t="n">
        <f aca="false">IF(N70&gt;=0,N$2,999)</f>
        <v>48</v>
      </c>
      <c r="O84" s="25" t="n">
        <f aca="false">IF(O70&gt;=0,O$2,999)</f>
        <v>49</v>
      </c>
      <c r="P84" s="25" t="n">
        <f aca="false">IF(P70&gt;=0,P$2,999)</f>
        <v>50</v>
      </c>
      <c r="Q84" s="25" t="n">
        <f aca="false">IF(Q70&gt;=0,Q$2,999)</f>
        <v>51</v>
      </c>
      <c r="R84" s="25" t="n">
        <f aca="false">IF(R70&gt;=0,R$2,999)</f>
        <v>52</v>
      </c>
      <c r="S84" s="25" t="n">
        <f aca="false">IF(S70&gt;=0,S$2,999)</f>
        <v>53</v>
      </c>
      <c r="T84" s="25" t="n">
        <f aca="false">IF(T70&gt;=0,T$2,999)</f>
        <v>54</v>
      </c>
      <c r="U84" s="25" t="n">
        <f aca="false">IF(U70&gt;=0,U$2,999)</f>
        <v>55</v>
      </c>
      <c r="V84" s="25" t="n">
        <f aca="false">IF(V70&gt;=0,V$2,999)</f>
        <v>56</v>
      </c>
      <c r="W84" s="25" t="n">
        <f aca="false">IF(W70&gt;=0,W$2,999)</f>
        <v>57</v>
      </c>
      <c r="X84" s="25" t="n">
        <f aca="false">IF(X70&gt;=0,X$2,999)</f>
        <v>58</v>
      </c>
      <c r="Y84" s="25" t="n">
        <f aca="false">IF(Y70&gt;=0,Y$2,999)</f>
        <v>59</v>
      </c>
      <c r="Z84" s="25" t="n">
        <f aca="false">IF(Z70&gt;=0,Z$2,999)</f>
        <v>60</v>
      </c>
    </row>
    <row r="85" customFormat="false" ht="15" hidden="false" customHeight="false" outlineLevel="0" collapsed="false">
      <c r="A85" s="5" t="s">
        <v>282</v>
      </c>
      <c r="C85" s="25" t="n">
        <f aca="false">IF(C70&lt;0,C$2,0)</f>
        <v>37</v>
      </c>
      <c r="D85" s="25" t="n">
        <f aca="false">IF(D70&lt;0,D$2,0)</f>
        <v>0</v>
      </c>
      <c r="E85" s="25" t="n">
        <f aca="false">IF(E70&lt;0,E$2,0)</f>
        <v>39</v>
      </c>
      <c r="F85" s="25" t="n">
        <f aca="false">IF(F70&lt;0,F$2,0)</f>
        <v>0</v>
      </c>
      <c r="G85" s="25" t="n">
        <f aca="false">IF(G70&lt;0,G$2,0)</f>
        <v>0</v>
      </c>
      <c r="H85" s="25" t="n">
        <f aca="false">IF(H70&lt;0,H$2,0)</f>
        <v>0</v>
      </c>
      <c r="I85" s="25" t="n">
        <f aca="false">IF(I70&lt;0,I$2,0)</f>
        <v>0</v>
      </c>
      <c r="J85" s="25" t="n">
        <f aca="false">IF(J70&lt;0,J$2,0)</f>
        <v>0</v>
      </c>
      <c r="K85" s="25" t="n">
        <f aca="false">IF(K70&lt;0,K$2,0)</f>
        <v>0</v>
      </c>
      <c r="L85" s="25" t="n">
        <f aca="false">IF(L70&lt;0,L$2,0)</f>
        <v>0</v>
      </c>
      <c r="M85" s="25" t="n">
        <f aca="false">IF(M70&lt;0,M$2,0)</f>
        <v>0</v>
      </c>
      <c r="N85" s="25" t="n">
        <f aca="false">IF(N70&lt;0,N$2,0)</f>
        <v>0</v>
      </c>
      <c r="O85" s="25" t="n">
        <f aca="false">IF(O70&lt;0,O$2,0)</f>
        <v>0</v>
      </c>
      <c r="P85" s="25" t="n">
        <f aca="false">IF(P70&lt;0,P$2,0)</f>
        <v>0</v>
      </c>
      <c r="Q85" s="25" t="n">
        <f aca="false">IF(Q70&lt;0,Q$2,0)</f>
        <v>0</v>
      </c>
      <c r="R85" s="25" t="n">
        <f aca="false">IF(R70&lt;0,R$2,0)</f>
        <v>0</v>
      </c>
      <c r="S85" s="25" t="n">
        <f aca="false">IF(S70&lt;0,S$2,0)</f>
        <v>0</v>
      </c>
      <c r="T85" s="25" t="n">
        <f aca="false">IF(T70&lt;0,T$2,0)</f>
        <v>0</v>
      </c>
      <c r="U85" s="25" t="n">
        <f aca="false">IF(U70&lt;0,U$2,0)</f>
        <v>0</v>
      </c>
      <c r="V85" s="25" t="n">
        <f aca="false">IF(V70&lt;0,V$2,0)</f>
        <v>0</v>
      </c>
      <c r="W85" s="25" t="n">
        <f aca="false">IF(W70&lt;0,W$2,0)</f>
        <v>0</v>
      </c>
      <c r="X85" s="25" t="n">
        <f aca="false">IF(X70&lt;0,X$2,0)</f>
        <v>0</v>
      </c>
      <c r="Y85" s="25" t="n">
        <f aca="false">IF(Y70&lt;0,Y$2,0)</f>
        <v>0</v>
      </c>
      <c r="Z85" s="25" t="n">
        <f aca="false">IF(Z70&lt;0,Z$2,0)</f>
        <v>0</v>
      </c>
    </row>
    <row r="86" customFormat="false" ht="15" hidden="false" customHeight="false" outlineLevel="0" collapsed="false">
      <c r="A86" s="5" t="s">
        <v>283</v>
      </c>
      <c r="C86" s="25" t="n">
        <f aca="false">IF(AND(C83&gt;=0,C$2&gt;1),C$2,999)</f>
        <v>999</v>
      </c>
      <c r="D86" s="25" t="n">
        <f aca="false">IF(AND(D83&gt;=0,D$2&gt;1),D$2,999)</f>
        <v>999</v>
      </c>
      <c r="E86" s="25" t="n">
        <f aca="false">IF(AND(E83&gt;=0,E$2&gt;1),E$2,999)</f>
        <v>999</v>
      </c>
      <c r="F86" s="25" t="n">
        <f aca="false">IF(AND(F83&gt;=0,F$2&gt;1),F$2,999)</f>
        <v>999</v>
      </c>
      <c r="G86" s="25" t="n">
        <f aca="false">IF(AND(G83&gt;=0,G$2&gt;1),G$2,999)</f>
        <v>999</v>
      </c>
      <c r="H86" s="25" t="n">
        <f aca="false">IF(AND(H83&gt;=0,H$2&gt;1),H$2,999)</f>
        <v>999</v>
      </c>
      <c r="I86" s="25" t="n">
        <f aca="false">IF(AND(I83&gt;=0,I$2&gt;1),I$2,999)</f>
        <v>999</v>
      </c>
      <c r="J86" s="25" t="n">
        <f aca="false">IF(AND(J83&gt;=0,J$2&gt;1),J$2,999)</f>
        <v>999</v>
      </c>
      <c r="K86" s="25" t="n">
        <f aca="false">IF(AND(K83&gt;=0,K$2&gt;1),K$2,999)</f>
        <v>999</v>
      </c>
      <c r="L86" s="25" t="n">
        <f aca="false">IF(AND(L83&gt;=0,L$2&gt;1),L$2,999)</f>
        <v>999</v>
      </c>
      <c r="M86" s="25" t="n">
        <f aca="false">IF(AND(M83&gt;=0,M$2&gt;1),M$2,999)</f>
        <v>999</v>
      </c>
      <c r="N86" s="25" t="n">
        <f aca="false">IF(AND(N83&gt;=0,N$2&gt;1),N$2,999)</f>
        <v>999</v>
      </c>
      <c r="O86" s="25" t="n">
        <f aca="false">IF(AND(O83&gt;=0,O$2&gt;1),O$2,999)</f>
        <v>999</v>
      </c>
      <c r="P86" s="25" t="n">
        <f aca="false">IF(AND(P83&gt;=0,P$2&gt;1),P$2,999)</f>
        <v>999</v>
      </c>
      <c r="Q86" s="25" t="n">
        <f aca="false">IF(AND(Q83&gt;=0,Q$2&gt;1),Q$2,999)</f>
        <v>999</v>
      </c>
      <c r="R86" s="25" t="n">
        <f aca="false">IF(AND(R83&gt;=0,R$2&gt;1),R$2,999)</f>
        <v>999</v>
      </c>
      <c r="S86" s="25" t="n">
        <f aca="false">IF(AND(S83&gt;=0,S$2&gt;1),S$2,999)</f>
        <v>999</v>
      </c>
      <c r="T86" s="25" t="n">
        <f aca="false">IF(AND(T83&gt;=0,T$2&gt;1),T$2,999)</f>
        <v>999</v>
      </c>
      <c r="U86" s="25" t="n">
        <f aca="false">IF(AND(U83&gt;=0,U$2&gt;1),U$2,999)</f>
        <v>999</v>
      </c>
      <c r="V86" s="25" t="n">
        <f aca="false">IF(AND(V83&gt;=0,V$2&gt;1),V$2,999)</f>
        <v>56</v>
      </c>
      <c r="W86" s="25" t="n">
        <f aca="false">IF(AND(W83&gt;=0,W$2&gt;1),W$2,999)</f>
        <v>57</v>
      </c>
      <c r="X86" s="25" t="n">
        <f aca="false">IF(AND(X83&gt;=0,X$2&gt;1),X$2,999)</f>
        <v>58</v>
      </c>
      <c r="Y86" s="25" t="n">
        <f aca="false">IF(AND(Y83&gt;=0,Y$2&gt;1),Y$2,999)</f>
        <v>59</v>
      </c>
      <c r="Z86" s="25" t="n">
        <f aca="false">IF(AND(Z83&gt;=0,Z$2&gt;1),Z$2,999)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6" min="2" style="0" width="15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285</v>
      </c>
    </row>
    <row r="3" customFormat="false" ht="15" hidden="false" customHeight="false" outlineLevel="0" collapsed="false">
      <c r="A3" s="6" t="s">
        <v>286</v>
      </c>
      <c r="B3" s="6" t="s">
        <v>100</v>
      </c>
      <c r="C3" s="6" t="s">
        <v>101</v>
      </c>
      <c r="D3" s="6" t="s">
        <v>102</v>
      </c>
      <c r="E3" s="6" t="s">
        <v>103</v>
      </c>
      <c r="F3" s="6" t="s">
        <v>104</v>
      </c>
    </row>
    <row r="4" customFormat="false" ht="15" hidden="false" customHeight="false" outlineLevel="0" collapsed="false">
      <c r="A4" s="3" t="s">
        <v>287</v>
      </c>
      <c r="B4" s="32" t="n">
        <f aca="false">YEAR(Annahmen!$B$6)+0</f>
        <v>2027</v>
      </c>
      <c r="C4" s="32" t="n">
        <f aca="false">YEAR(Annahmen!$B$6)+1</f>
        <v>2028</v>
      </c>
      <c r="D4" s="32" t="n">
        <f aca="false">YEAR(Annahmen!$B$6)+2</f>
        <v>2029</v>
      </c>
      <c r="E4" s="32" t="n">
        <f aca="false">YEAR(Annahmen!$B$6)+3</f>
        <v>2030</v>
      </c>
      <c r="F4" s="32" t="n">
        <f aca="false">YEAR(Annahmen!$B$6)+4</f>
        <v>2031</v>
      </c>
    </row>
    <row r="5" customFormat="false" ht="15" hidden="false" customHeight="false" outlineLevel="0" collapsed="false">
      <c r="A5" s="5" t="s">
        <v>215</v>
      </c>
      <c r="B5" s="32" t="n">
        <v>1</v>
      </c>
      <c r="C5" s="32" t="n">
        <v>2</v>
      </c>
      <c r="D5" s="32" t="n">
        <v>3</v>
      </c>
      <c r="E5" s="32" t="n">
        <v>4</v>
      </c>
      <c r="F5" s="32" t="n">
        <v>5</v>
      </c>
    </row>
    <row r="6" customFormat="false" ht="15" hidden="false" customHeight="false" outlineLevel="0" collapsed="false">
      <c r="A6" s="19" t="s">
        <v>13</v>
      </c>
      <c r="B6" s="20"/>
      <c r="C6" s="20"/>
      <c r="D6" s="20"/>
      <c r="E6" s="20"/>
      <c r="F6" s="20"/>
    </row>
    <row r="7" customFormat="false" ht="15" hidden="false" customHeight="false" outlineLevel="0" collapsed="false">
      <c r="A7" s="5" t="s">
        <v>288</v>
      </c>
      <c r="B7" s="25" t="n">
        <f aca="false">IF(B$5&lt;=3,INDEX('Monat 1–36'!$C$10:$AL$10,1,B$5*12),INDEX('Monat 37–60'!$C$10:$Z$10,1,B$5*12-36))</f>
        <v>41.7486846735384</v>
      </c>
      <c r="C7" s="25" t="n">
        <f aca="false">IF(C$5&lt;=3,INDEX('Monat 1–36'!$C$10:$AL$10,1,C$5*12),INDEX('Monat 37–60'!$C$10:$Z$10,1,C$5*12-36))</f>
        <v>143.550638771321</v>
      </c>
      <c r="D7" s="25" t="n">
        <f aca="false">IF(D$5&lt;=3,INDEX('Monat 1–36'!$C$10:$AL$10,1,D$5*12),INDEX('Monat 37–60'!$C$10:$Z$10,1,D$5*12-36))</f>
        <v>278.841980450599</v>
      </c>
      <c r="E7" s="25" t="n">
        <f aca="false">IF(E$5&lt;=3,INDEX('Monat 1–36'!$C$10:$AL$10,1,E$5*12),INDEX('Monat 37–60'!$C$10:$Z$10,1,E$5*12-36))</f>
        <v>423.090607313909</v>
      </c>
      <c r="F7" s="25" t="n">
        <f aca="false">IF(F$5&lt;=3,INDEX('Monat 1–36'!$C$10:$AL$10,1,F$5*12),INDEX('Monat 37–60'!$C$10:$Z$10,1,F$5*12-36))</f>
        <v>574.202688314525</v>
      </c>
    </row>
    <row r="8" customFormat="false" ht="15" hidden="false" customHeight="false" outlineLevel="0" collapsed="false">
      <c r="A8" s="5" t="s">
        <v>289</v>
      </c>
      <c r="B8" s="25" t="n">
        <f aca="false">IF(B$5&lt;=3,INDEX('Monat 1–36'!$C$11:$AL$11,1,B$5*12),INDEX('Monat 37–60'!$C$11:$Z$11,1,B$5*12-36))</f>
        <v>33.097526371546</v>
      </c>
      <c r="C8" s="25" t="n">
        <f aca="false">IF(C$5&lt;=3,INDEX('Monat 1–36'!$C$11:$AL$11,1,C$5*12),INDEX('Monat 37–60'!$C$11:$Z$11,1,C$5*12-36))</f>
        <v>117.198855575071</v>
      </c>
      <c r="D8" s="25" t="n">
        <f aca="false">IF(D$5&lt;=3,INDEX('Monat 1–36'!$C$11:$AL$11,1,D$5*12),INDEX('Monat 37–60'!$C$11:$Z$11,1,D$5*12-36))</f>
        <v>235.132139292835</v>
      </c>
      <c r="E8" s="25" t="n">
        <f aca="false">IF(E$5&lt;=3,INDEX('Monat 1–36'!$C$11:$AL$11,1,E$5*12),INDEX('Monat 37–60'!$C$11:$Z$11,1,E$5*12-36))</f>
        <v>368.579323197374</v>
      </c>
      <c r="F8" s="25" t="n">
        <f aca="false">IF(F$5&lt;=3,INDEX('Monat 1–36'!$C$11:$AL$11,1,F$5*12),INDEX('Monat 37–60'!$C$11:$Z$11,1,F$5*12-36))</f>
        <v>514.201382632967</v>
      </c>
    </row>
    <row r="9" customFormat="false" ht="15" hidden="false" customHeight="false" outlineLevel="0" collapsed="false">
      <c r="A9" s="5" t="s">
        <v>290</v>
      </c>
      <c r="B9" s="25" t="n">
        <f aca="false">IF(B$5&lt;=3,INDEX('Monat 1–36'!$C$12:$AL$12,1,B$5*12),INDEX('Monat 37–60'!$C$12:$Z$12,1,B$5*12-36))</f>
        <v>10.8171395112265</v>
      </c>
      <c r="C9" s="25" t="n">
        <f aca="false">IF(C$5&lt;=3,INDEX('Monat 1–36'!$C$12:$AL$12,1,C$5*12),INDEX('Monat 37–60'!$C$12:$Z$12,1,C$5*12-36))</f>
        <v>39.2729505566445</v>
      </c>
      <c r="D9" s="25" t="n">
        <f aca="false">IF(D$5&lt;=3,INDEX('Monat 1–36'!$C$12:$AL$12,1,D$5*12),INDEX('Monat 37–60'!$C$12:$Z$12,1,D$5*12-36))</f>
        <v>81.0439620230992</v>
      </c>
      <c r="E9" s="25" t="n">
        <f aca="false">IF(E$5&lt;=3,INDEX('Monat 1–36'!$C$12:$AL$12,1,E$5*12),INDEX('Monat 37–60'!$C$12:$Z$12,1,E$5*12-36))</f>
        <v>130.803620255813</v>
      </c>
      <c r="F9" s="25" t="n">
        <f aca="false">IF(F$5&lt;=3,INDEX('Monat 1–36'!$C$12:$AL$12,1,F$5*12),INDEX('Monat 37–60'!$C$12:$Z$12,1,F$5*12-36))</f>
        <v>187.338996944153</v>
      </c>
    </row>
    <row r="10" customFormat="false" ht="15" hidden="false" customHeight="false" outlineLevel="0" collapsed="false">
      <c r="A10" s="22" t="s">
        <v>291</v>
      </c>
      <c r="B10" s="24" t="n">
        <f aca="false">IF(B$5&lt;=3,INDEX('Monat 1–36'!$C$13:$AL$13,1,B$5*12),INDEX('Monat 37–60'!$C$13:$Z$13,1,B$5*12-36))</f>
        <v>85.6633505563109</v>
      </c>
      <c r="C10" s="24" t="n">
        <f aca="false">IF(C$5&lt;=3,INDEX('Monat 1–36'!$C$13:$AL$13,1,C$5*12),INDEX('Monat 37–60'!$C$13:$Z$13,1,C$5*12-36))</f>
        <v>300.022444903036</v>
      </c>
      <c r="D10" s="24" t="n">
        <f aca="false">IF(D$5&lt;=3,INDEX('Monat 1–36'!$C$13:$AL$13,1,D$5*12),INDEX('Monat 37–60'!$C$13:$Z$13,1,D$5*12-36))</f>
        <v>595.018081766534</v>
      </c>
      <c r="E10" s="24" t="n">
        <f aca="false">IF(E$5&lt;=3,INDEX('Monat 1–36'!$C$13:$AL$13,1,E$5*12),INDEX('Monat 37–60'!$C$13:$Z$13,1,E$5*12-36))</f>
        <v>922.473550767096</v>
      </c>
      <c r="F10" s="24" t="n">
        <f aca="false">IF(F$5&lt;=3,INDEX('Monat 1–36'!$C$13:$AL$13,1,F$5*12),INDEX('Monat 37–60'!$C$13:$Z$13,1,F$5*12-36))</f>
        <v>1275.74306789165</v>
      </c>
    </row>
    <row r="11" customFormat="false" ht="15" hidden="false" customHeight="false" outlineLevel="0" collapsed="false">
      <c r="A11" s="5" t="s">
        <v>292</v>
      </c>
      <c r="B11" s="25" t="n">
        <f aca="false">SUMIF('Monat 1–36'!$C$4:$AL$4,B$5,'Monat 1–36'!$C$6:$AL$6)+SUMIF('Monat 37–60'!$C$4:$Z$4,B$5,'Monat 37–60'!$C$6:$Z$6)</f>
        <v>90</v>
      </c>
      <c r="C11" s="25" t="n">
        <f aca="false">SUMIF('Monat 1–36'!$C$4:$AL$4,C$5,'Monat 1–36'!$C$6:$AL$6)+SUMIF('Monat 37–60'!$C$4:$Z$4,C$5,'Monat 37–60'!$C$6:$Z$6)</f>
        <v>264</v>
      </c>
      <c r="D11" s="25" t="n">
        <f aca="false">SUMIF('Monat 1–36'!$C$4:$AL$4,D$5,'Monat 1–36'!$C$6:$AL$6)+SUMIF('Monat 37–60'!$C$4:$Z$4,D$5,'Monat 37–60'!$C$6:$Z$6)</f>
        <v>417</v>
      </c>
      <c r="E11" s="25" t="n">
        <f aca="false">SUMIF('Monat 1–36'!$C$4:$AL$4,E$5,'Monat 1–36'!$C$6:$AL$6)+SUMIF('Monat 37–60'!$C$4:$Z$4,E$5,'Monat 37–60'!$C$6:$Z$6)</f>
        <v>540</v>
      </c>
      <c r="F11" s="25" t="n">
        <f aca="false">SUMIF('Monat 1–36'!$C$4:$AL$4,F$5,'Monat 1–36'!$C$6:$AL$6)+SUMIF('Monat 37–60'!$C$4:$Z$4,F$5,'Monat 37–60'!$C$6:$Z$6)</f>
        <v>660</v>
      </c>
    </row>
    <row r="12" customFormat="false" ht="15" hidden="false" customHeight="false" outlineLevel="0" collapsed="false">
      <c r="A12" s="5" t="s">
        <v>293</v>
      </c>
      <c r="B12" s="25" t="n">
        <f aca="false">SUMIF('Monat 1–36'!$C$4:$AL$4,B$5,'Monat 1–36'!$C$14:$AL$14)+SUMIF('Monat 37–60'!$C$4:$Z$4,B$5,'Monat 37–60'!$C$14:$Z$14)</f>
        <v>9.33664944368913</v>
      </c>
      <c r="C12" s="25" t="n">
        <f aca="false">SUMIF('Monat 1–36'!$C$4:$AL$4,C$5,'Monat 1–36'!$C$14:$AL$14)+SUMIF('Monat 37–60'!$C$4:$Z$4,C$5,'Monat 37–60'!$C$14:$Z$14)</f>
        <v>49.6409056532744</v>
      </c>
      <c r="D12" s="25" t="n">
        <f aca="false">SUMIF('Monat 1–36'!$C$4:$AL$4,D$5,'Monat 1–36'!$C$14:$AL$14)+SUMIF('Monat 37–60'!$C$4:$Z$4,D$5,'Monat 37–60'!$C$14:$Z$14)</f>
        <v>122.004363136503</v>
      </c>
      <c r="E12" s="25" t="n">
        <f aca="false">SUMIF('Monat 1–36'!$C$4:$AL$4,E$5,'Monat 1–36'!$C$14:$AL$14)+SUMIF('Monat 37–60'!$C$4:$Z$4,E$5,'Monat 37–60'!$C$14:$Z$14)</f>
        <v>212.544530999437</v>
      </c>
      <c r="F12" s="25" t="n">
        <f aca="false">SUMIF('Monat 1–36'!$C$4:$AL$4,F$5,'Monat 1–36'!$C$14:$AL$14)+SUMIF('Monat 37–60'!$C$4:$Z$4,F$5,'Monat 37–60'!$C$14:$Z$14)</f>
        <v>306.730482875451</v>
      </c>
    </row>
    <row r="13" customFormat="false" ht="15" hidden="false" customHeight="false" outlineLevel="0" collapsed="false">
      <c r="A13" s="5" t="s">
        <v>294</v>
      </c>
      <c r="B13" s="33" t="n">
        <f aca="false">IF((B10+'Monat 1–36'!$B$13)&gt;0,B12/((B10+'Monat 1–36'!$B$13)/2),0)</f>
        <v>0.205963035480145</v>
      </c>
      <c r="C13" s="33" t="n">
        <f aca="false">IF((C10+B10)&gt;0,C12/((C10+B10)/2),0)</f>
        <v>0.257416302273475</v>
      </c>
      <c r="D13" s="33" t="n">
        <f aca="false">IF((D10+C10)&gt;0,D12/((D10+C10)/2),0)</f>
        <v>0.272623103649795</v>
      </c>
      <c r="E13" s="33" t="n">
        <f aca="false">IF((E10+D10)&gt;0,E12/((E10+D10)/2),0)</f>
        <v>0.280126132418364</v>
      </c>
      <c r="F13" s="33" t="n">
        <f aca="false">IF((F10+E10)&gt;0,F12/((F10+E10)/2),0)</f>
        <v>0.279072117162506</v>
      </c>
    </row>
    <row r="14" customFormat="false" ht="15" hidden="false" customHeight="false" outlineLevel="0" collapsed="false">
      <c r="A14" s="5" t="s">
        <v>295</v>
      </c>
      <c r="B14" s="25" t="n">
        <f aca="false">IF(B$5&lt;=3,INDEX('Monat 1–36'!$C$16:$AL$16,1,B$5*12),INDEX('Monat 37–60'!$C$16:$Z$16,1,B$5*12-36))</f>
        <v>2.16342790224529</v>
      </c>
      <c r="C14" s="25" t="n">
        <f aca="false">IF(C$5&lt;=3,INDEX('Monat 1–36'!$C$16:$AL$16,1,C$5*12),INDEX('Monat 37–60'!$C$16:$Z$16,1,C$5*12-36))</f>
        <v>7.8545901113289</v>
      </c>
      <c r="D14" s="25" t="n">
        <f aca="false">IF(D$5&lt;=3,INDEX('Monat 1–36'!$C$16:$AL$16,1,D$5*12),INDEX('Monat 37–60'!$C$16:$Z$16,1,D$5*12-36))</f>
        <v>16.2087924046198</v>
      </c>
      <c r="E14" s="25" t="n">
        <f aca="false">IF(E$5&lt;=3,INDEX('Monat 1–36'!$C$16:$AL$16,1,E$5*12),INDEX('Monat 37–60'!$C$16:$Z$16,1,E$5*12-36))</f>
        <v>26.1607240511626</v>
      </c>
      <c r="F14" s="25" t="n">
        <f aca="false">IF(F$5&lt;=3,INDEX('Monat 1–36'!$C$16:$AL$16,1,F$5*12),INDEX('Monat 37–60'!$C$16:$Z$16,1,F$5*12-36))</f>
        <v>37.4677993888307</v>
      </c>
    </row>
    <row r="15" customFormat="false" ht="15" hidden="false" customHeight="false" outlineLevel="0" collapsed="false">
      <c r="A15" s="5" t="s">
        <v>296</v>
      </c>
      <c r="B15" s="25" t="n">
        <f aca="false">SUMIF('Monat 1–36'!$C$4:$AL$4,B$5,'Monat 1–36'!$C$17:$AL$17)+SUMIF('Monat 37–60'!$C$4:$Z$4,B$5,'Monat 37–60'!$C$17:$Z$17)</f>
        <v>257.142857142857</v>
      </c>
      <c r="C15" s="25" t="n">
        <f aca="false">SUMIF('Monat 1–36'!$C$4:$AL$4,C$5,'Monat 1–36'!$C$17:$AL$17)+SUMIF('Monat 37–60'!$C$4:$Z$4,C$5,'Monat 37–60'!$C$17:$Z$17)</f>
        <v>754.285714285714</v>
      </c>
      <c r="D15" s="25" t="n">
        <f aca="false">SUMIF('Monat 1–36'!$C$4:$AL$4,D$5,'Monat 1–36'!$C$17:$AL$17)+SUMIF('Monat 37–60'!$C$4:$Z$4,D$5,'Monat 37–60'!$C$17:$Z$17)</f>
        <v>1191.42857142857</v>
      </c>
      <c r="E15" s="25" t="n">
        <f aca="false">SUMIF('Monat 1–36'!$C$4:$AL$4,E$5,'Monat 1–36'!$C$17:$AL$17)+SUMIF('Monat 37–60'!$C$4:$Z$4,E$5,'Monat 37–60'!$C$17:$Z$17)</f>
        <v>1542.85714285714</v>
      </c>
      <c r="F15" s="25" t="n">
        <f aca="false">SUMIF('Monat 1–36'!$C$4:$AL$4,F$5,'Monat 1–36'!$C$17:$AL$17)+SUMIF('Monat 37–60'!$C$4:$Z$4,F$5,'Monat 37–60'!$C$17:$Z$17)</f>
        <v>1885.71428571429</v>
      </c>
    </row>
    <row r="16" customFormat="false" ht="15" hidden="false" customHeight="false" outlineLevel="0" collapsed="false">
      <c r="A16" s="19" t="s">
        <v>228</v>
      </c>
      <c r="B16" s="20"/>
      <c r="C16" s="20"/>
      <c r="D16" s="20"/>
      <c r="E16" s="20"/>
      <c r="F16" s="20"/>
    </row>
    <row r="17" customFormat="false" ht="15" hidden="false" customHeight="false" outlineLevel="0" collapsed="false">
      <c r="A17" s="5" t="s">
        <v>297</v>
      </c>
      <c r="B17" s="26" t="n">
        <f aca="false">IF(B$5&lt;=3,INDEX('Monat 1–36'!$C$23:$AL$23,1,B$5*12),INDEX('Monat 37–60'!$C$23:$Z$23,1,B$5*12-36))</f>
        <v>10435.8087393498</v>
      </c>
      <c r="C17" s="26" t="n">
        <f aca="false">IF(C$5&lt;=3,INDEX('Monat 1–36'!$C$23:$AL$23,1,C$5*12),INDEX('Monat 37–60'!$C$23:$Z$23,1,C$5*12-36))</f>
        <v>37081.6268066747</v>
      </c>
      <c r="D17" s="26" t="n">
        <f aca="false">IF(D$5&lt;=3,INDEX('Monat 1–36'!$C$23:$AL$23,1,D$5*12),INDEX('Monat 37–60'!$C$23:$Z$23,1,D$5*12-36))</f>
        <v>74732.3244270869</v>
      </c>
      <c r="E17" s="26" t="n">
        <f aca="false">IF(E$5&lt;=3,INDEX('Monat 1–36'!$C$23:$AL$23,1,E$5*12),INDEX('Monat 37–60'!$C$23:$Z$23,1,E$5*12-36))</f>
        <v>117772.558089643</v>
      </c>
      <c r="F17" s="26" t="n">
        <f aca="false">IF(F$5&lt;=3,INDEX('Monat 1–36'!$C$23:$AL$23,1,F$5*12),INDEX('Monat 37–60'!$C$23:$Z$23,1,F$5*12-36))</f>
        <v>165210.866738831</v>
      </c>
    </row>
    <row r="18" customFormat="false" ht="15" hidden="false" customHeight="false" outlineLevel="0" collapsed="false">
      <c r="A18" s="22" t="s">
        <v>298</v>
      </c>
      <c r="B18" s="28" t="n">
        <f aca="false">IF(B$5&lt;=3,INDEX('Monat 1–36'!$C$27:$AL$27,1,B$5*12),INDEX('Monat 37–60'!$C$27:$Z$27,1,B$5*12-36))</f>
        <v>125229.704872198</v>
      </c>
      <c r="C18" s="28" t="n">
        <f aca="false">IF(C$5&lt;=3,INDEX('Monat 1–36'!$C$27:$AL$27,1,C$5*12),INDEX('Monat 37–60'!$C$27:$Z$27,1,C$5*12-36))</f>
        <v>444979.521680097</v>
      </c>
      <c r="D18" s="28" t="n">
        <f aca="false">IF(D$5&lt;=3,INDEX('Monat 1–36'!$C$27:$AL$27,1,D$5*12),INDEX('Monat 37–60'!$C$27:$Z$27,1,D$5*12-36))</f>
        <v>896787.893125042</v>
      </c>
      <c r="E18" s="28" t="n">
        <f aca="false">IF(E$5&lt;=3,INDEX('Monat 1–36'!$C$27:$AL$27,1,E$5*12),INDEX('Monat 37–60'!$C$27:$Z$27,1,E$5*12-36))</f>
        <v>1413270.69707571</v>
      </c>
      <c r="F18" s="28" t="n">
        <f aca="false">IF(F$5&lt;=3,INDEX('Monat 1–36'!$C$27:$AL$27,1,F$5*12),INDEX('Monat 37–60'!$C$27:$Z$27,1,F$5*12-36))</f>
        <v>1982530.40086598</v>
      </c>
    </row>
    <row r="19" customFormat="false" ht="15" hidden="false" customHeight="false" outlineLevel="0" collapsed="false">
      <c r="A19" s="5" t="s">
        <v>299</v>
      </c>
      <c r="B19" s="29" t="n">
        <f aca="false">IF(B$5&lt;=3,INDEX('Monat 1–36'!$C$28:$AL$28,1,B$5*12),INDEX('Monat 37–60'!$C$28:$Z$28,1,B$5*12-36))</f>
        <v>121.823494780184</v>
      </c>
      <c r="C19" s="29" t="n">
        <f aca="false">IF(C$5&lt;=3,INDEX('Monat 1–36'!$C$28:$AL$28,1,C$5*12),INDEX('Monat 37–60'!$C$28:$Z$28,1,C$5*12-36))</f>
        <v>123.596175674987</v>
      </c>
      <c r="D19" s="29" t="n">
        <f aca="false">IF(D$5&lt;=3,INDEX('Monat 1–36'!$C$28:$AL$28,1,D$5*12),INDEX('Monat 37–60'!$C$28:$Z$28,1,D$5*12-36))</f>
        <v>125.596728430867</v>
      </c>
      <c r="E19" s="29" t="n">
        <f aca="false">IF(E$5&lt;=3,INDEX('Monat 1–36'!$C$28:$AL$28,1,E$5*12),INDEX('Monat 37–60'!$C$28:$Z$28,1,E$5*12-36))</f>
        <v>127.670390106803</v>
      </c>
      <c r="F19" s="29" t="n">
        <f aca="false">IF(F$5&lt;=3,INDEX('Monat 1–36'!$C$28:$AL$28,1,F$5*12),INDEX('Monat 37–60'!$C$28:$Z$28,1,F$5*12-36))</f>
        <v>129.501677020175</v>
      </c>
    </row>
    <row r="20" customFormat="false" ht="15" hidden="false" customHeight="false" outlineLevel="0" collapsed="false">
      <c r="A20" s="5" t="s">
        <v>300</v>
      </c>
      <c r="B20" s="26" t="n">
        <f aca="false">SUMIF('Monat 1–36'!$C$4:$AL$4,B$5,'Monat 1–36'!$C$23:$AL$23)+SUMIF('Monat 37–60'!$C$4:$Z$4,B$5,'Monat 37–60'!$C$23:$Z$23)+SUMIF('Monat 1–36'!$C$4:$AL$4,B$5,'Monat 1–36'!$C$24:$AL$24)+SUMIF('Monat 37–60'!$C$4:$Z$4,B$5,'Monat 37–60'!$C$24:$Z$24)</f>
        <v>54261.0159278187</v>
      </c>
      <c r="C20" s="26" t="n">
        <f aca="false">SUMIF('Monat 1–36'!$C$4:$AL$4,C$5,'Monat 1–36'!$C$23:$AL$23)+SUMIF('Monat 37–60'!$C$4:$Z$4,C$5,'Monat 37–60'!$C$23:$Z$23)+SUMIF('Monat 1–36'!$C$4:$AL$4,C$5,'Monat 1–36'!$C$24:$AL$24)+SUMIF('Monat 37–60'!$C$4:$Z$4,C$5,'Monat 37–60'!$C$24:$Z$24)</f>
        <v>268670.400086564</v>
      </c>
      <c r="D20" s="26" t="n">
        <f aca="false">SUMIF('Monat 1–36'!$C$4:$AL$4,D$5,'Monat 1–36'!$C$23:$AL$23)+SUMIF('Monat 37–60'!$C$4:$Z$4,D$5,'Monat 37–60'!$C$23:$Z$23)+SUMIF('Monat 1–36'!$C$4:$AL$4,D$5,'Monat 1–36'!$C$24:$AL$24)+SUMIF('Monat 37–60'!$C$4:$Z$4,D$5,'Monat 37–60'!$C$24:$Z$24)</f>
        <v>646238.088038509</v>
      </c>
      <c r="E20" s="26" t="n">
        <f aca="false">SUMIF('Monat 1–36'!$C$4:$AL$4,E$5,'Monat 1–36'!$C$23:$AL$23)+SUMIF('Monat 37–60'!$C$4:$Z$4,E$5,'Monat 37–60'!$C$23:$Z$23)+SUMIF('Monat 1–36'!$C$4:$AL$4,E$5,'Monat 1–36'!$C$24:$AL$24)+SUMIF('Monat 37–60'!$C$4:$Z$4,E$5,'Monat 37–60'!$C$24:$Z$24)</f>
        <v>1126778.50428307</v>
      </c>
      <c r="F20" s="26" t="n">
        <f aca="false">SUMIF('Monat 1–36'!$C$4:$AL$4,F$5,'Monat 1–36'!$C$23:$AL$23)+SUMIF('Monat 37–60'!$C$4:$Z$4,F$5,'Monat 37–60'!$C$23:$Z$23)+SUMIF('Monat 1–36'!$C$4:$AL$4,F$5,'Monat 1–36'!$C$24:$AL$24)+SUMIF('Monat 37–60'!$C$4:$Z$4,F$5,'Monat 37–60'!$C$24:$Z$24)</f>
        <v>1645421.94124164</v>
      </c>
    </row>
    <row r="21" customFormat="false" ht="15" hidden="false" customHeight="false" outlineLevel="0" collapsed="false">
      <c r="A21" s="5" t="s">
        <v>301</v>
      </c>
      <c r="B21" s="26" t="n">
        <f aca="false">SUMIF('Monat 1–36'!$C$4:$AL$4,B$5,'Monat 1–36'!$C$25:$AL$25)+SUMIF('Monat 37–60'!$C$4:$Z$4,B$5,'Monat 37–60'!$C$25:$Z$25)</f>
        <v>4298.4</v>
      </c>
      <c r="C21" s="26" t="n">
        <f aca="false">SUMIF('Monat 1–36'!$C$4:$AL$4,C$5,'Monat 1–36'!$C$25:$AL$25)+SUMIF('Monat 37–60'!$C$4:$Z$4,C$5,'Monat 37–60'!$C$25:$Z$25)</f>
        <v>12608.64</v>
      </c>
      <c r="D21" s="26" t="n">
        <f aca="false">SUMIF('Monat 1–36'!$C$4:$AL$4,D$5,'Monat 1–36'!$C$25:$AL$25)+SUMIF('Monat 37–60'!$C$4:$Z$4,D$5,'Monat 37–60'!$C$25:$Z$25)</f>
        <v>19915.92</v>
      </c>
      <c r="E21" s="26" t="n">
        <f aca="false">SUMIF('Monat 1–36'!$C$4:$AL$4,E$5,'Monat 1–36'!$C$25:$AL$25)+SUMIF('Monat 37–60'!$C$4:$Z$4,E$5,'Monat 37–60'!$C$25:$Z$25)</f>
        <v>25790.4</v>
      </c>
      <c r="F21" s="26" t="n">
        <f aca="false">SUMIF('Monat 1–36'!$C$4:$AL$4,F$5,'Monat 1–36'!$C$25:$AL$25)+SUMIF('Monat 37–60'!$C$4:$Z$4,F$5,'Monat 37–60'!$C$25:$Z$25)</f>
        <v>31521.6</v>
      </c>
    </row>
    <row r="22" customFormat="false" ht="15" hidden="false" customHeight="false" outlineLevel="0" collapsed="false">
      <c r="A22" s="22" t="s">
        <v>236</v>
      </c>
      <c r="B22" s="28" t="n">
        <f aca="false">SUMIF('Monat 1–36'!$C$4:$AL$4,B$5,'Monat 1–36'!$C$26:$AL$26)+SUMIF('Monat 37–60'!$C$4:$Z$4,B$5,'Monat 37–60'!$C$26:$Z$26)</f>
        <v>58559.4159278187</v>
      </c>
      <c r="C22" s="28" t="n">
        <f aca="false">SUMIF('Monat 1–36'!$C$4:$AL$4,C$5,'Monat 1–36'!$C$26:$AL$26)+SUMIF('Monat 37–60'!$C$4:$Z$4,C$5,'Monat 37–60'!$C$26:$Z$26)</f>
        <v>281279.040086564</v>
      </c>
      <c r="D22" s="28" t="n">
        <f aca="false">SUMIF('Monat 1–36'!$C$4:$AL$4,D$5,'Monat 1–36'!$C$26:$AL$26)+SUMIF('Monat 37–60'!$C$4:$Z$4,D$5,'Monat 37–60'!$C$26:$Z$26)</f>
        <v>666154.008038509</v>
      </c>
      <c r="E22" s="28" t="n">
        <f aca="false">SUMIF('Monat 1–36'!$C$4:$AL$4,E$5,'Monat 1–36'!$C$26:$AL$26)+SUMIF('Monat 37–60'!$C$4:$Z$4,E$5,'Monat 37–60'!$C$26:$Z$26)</f>
        <v>1152568.90428307</v>
      </c>
      <c r="F22" s="28" t="n">
        <f aca="false">SUMIF('Monat 1–36'!$C$4:$AL$4,F$5,'Monat 1–36'!$C$26:$AL$26)+SUMIF('Monat 37–60'!$C$4:$Z$4,F$5,'Monat 37–60'!$C$26:$Z$26)</f>
        <v>1676943.54124164</v>
      </c>
    </row>
    <row r="23" customFormat="false" ht="15" hidden="false" customHeight="false" outlineLevel="0" collapsed="false">
      <c r="A23" s="5" t="s">
        <v>302</v>
      </c>
      <c r="B23" s="33" t="str">
        <f aca="false">"–"</f>
        <v>–</v>
      </c>
      <c r="C23" s="33" t="n">
        <f aca="false">IF(B22&gt;0,C22/B22-1,0)</f>
        <v>3.80331020434482</v>
      </c>
      <c r="D23" s="33" t="n">
        <f aca="false">IF(C22&gt;0,D22/C22-1,0)</f>
        <v>1.36830304822392</v>
      </c>
      <c r="E23" s="33" t="n">
        <f aca="false">IF(D22&gt;0,E22/D22-1,0)</f>
        <v>0.730183846940752</v>
      </c>
      <c r="F23" s="33" t="n">
        <f aca="false">IF(E22&gt;0,F22/E22-1,0)</f>
        <v>0.454961638310679</v>
      </c>
    </row>
    <row r="24" customFormat="false" ht="15" hidden="false" customHeight="false" outlineLevel="0" collapsed="false">
      <c r="A24" s="19" t="s">
        <v>303</v>
      </c>
      <c r="B24" s="20"/>
      <c r="C24" s="20"/>
      <c r="D24" s="20"/>
      <c r="E24" s="20"/>
      <c r="F24" s="20"/>
    </row>
    <row r="25" customFormat="false" ht="15" hidden="false" customHeight="false" outlineLevel="0" collapsed="false">
      <c r="A25" s="5" t="s">
        <v>239</v>
      </c>
      <c r="B25" s="26" t="n">
        <f aca="false">SUMIF('Monat 1–36'!$C$4:$AL$4,B$5,'Monat 1–36'!$C$34:$AL$34)+SUMIF('Monat 37–60'!$C$4:$Z$4,B$5,'Monat 37–60'!$C$34:$Z$34)</f>
        <v>1798.70357159122</v>
      </c>
      <c r="C25" s="26" t="n">
        <f aca="false">SUMIF('Monat 1–36'!$C$4:$AL$4,C$5,'Monat 1–36'!$C$34:$AL$34)+SUMIF('Monat 37–60'!$C$4:$Z$4,C$5,'Monat 37–60'!$C$34:$Z$34)</f>
        <v>15200.2937698789</v>
      </c>
      <c r="D25" s="26" t="n">
        <f aca="false">SUMIF('Monat 1–36'!$C$4:$AL$4,D$5,'Monat 1–36'!$C$34:$AL$34)+SUMIF('Monat 37–60'!$C$4:$Z$4,D$5,'Monat 37–60'!$C$34:$Z$34)</f>
        <v>52049.1474239096</v>
      </c>
      <c r="E25" s="26" t="n">
        <f aca="false">SUMIF('Monat 1–36'!$C$4:$AL$4,E$5,'Monat 1–36'!$C$34:$AL$34)+SUMIF('Monat 37–60'!$C$4:$Z$4,E$5,'Monat 37–60'!$C$34:$Z$34)</f>
        <v>103902.719625941</v>
      </c>
      <c r="F25" s="26" t="n">
        <f aca="false">SUMIF('Monat 1–36'!$C$4:$AL$4,F$5,'Monat 1–36'!$C$34:$AL$34)+SUMIF('Monat 37–60'!$C$4:$Z$4,F$5,'Monat 37–60'!$C$34:$Z$34)</f>
        <v>171701.191725572</v>
      </c>
    </row>
    <row r="26" customFormat="false" ht="15" hidden="false" customHeight="false" outlineLevel="0" collapsed="false">
      <c r="A26" s="3" t="s">
        <v>245</v>
      </c>
      <c r="B26" s="30" t="n">
        <f aca="false">SUMIF('Monat 1–36'!$C$4:$AL$4,B$5,'Monat 1–36'!$C$35:$AL$35)+SUMIF('Monat 37–60'!$C$4:$Z$4,B$5,'Monat 37–60'!$C$35:$Z$35)</f>
        <v>56760.7123562274</v>
      </c>
      <c r="C26" s="30" t="n">
        <f aca="false">SUMIF('Monat 1–36'!$C$4:$AL$4,C$5,'Monat 1–36'!$C$35:$AL$35)+SUMIF('Monat 37–60'!$C$4:$Z$4,C$5,'Monat 37–60'!$C$35:$Z$35)</f>
        <v>266078.746316685</v>
      </c>
      <c r="D26" s="30" t="n">
        <f aca="false">SUMIF('Monat 1–36'!$C$4:$AL$4,D$5,'Monat 1–36'!$C$35:$AL$35)+SUMIF('Monat 37–60'!$C$4:$Z$4,D$5,'Monat 37–60'!$C$35:$Z$35)</f>
        <v>614104.860614599</v>
      </c>
      <c r="E26" s="30" t="n">
        <f aca="false">SUMIF('Monat 1–36'!$C$4:$AL$4,E$5,'Monat 1–36'!$C$35:$AL$35)+SUMIF('Monat 37–60'!$C$4:$Z$4,E$5,'Monat 37–60'!$C$35:$Z$35)</f>
        <v>1048666.18465713</v>
      </c>
      <c r="F26" s="30" t="n">
        <f aca="false">SUMIF('Monat 1–36'!$C$4:$AL$4,F$5,'Monat 1–36'!$C$35:$AL$35)+SUMIF('Monat 37–60'!$C$4:$Z$4,F$5,'Monat 37–60'!$C$35:$Z$35)</f>
        <v>1505242.34951606</v>
      </c>
    </row>
    <row r="27" customFormat="false" ht="15" hidden="false" customHeight="false" outlineLevel="0" collapsed="false">
      <c r="A27" s="5" t="s">
        <v>304</v>
      </c>
      <c r="B27" s="33" t="n">
        <f aca="false">IF(B22&gt;0,B26/B22,0)</f>
        <v>0.969284127187875</v>
      </c>
      <c r="C27" s="33" t="n">
        <f aca="false">IF(C22&gt;0,C26/C22,0)</f>
        <v>0.945960090857815</v>
      </c>
      <c r="D27" s="33" t="n">
        <f aca="false">IF(D22&gt;0,D26/D22,0)</f>
        <v>0.92186619491014</v>
      </c>
      <c r="E27" s="33" t="n">
        <f aca="false">IF(E22&gt;0,E26/E22,0)</f>
        <v>0.909851186128805</v>
      </c>
      <c r="F27" s="33" t="n">
        <f aca="false">IF(F22&gt;0,F26/F22,0)</f>
        <v>0.897610630589005</v>
      </c>
    </row>
    <row r="28" customFormat="false" ht="15" hidden="false" customHeight="false" outlineLevel="0" collapsed="false">
      <c r="A28" s="5" t="s">
        <v>246</v>
      </c>
      <c r="B28" s="26" t="n">
        <f aca="false">SUMIF('Monat 1–36'!$C$4:$AL$4,B$5,'Monat 1–36'!$C$50:$AL$50)+SUMIF('Monat 37–60'!$C$4:$Z$4,B$5,'Monat 37–60'!$C$50:$Z$50)</f>
        <v>76464</v>
      </c>
      <c r="C28" s="26" t="n">
        <f aca="false">SUMIF('Monat 1–36'!$C$4:$AL$4,C$5,'Monat 1–36'!$C$50:$AL$50)+SUMIF('Monat 37–60'!$C$4:$Z$4,C$5,'Monat 37–60'!$C$50:$Z$50)</f>
        <v>288785.16</v>
      </c>
      <c r="D28" s="26" t="n">
        <f aca="false">SUMIF('Monat 1–36'!$C$4:$AL$4,D$5,'Monat 1–36'!$C$50:$AL$50)+SUMIF('Monat 37–60'!$C$4:$Z$4,D$5,'Monat 37–60'!$C$50:$Z$50)</f>
        <v>448796.0598</v>
      </c>
      <c r="E28" s="26" t="n">
        <f aca="false">SUMIF('Monat 1–36'!$C$4:$AL$4,E$5,'Monat 1–36'!$C$50:$AL$50)+SUMIF('Monat 37–60'!$C$4:$Z$4,E$5,'Monat 37–60'!$C$50:$Z$50)</f>
        <v>701549.364372</v>
      </c>
      <c r="F28" s="26" t="n">
        <f aca="false">SUMIF('Monat 1–36'!$C$4:$AL$4,F$5,'Monat 1–36'!$C$50:$AL$50)+SUMIF('Monat 37–60'!$C$4:$Z$4,F$5,'Monat 37–60'!$C$50:$Z$50)</f>
        <v>874971.57538608</v>
      </c>
    </row>
    <row r="29" customFormat="false" ht="15" hidden="false" customHeight="false" outlineLevel="0" collapsed="false">
      <c r="A29" s="5" t="s">
        <v>249</v>
      </c>
      <c r="B29" s="26" t="n">
        <f aca="false">SUMIF('Monat 1–36'!$C$4:$AL$4,B$5,'Monat 1–36'!$C$51:$AL$51)+SUMIF('Monat 37–60'!$C$4:$Z$4,B$5,'Monat 37–60'!$C$51:$Z$51)</f>
        <v>27588</v>
      </c>
      <c r="C29" s="26" t="n">
        <f aca="false">SUMIF('Monat 1–36'!$C$4:$AL$4,C$5,'Monat 1–36'!$C$51:$AL$51)+SUMIF('Monat 37–60'!$C$4:$Z$4,C$5,'Monat 37–60'!$C$51:$Z$51)</f>
        <v>119644.8</v>
      </c>
      <c r="D29" s="26" t="n">
        <f aca="false">SUMIF('Monat 1–36'!$C$4:$AL$4,D$5,'Monat 1–36'!$C$51:$AL$51)+SUMIF('Monat 37–60'!$C$4:$Z$4,D$5,'Monat 37–60'!$C$51:$Z$51)</f>
        <v>154042.68</v>
      </c>
      <c r="E29" s="26" t="n">
        <f aca="false">SUMIF('Monat 1–36'!$C$4:$AL$4,E$5,'Monat 1–36'!$C$51:$AL$51)+SUMIF('Monat 37–60'!$C$4:$Z$4,E$5,'Monat 37–60'!$C$51:$Z$51)</f>
        <v>257035.615848</v>
      </c>
      <c r="F29" s="26" t="n">
        <f aca="false">SUMIF('Monat 1–36'!$C$4:$AL$4,F$5,'Monat 1–36'!$C$51:$AL$51)+SUMIF('Monat 37–60'!$C$4:$Z$4,F$5,'Monat 37–60'!$C$51:$Z$51)</f>
        <v>333384.71359248</v>
      </c>
    </row>
    <row r="30" customFormat="false" ht="15" hidden="false" customHeight="false" outlineLevel="0" collapsed="false">
      <c r="A30" s="5" t="s">
        <v>252</v>
      </c>
      <c r="B30" s="26" t="n">
        <f aca="false">SUMIF('Monat 1–36'!$C$4:$AL$4,B$5,'Monat 1–36'!$C$54:$AL$54)+SUMIF('Monat 37–60'!$C$4:$Z$4,B$5,'Monat 37–60'!$C$54:$Z$54)</f>
        <v>30000</v>
      </c>
      <c r="C30" s="26" t="n">
        <f aca="false">SUMIF('Monat 1–36'!$C$4:$AL$4,C$5,'Monat 1–36'!$C$54:$AL$54)+SUMIF('Monat 37–60'!$C$4:$Z$4,C$5,'Monat 37–60'!$C$54:$Z$54)</f>
        <v>48000</v>
      </c>
      <c r="D30" s="26" t="n">
        <f aca="false">SUMIF('Monat 1–36'!$C$4:$AL$4,D$5,'Monat 1–36'!$C$54:$AL$54)+SUMIF('Monat 37–60'!$C$4:$Z$4,D$5,'Monat 37–60'!$C$54:$Z$54)</f>
        <v>72000</v>
      </c>
      <c r="E30" s="26" t="n">
        <f aca="false">SUMIF('Monat 1–36'!$C$4:$AL$4,E$5,'Monat 1–36'!$C$54:$AL$54)+SUMIF('Monat 37–60'!$C$4:$Z$4,E$5,'Monat 37–60'!$C$54:$Z$54)</f>
        <v>96000</v>
      </c>
      <c r="F30" s="26" t="n">
        <f aca="false">SUMIF('Monat 1–36'!$C$4:$AL$4,F$5,'Monat 1–36'!$C$54:$AL$54)+SUMIF('Monat 37–60'!$C$4:$Z$4,F$5,'Monat 37–60'!$C$54:$Z$54)</f>
        <v>120000</v>
      </c>
    </row>
    <row r="31" customFormat="false" ht="15" hidden="false" customHeight="false" outlineLevel="0" collapsed="false">
      <c r="A31" s="5" t="s">
        <v>253</v>
      </c>
      <c r="B31" s="26" t="n">
        <f aca="false">SUMIF('Monat 1–36'!$C$4:$AL$4,B$5,'Monat 1–36'!$C$55:$AL$55)+SUMIF('Monat 37–60'!$C$4:$Z$4,B$5,'Monat 37–60'!$C$55:$Z$55)</f>
        <v>12300</v>
      </c>
      <c r="C31" s="26" t="n">
        <f aca="false">SUMIF('Monat 1–36'!$C$4:$AL$4,C$5,'Monat 1–36'!$C$55:$AL$55)+SUMIF('Monat 37–60'!$C$4:$Z$4,C$5,'Monat 37–60'!$C$55:$Z$55)</f>
        <v>24000</v>
      </c>
      <c r="D31" s="26" t="n">
        <f aca="false">SUMIF('Monat 1–36'!$C$4:$AL$4,D$5,'Monat 1–36'!$C$55:$AL$55)+SUMIF('Monat 37–60'!$C$4:$Z$4,D$5,'Monat 37–60'!$C$55:$Z$55)</f>
        <v>19000</v>
      </c>
      <c r="E31" s="26" t="n">
        <f aca="false">SUMIF('Monat 1–36'!$C$4:$AL$4,E$5,'Monat 1–36'!$C$55:$AL$55)+SUMIF('Monat 37–60'!$C$4:$Z$4,E$5,'Monat 37–60'!$C$55:$Z$55)</f>
        <v>28000</v>
      </c>
      <c r="F31" s="26" t="n">
        <f aca="false">SUMIF('Monat 1–36'!$C$4:$AL$4,F$5,'Monat 1–36'!$C$55:$AL$55)+SUMIF('Monat 37–60'!$C$4:$Z$4,F$5,'Monat 37–60'!$C$55:$Z$55)</f>
        <v>23000</v>
      </c>
    </row>
    <row r="32" customFormat="false" ht="15" hidden="false" customHeight="false" outlineLevel="0" collapsed="false">
      <c r="A32" s="5" t="s">
        <v>305</v>
      </c>
      <c r="B32" s="26" t="n">
        <f aca="false">SUMIF('Monat 1–36'!$C$4:$AL$4,B$5,'Monat 1–36'!$C$66:$AL$66)+SUMIF('Monat 37–60'!$C$4:$Z$4,B$5,'Monat 37–60'!$C$66:$Z$66)-B30-B31</f>
        <v>39680</v>
      </c>
      <c r="C32" s="26" t="n">
        <f aca="false">SUMIF('Monat 1–36'!$C$4:$AL$4,C$5,'Monat 1–36'!$C$66:$AL$66)+SUMIF('Monat 37–60'!$C$4:$Z$4,C$5,'Monat 37–60'!$C$66:$Z$66)-C30-C31</f>
        <v>45720</v>
      </c>
      <c r="D32" s="26" t="n">
        <f aca="false">SUMIF('Monat 1–36'!$C$4:$AL$4,D$5,'Monat 1–36'!$C$66:$AL$66)+SUMIF('Monat 37–60'!$C$4:$Z$4,D$5,'Monat 37–60'!$C$66:$Z$66)-D30-D31</f>
        <v>69720</v>
      </c>
      <c r="E32" s="26" t="n">
        <f aca="false">SUMIF('Monat 1–36'!$C$4:$AL$4,E$5,'Monat 1–36'!$C$66:$AL$66)+SUMIF('Monat 37–60'!$C$4:$Z$4,E$5,'Monat 37–60'!$C$66:$Z$66)-E30-E31</f>
        <v>94440</v>
      </c>
      <c r="F32" s="26" t="n">
        <f aca="false">SUMIF('Monat 1–36'!$C$4:$AL$4,F$5,'Monat 1–36'!$C$66:$AL$66)+SUMIF('Monat 37–60'!$C$4:$Z$4,F$5,'Monat 37–60'!$C$66:$Z$66)-F30-F31</f>
        <v>113400</v>
      </c>
    </row>
    <row r="33" customFormat="false" ht="15" hidden="false" customHeight="false" outlineLevel="0" collapsed="false">
      <c r="A33" s="3" t="s">
        <v>306</v>
      </c>
      <c r="B33" s="30" t="n">
        <f aca="false">SUMIF('Monat 1–36'!$C$4:$AL$4,B$5,'Monat 1–36'!$C$67:$AL$67)+SUMIF('Monat 37–60'!$C$4:$Z$4,B$5,'Monat 37–60'!$C$67:$Z$67)</f>
        <v>158444</v>
      </c>
      <c r="C33" s="30" t="n">
        <f aca="false">SUMIF('Monat 1–36'!$C$4:$AL$4,C$5,'Monat 1–36'!$C$67:$AL$67)+SUMIF('Monat 37–60'!$C$4:$Z$4,C$5,'Monat 37–60'!$C$67:$Z$67)</f>
        <v>406505.16</v>
      </c>
      <c r="D33" s="30" t="n">
        <f aca="false">SUMIF('Monat 1–36'!$C$4:$AL$4,D$5,'Monat 1–36'!$C$67:$AL$67)+SUMIF('Monat 37–60'!$C$4:$Z$4,D$5,'Monat 37–60'!$C$67:$Z$67)</f>
        <v>609516.0598</v>
      </c>
      <c r="E33" s="30" t="n">
        <f aca="false">SUMIF('Monat 1–36'!$C$4:$AL$4,E$5,'Monat 1–36'!$C$67:$AL$67)+SUMIF('Monat 37–60'!$C$4:$Z$4,E$5,'Monat 37–60'!$C$67:$Z$67)</f>
        <v>919989.364372</v>
      </c>
      <c r="F33" s="30" t="n">
        <f aca="false">SUMIF('Monat 1–36'!$C$4:$AL$4,F$5,'Monat 1–36'!$C$67:$AL$67)+SUMIF('Monat 37–60'!$C$4:$Z$4,F$5,'Monat 37–60'!$C$67:$Z$67)</f>
        <v>1131371.57538608</v>
      </c>
    </row>
    <row r="34" customFormat="false" ht="15" hidden="false" customHeight="false" outlineLevel="0" collapsed="false">
      <c r="A34" s="3" t="s">
        <v>266</v>
      </c>
      <c r="B34" s="30" t="n">
        <f aca="false">SUMIF('Monat 1–36'!$C$4:$AL$4,B$5,'Monat 1–36'!$C$69:$AL$69)+SUMIF('Monat 37–60'!$C$4:$Z$4,B$5,'Monat 37–60'!$C$69:$Z$69)</f>
        <v>160242.703571591</v>
      </c>
      <c r="C34" s="30" t="n">
        <f aca="false">SUMIF('Monat 1–36'!$C$4:$AL$4,C$5,'Monat 1–36'!$C$69:$AL$69)+SUMIF('Monat 37–60'!$C$4:$Z$4,C$5,'Monat 37–60'!$C$69:$Z$69)</f>
        <v>421705.453769879</v>
      </c>
      <c r="D34" s="30" t="n">
        <f aca="false">SUMIF('Monat 1–36'!$C$4:$AL$4,D$5,'Monat 1–36'!$C$69:$AL$69)+SUMIF('Monat 37–60'!$C$4:$Z$4,D$5,'Monat 37–60'!$C$69:$Z$69)</f>
        <v>661565.20722391</v>
      </c>
      <c r="E34" s="30" t="n">
        <f aca="false">SUMIF('Monat 1–36'!$C$4:$AL$4,E$5,'Monat 1–36'!$C$69:$AL$69)+SUMIF('Monat 37–60'!$C$4:$Z$4,E$5,'Monat 37–60'!$C$69:$Z$69)</f>
        <v>1023892.08399794</v>
      </c>
      <c r="F34" s="30" t="n">
        <f aca="false">SUMIF('Monat 1–36'!$C$4:$AL$4,F$5,'Monat 1–36'!$C$69:$AL$69)+SUMIF('Monat 37–60'!$C$4:$Z$4,F$5,'Monat 37–60'!$C$69:$Z$69)</f>
        <v>1303072.76711165</v>
      </c>
    </row>
    <row r="35" customFormat="false" ht="15" hidden="false" customHeight="false" outlineLevel="0" collapsed="false">
      <c r="A35" s="19" t="s">
        <v>265</v>
      </c>
      <c r="B35" s="20"/>
      <c r="C35" s="20"/>
      <c r="D35" s="20"/>
      <c r="E35" s="20"/>
      <c r="F35" s="20"/>
    </row>
    <row r="36" customFormat="false" ht="15" hidden="false" customHeight="false" outlineLevel="0" collapsed="false">
      <c r="A36" s="22" t="s">
        <v>267</v>
      </c>
      <c r="B36" s="28" t="n">
        <f aca="false">SUMIF('Monat 1–36'!$C$4:$AL$4,B$5,'Monat 1–36'!$C$70:$AL$70)+SUMIF('Monat 37–60'!$C$4:$Z$4,B$5,'Monat 37–60'!$C$70:$Z$70)</f>
        <v>-101683.287643773</v>
      </c>
      <c r="C36" s="28" t="n">
        <f aca="false">SUMIF('Monat 1–36'!$C$4:$AL$4,C$5,'Monat 1–36'!$C$70:$AL$70)+SUMIF('Monat 37–60'!$C$4:$Z$4,C$5,'Monat 37–60'!$C$70:$Z$70)</f>
        <v>-140426.413683315</v>
      </c>
      <c r="D36" s="28" t="n">
        <f aca="false">SUMIF('Monat 1–36'!$C$4:$AL$4,D$5,'Monat 1–36'!$C$70:$AL$70)+SUMIF('Monat 37–60'!$C$4:$Z$4,D$5,'Monat 37–60'!$C$70:$Z$70)</f>
        <v>4588.80081459905</v>
      </c>
      <c r="E36" s="28" t="n">
        <f aca="false">SUMIF('Monat 1–36'!$C$4:$AL$4,E$5,'Monat 1–36'!$C$70:$AL$70)+SUMIF('Monat 37–60'!$C$4:$Z$4,E$5,'Monat 37–60'!$C$70:$Z$70)</f>
        <v>128676.820285126</v>
      </c>
      <c r="F36" s="28" t="n">
        <f aca="false">SUMIF('Monat 1–36'!$C$4:$AL$4,F$5,'Monat 1–36'!$C$70:$AL$70)+SUMIF('Monat 37–60'!$C$4:$Z$4,F$5,'Monat 37–60'!$C$70:$Z$70)</f>
        <v>373870.774129984</v>
      </c>
    </row>
    <row r="37" customFormat="false" ht="15" hidden="false" customHeight="false" outlineLevel="0" collapsed="false">
      <c r="A37" s="5" t="s">
        <v>307</v>
      </c>
      <c r="B37" s="33" t="n">
        <f aca="false">IF(B22&gt;0,B36/B22,0)</f>
        <v>-1.73641225809201</v>
      </c>
      <c r="C37" s="33" t="n">
        <f aca="false">IF(C22&gt;0,C36/C22,0)</f>
        <v>-0.499242366726288</v>
      </c>
      <c r="D37" s="33" t="n">
        <f aca="false">IF(D22&gt;0,D36/D22,0)</f>
        <v>0.00688849839410376</v>
      </c>
      <c r="E37" s="33" t="n">
        <f aca="false">IF(E22&gt;0,E36/E22,0)</f>
        <v>0.111643494637891</v>
      </c>
      <c r="F37" s="33" t="n">
        <f aca="false">IF(F22&gt;0,F36/F22,0)</f>
        <v>0.222947740896014</v>
      </c>
    </row>
    <row r="38" customFormat="false" ht="15" hidden="false" customHeight="false" outlineLevel="0" collapsed="false">
      <c r="A38" s="5" t="s">
        <v>308</v>
      </c>
      <c r="B38" s="26" t="n">
        <f aca="false">0</f>
        <v>0</v>
      </c>
      <c r="C38" s="26" t="n">
        <f aca="false">0</f>
        <v>0</v>
      </c>
      <c r="D38" s="26" t="n">
        <f aca="false">0</f>
        <v>0</v>
      </c>
      <c r="E38" s="26" t="n">
        <f aca="false">0</f>
        <v>0</v>
      </c>
      <c r="F38" s="26" t="n">
        <f aca="false">0</f>
        <v>0</v>
      </c>
      <c r="G38" s="2" t="s">
        <v>309</v>
      </c>
    </row>
    <row r="39" customFormat="false" ht="15" hidden="false" customHeight="false" outlineLevel="0" collapsed="false">
      <c r="A39" s="5" t="s">
        <v>310</v>
      </c>
      <c r="B39" s="26" t="n">
        <f aca="false">SUMIF('Monat 1–36'!$C$4:$AL$4,B$5,'Monat 1–36'!$C$76:$AL$76)+SUMIF('Monat 37–60'!$C$4:$Z$4,B$5,'Monat 37–60'!$C$76:$Z$76)</f>
        <v>5000</v>
      </c>
      <c r="C39" s="26" t="n">
        <f aca="false">SUMIF('Monat 1–36'!$C$4:$AL$4,C$5,'Monat 1–36'!$C$76:$AL$76)+SUMIF('Monat 37–60'!$C$4:$Z$4,C$5,'Monat 37–60'!$C$76:$Z$76)</f>
        <v>5000</v>
      </c>
      <c r="D39" s="26" t="n">
        <f aca="false">SUMIF('Monat 1–36'!$C$4:$AL$4,D$5,'Monat 1–36'!$C$76:$AL$76)+SUMIF('Monat 37–60'!$C$4:$Z$4,D$5,'Monat 37–60'!$C$76:$Z$76)</f>
        <v>4713.54166666667</v>
      </c>
      <c r="E39" s="26" t="n">
        <f aca="false">SUMIF('Monat 1–36'!$C$4:$AL$4,E$5,'Monat 1–36'!$C$76:$AL$76)+SUMIF('Monat 37–60'!$C$4:$Z$4,E$5,'Monat 37–60'!$C$76:$Z$76)</f>
        <v>4088.54166666667</v>
      </c>
      <c r="F39" s="26" t="n">
        <f aca="false">SUMIF('Monat 1–36'!$C$4:$AL$4,F$5,'Monat 1–36'!$C$76:$AL$76)+SUMIF('Monat 37–60'!$C$4:$Z$4,F$5,'Monat 37–60'!$C$76:$Z$76)</f>
        <v>3463.54166666667</v>
      </c>
    </row>
    <row r="40" customFormat="false" ht="15" hidden="false" customHeight="false" outlineLevel="0" collapsed="false">
      <c r="A40" s="3" t="s">
        <v>311</v>
      </c>
      <c r="B40" s="30" t="n">
        <f aca="false">B36-B38-B39</f>
        <v>-106683.287643773</v>
      </c>
      <c r="C40" s="30" t="n">
        <f aca="false">C36-C38-C39</f>
        <v>-145426.413683315</v>
      </c>
      <c r="D40" s="30" t="n">
        <f aca="false">D36-D38-D39</f>
        <v>-124.740852067614</v>
      </c>
      <c r="E40" s="30" t="n">
        <f aca="false">E36-E38-E39</f>
        <v>124588.27861846</v>
      </c>
      <c r="F40" s="30" t="n">
        <f aca="false">F36-F38-F39</f>
        <v>370407.232463317</v>
      </c>
    </row>
    <row r="41" customFormat="false" ht="15" hidden="false" customHeight="false" outlineLevel="0" collapsed="false">
      <c r="A41" s="5" t="s">
        <v>312</v>
      </c>
      <c r="B41" s="26" t="n">
        <f aca="false">0</f>
        <v>0</v>
      </c>
      <c r="C41" s="26" t="n">
        <f aca="false">B43</f>
        <v>106683.287643773</v>
      </c>
      <c r="D41" s="26" t="n">
        <f aca="false">C43</f>
        <v>252109.701327087</v>
      </c>
      <c r="E41" s="26" t="n">
        <f aca="false">D43</f>
        <v>252234.442179155</v>
      </c>
      <c r="F41" s="26" t="n">
        <f aca="false">E43</f>
        <v>127646.163560695</v>
      </c>
    </row>
    <row r="42" customFormat="false" ht="15" hidden="false" customHeight="false" outlineLevel="0" collapsed="false">
      <c r="A42" s="5" t="s">
        <v>313</v>
      </c>
      <c r="B42" s="26" t="n">
        <f aca="false">MAX(0,B40-B41)</f>
        <v>0</v>
      </c>
      <c r="C42" s="26" t="n">
        <f aca="false">MAX(0,C40-C41)</f>
        <v>0</v>
      </c>
      <c r="D42" s="26" t="n">
        <f aca="false">MAX(0,D40-D41)</f>
        <v>0</v>
      </c>
      <c r="E42" s="26" t="n">
        <f aca="false">MAX(0,E40-E41)</f>
        <v>0</v>
      </c>
      <c r="F42" s="26" t="n">
        <f aca="false">MAX(0,F40-F41)</f>
        <v>242761.068902622</v>
      </c>
    </row>
    <row r="43" customFormat="false" ht="15" hidden="false" customHeight="false" outlineLevel="0" collapsed="false">
      <c r="A43" s="5" t="s">
        <v>314</v>
      </c>
      <c r="B43" s="26" t="n">
        <f aca="false">MAX(0,B41-B40)</f>
        <v>106683.287643773</v>
      </c>
      <c r="C43" s="26" t="n">
        <f aca="false">MAX(0,C41-C40)</f>
        <v>252109.701327087</v>
      </c>
      <c r="D43" s="26" t="n">
        <f aca="false">MAX(0,D41-D40)</f>
        <v>252234.442179155</v>
      </c>
      <c r="E43" s="26" t="n">
        <f aca="false">MAX(0,E41-E40)</f>
        <v>127646.163560695</v>
      </c>
      <c r="F43" s="26" t="n">
        <f aca="false">MAX(0,F41-F40)</f>
        <v>0</v>
      </c>
    </row>
    <row r="44" customFormat="false" ht="15" hidden="false" customHeight="false" outlineLevel="0" collapsed="false">
      <c r="A44" s="5" t="s">
        <v>315</v>
      </c>
      <c r="B44" s="26" t="n">
        <f aca="false">B42*INDEX(Annahmen!$B$122:$F$122,1,B$5)*(1+Annahmen!$B$123)</f>
        <v>0</v>
      </c>
      <c r="C44" s="26" t="n">
        <f aca="false">C42*INDEX(Annahmen!$B$122:$F$122,1,C$5)*(1+Annahmen!$B$123)</f>
        <v>0</v>
      </c>
      <c r="D44" s="26" t="n">
        <f aca="false">D42*INDEX(Annahmen!$B$122:$F$122,1,D$5)*(1+Annahmen!$B$123)</f>
        <v>0</v>
      </c>
      <c r="E44" s="26" t="n">
        <f aca="false">E42*INDEX(Annahmen!$B$122:$F$122,1,E$5)*(1+Annahmen!$B$123)</f>
        <v>0</v>
      </c>
      <c r="F44" s="26" t="n">
        <f aca="false">F42*INDEX(Annahmen!$B$122:$F$122,1,F$5)*(1+Annahmen!$B$123)</f>
        <v>28172.4220461492</v>
      </c>
    </row>
    <row r="45" customFormat="false" ht="15" hidden="false" customHeight="false" outlineLevel="0" collapsed="false">
      <c r="A45" s="5" t="s">
        <v>316</v>
      </c>
      <c r="B45" s="26" t="n">
        <f aca="false">B42*Annahmen!$B$125*Annahmen!$B$124</f>
        <v>0</v>
      </c>
      <c r="C45" s="26" t="n">
        <f aca="false">C42*Annahmen!$B$125*Annahmen!$B$124</f>
        <v>0</v>
      </c>
      <c r="D45" s="26" t="n">
        <f aca="false">D42*Annahmen!$B$125*Annahmen!$B$124</f>
        <v>0</v>
      </c>
      <c r="E45" s="26" t="n">
        <f aca="false">E42*Annahmen!$B$125*Annahmen!$B$124</f>
        <v>0</v>
      </c>
      <c r="F45" s="26" t="n">
        <f aca="false">F42*Annahmen!$B$125*Annahmen!$B$124</f>
        <v>33986.549646367</v>
      </c>
    </row>
    <row r="46" customFormat="false" ht="15" hidden="false" customHeight="false" outlineLevel="0" collapsed="false">
      <c r="A46" s="3" t="s">
        <v>317</v>
      </c>
      <c r="B46" s="30" t="n">
        <f aca="false">B44+B45</f>
        <v>0</v>
      </c>
      <c r="C46" s="30" t="n">
        <f aca="false">C44+C45</f>
        <v>0</v>
      </c>
      <c r="D46" s="30" t="n">
        <f aca="false">D44+D45</f>
        <v>0</v>
      </c>
      <c r="E46" s="30" t="n">
        <f aca="false">E44+E45</f>
        <v>0</v>
      </c>
      <c r="F46" s="30" t="n">
        <f aca="false">F44+F45</f>
        <v>62158.9716925163</v>
      </c>
    </row>
    <row r="47" customFormat="false" ht="15" hidden="false" customHeight="false" outlineLevel="0" collapsed="false">
      <c r="A47" s="22" t="s">
        <v>318</v>
      </c>
      <c r="B47" s="28" t="n">
        <f aca="false">B40-B46</f>
        <v>-106683.287643773</v>
      </c>
      <c r="C47" s="28" t="n">
        <f aca="false">C40-C46</f>
        <v>-145426.413683315</v>
      </c>
      <c r="D47" s="28" t="n">
        <f aca="false">D40-D46</f>
        <v>-124.740852067614</v>
      </c>
      <c r="E47" s="28" t="n">
        <f aca="false">E40-E46</f>
        <v>124588.27861846</v>
      </c>
      <c r="F47" s="28" t="n">
        <f aca="false">F40-F46</f>
        <v>308248.260770801</v>
      </c>
    </row>
    <row r="48" customFormat="false" ht="15" hidden="false" customHeight="false" outlineLevel="0" collapsed="false">
      <c r="A48" s="19" t="s">
        <v>319</v>
      </c>
      <c r="B48" s="20"/>
      <c r="C48" s="20"/>
      <c r="D48" s="20"/>
      <c r="E48" s="20"/>
      <c r="F48" s="20"/>
    </row>
    <row r="49" customFormat="false" ht="15" hidden="false" customHeight="false" outlineLevel="0" collapsed="false">
      <c r="A49" s="3" t="s">
        <v>320</v>
      </c>
      <c r="B49" s="30" t="n">
        <f aca="false">IF(B$5&lt;=3,INDEX('Monat 1–36'!$C$82:$AL$82,1,B$5*12),INDEX('Monat 37–60'!$C$82:$Z$82,1,B$5*12-36))</f>
        <v>243316.712356227</v>
      </c>
      <c r="C49" s="30" t="n">
        <f aca="false">IF(C$5&lt;=3,INDEX('Monat 1–36'!$C$82:$AL$82,1,C$5*12),INDEX('Monat 37–60'!$C$82:$Z$82,1,C$5*12-36))</f>
        <v>97890.2986729127</v>
      </c>
      <c r="D49" s="30" t="n">
        <f aca="false">IF(D$5&lt;=3,INDEX('Monat 1–36'!$C$82:$AL$82,1,D$5*12),INDEX('Monat 37–60'!$C$82:$Z$82,1,D$5*12-36))</f>
        <v>82140.5578208451</v>
      </c>
      <c r="E49" s="30" t="n">
        <f aca="false">IF(E$5&lt;=3,INDEX('Monat 1–36'!$C$82:$AL$82,1,E$5*12),INDEX('Monat 37–60'!$C$82:$Z$82,1,E$5*12-36))</f>
        <v>191103.836439305</v>
      </c>
      <c r="F49" s="30" t="n">
        <f aca="false">IF(F$5&lt;=3,INDEX('Monat 1–36'!$C$82:$AL$82,1,F$5*12),INDEX('Monat 37–60'!$C$82:$Z$82,1,F$5*12-36))</f>
        <v>545886.068902622</v>
      </c>
    </row>
    <row r="50" customFormat="false" ht="15" hidden="false" customHeight="false" outlineLevel="0" collapsed="false">
      <c r="A50" s="5" t="s">
        <v>321</v>
      </c>
      <c r="B50" s="26" t="n">
        <f aca="false">IF(B$5&lt;=3,INDEX('Monat 1–36'!$C$78:$AL$78,1,B$5*12),INDEX('Monat 37–60'!$C$78:$Z$78,1,B$5*12-36))</f>
        <v>125000</v>
      </c>
      <c r="C50" s="26" t="n">
        <f aca="false">IF(C$5&lt;=3,INDEX('Monat 1–36'!$C$78:$AL$78,1,C$5*12),INDEX('Monat 37–60'!$C$78:$Z$78,1,C$5*12-36))</f>
        <v>125000</v>
      </c>
      <c r="D50" s="26" t="n">
        <f aca="false">IF(D$5&lt;=3,INDEX('Monat 1–36'!$C$78:$AL$78,1,D$5*12),INDEX('Monat 37–60'!$C$78:$Z$78,1,D$5*12-36))</f>
        <v>109375</v>
      </c>
      <c r="E50" s="26" t="n">
        <f aca="false">IF(E$5&lt;=3,INDEX('Monat 1–36'!$C$78:$AL$78,1,E$5*12),INDEX('Monat 37–60'!$C$78:$Z$78,1,E$5*12-36))</f>
        <v>93750.0000000001</v>
      </c>
      <c r="F50" s="26" t="n">
        <f aca="false">IF(F$5&lt;=3,INDEX('Monat 1–36'!$C$78:$AL$78,1,F$5*12),INDEX('Monat 37–60'!$C$78:$Z$78,1,F$5*12-36))</f>
        <v>78125.0000000002</v>
      </c>
    </row>
    <row r="51" customFormat="false" ht="15" hidden="false" customHeight="false" outlineLevel="0" collapsed="false">
      <c r="A51" s="5" t="s">
        <v>322</v>
      </c>
      <c r="B51" s="25" t="n">
        <f aca="false">IF(B$5&lt;=3,INDEX('Monat 1–36'!$C$52:$AL$52,1,B$5*12),INDEX('Monat 37–60'!$C$52:$Z$52,1,B$5*12-36))</f>
        <v>3</v>
      </c>
      <c r="C51" s="25" t="n">
        <f aca="false">IF(C$5&lt;=3,INDEX('Monat 1–36'!$C$52:$AL$52,1,C$5*12),INDEX('Monat 37–60'!$C$52:$Z$52,1,C$5*12-36))</f>
        <v>6</v>
      </c>
      <c r="D51" s="25" t="n">
        <f aca="false">IF(D$5&lt;=3,INDEX('Monat 1–36'!$C$52:$AL$52,1,D$5*12),INDEX('Monat 37–60'!$C$52:$Z$52,1,D$5*12-36))</f>
        <v>8</v>
      </c>
      <c r="E51" s="25" t="n">
        <f aca="false">IF(E$5&lt;=3,INDEX('Monat 1–36'!$C$52:$AL$52,1,E$5*12),INDEX('Monat 37–60'!$C$52:$Z$52,1,E$5*12-36))</f>
        <v>11</v>
      </c>
      <c r="F51" s="25" t="n">
        <f aca="false">IF(F$5&lt;=3,INDEX('Monat 1–36'!$C$52:$AL$52,1,F$5*12),INDEX('Monat 37–60'!$C$52:$Z$52,1,F$5*12-36))</f>
        <v>13</v>
      </c>
    </row>
    <row r="52" customFormat="false" ht="15" hidden="false" customHeight="false" outlineLevel="0" collapsed="false">
      <c r="A52" s="5" t="s">
        <v>323</v>
      </c>
      <c r="B52" s="26" t="n">
        <f aca="false">IF(B51&gt;0,B22/B51,0)</f>
        <v>19519.8053092729</v>
      </c>
      <c r="C52" s="26" t="n">
        <f aca="false">IF(C51&gt;0,C22/C51,0)</f>
        <v>46879.8400144274</v>
      </c>
      <c r="D52" s="26" t="n">
        <f aca="false">IF(D51&gt;0,D22/D51,0)</f>
        <v>83269.2510048136</v>
      </c>
      <c r="E52" s="26" t="n">
        <f aca="false">IF(E51&gt;0,E22/E51,0)</f>
        <v>104778.991298461</v>
      </c>
      <c r="F52" s="26" t="n">
        <f aca="false">IF(F51&gt;0,F22/F51,0)</f>
        <v>128995.657018587</v>
      </c>
    </row>
    <row r="53" customFormat="false" ht="15" hidden="false" customHeight="false" outlineLevel="0" collapsed="false">
      <c r="A53" s="5" t="s">
        <v>324</v>
      </c>
      <c r="B53" s="26" t="n">
        <f aca="false">IF(B11&gt;0,(B29+B30+B31+SUMIF('Monat 1–36'!$C$4:$AL$4,B$5,'Monat 1–36'!$C$32:$AL$32)+SUMIF('Monat 37–60'!$C$4:$Z$4,B$5,'Monat 37–60'!$C$32:$Z$32))/B11,0)</f>
        <v>776.533333333333</v>
      </c>
      <c r="C53" s="26" t="n">
        <f aca="false">IF(C11&gt;0,(C29+C30+C31+SUMIF('Monat 1–36'!$C$4:$AL$4,C$5,'Monat 1–36'!$C$32:$AL$32)+SUMIF('Monat 37–60'!$C$4:$Z$4,C$5,'Monat 37–60'!$C$32:$Z$32))/C11,0)</f>
        <v>752.563545462743</v>
      </c>
      <c r="D53" s="26" t="n">
        <f aca="false">IF(D11&gt;0,(D29+D30+D31+SUMIF('Monat 1–36'!$C$4:$AL$4,D$5,'Monat 1–36'!$C$32:$AL$32)+SUMIF('Monat 37–60'!$C$4:$Z$4,D$5,'Monat 37–60'!$C$32:$Z$32))/D11,0)</f>
        <v>667.50690743867</v>
      </c>
      <c r="E53" s="26" t="n">
        <f aca="false">IF(E11&gt;0,(E29+E30+E31+SUMIF('Monat 1–36'!$C$4:$AL$4,E$5,'Monat 1–36'!$C$32:$AL$32)+SUMIF('Monat 37–60'!$C$4:$Z$4,E$5,'Monat 37–60'!$C$32:$Z$32))/E11,0)</f>
        <v>839.020689566096</v>
      </c>
      <c r="F53" s="26" t="n">
        <f aca="false">IF(F11&gt;0,(F29+F30+F31+SUMIF('Monat 1–36'!$C$4:$AL$4,F$5,'Monat 1–36'!$C$32:$AL$32)+SUMIF('Monat 37–60'!$C$4:$Z$4,F$5,'Monat 37–60'!$C$32:$Z$32))/F11,0)</f>
        <v>912.356786644853</v>
      </c>
    </row>
    <row r="54" customFormat="false" ht="15" hidden="false" customHeight="false" outlineLevel="0" collapsed="false">
      <c r="A54" s="5" t="s">
        <v>325</v>
      </c>
      <c r="B54" s="26" t="n">
        <f aca="false">IF(B13&gt;0,B19*B27/(B13/12),0)</f>
        <v>6879.77313212812</v>
      </c>
      <c r="C54" s="26" t="n">
        <f aca="false">IF(C13&gt;0,C19*C27/(C13/12),0)</f>
        <v>5450.33310813291</v>
      </c>
      <c r="D54" s="26" t="n">
        <f aca="false">IF(D13&gt;0,D19*D27/(D13/12),0)</f>
        <v>5096.41523033021</v>
      </c>
      <c r="E54" s="26" t="n">
        <f aca="false">IF(E13&gt;0,E19*E27/(E13/12),0)</f>
        <v>4976.08937242816</v>
      </c>
      <c r="F54" s="26" t="n">
        <f aca="false">IF(F13&gt;0,F19*F27/(F13/12),0)</f>
        <v>4998.36743939808</v>
      </c>
    </row>
    <row r="55" customFormat="false" ht="15" hidden="false" customHeight="false" outlineLevel="0" collapsed="false">
      <c r="A55" s="5" t="s">
        <v>326</v>
      </c>
      <c r="B55" s="34" t="n">
        <f aca="false">IF(B53&gt;0,B54/B53,0)</f>
        <v>8.85959795517873</v>
      </c>
      <c r="C55" s="34" t="n">
        <f aca="false">IF(C53&gt;0,C54/C53,0)</f>
        <v>7.24235599902937</v>
      </c>
      <c r="D55" s="34" t="n">
        <f aca="false">IF(D53&gt;0,D54/D53,0)</f>
        <v>7.63499998806899</v>
      </c>
      <c r="E55" s="34" t="n">
        <f aca="false">IF(E53&gt;0,E54/E53,0)</f>
        <v>5.93083035294585</v>
      </c>
      <c r="F55" s="34" t="n">
        <f aca="false">IF(F53&gt;0,F54/F53,0)</f>
        <v>5.47852278030323</v>
      </c>
    </row>
    <row r="56" customFormat="false" ht="15" hidden="false" customHeight="false" outlineLevel="0" collapsed="false">
      <c r="A56" s="5" t="s">
        <v>327</v>
      </c>
      <c r="B56" s="21" t="n">
        <f aca="false">IF(B19*B27&gt;0,B53/(B19*B27),0)</f>
        <v>6.57624444548826</v>
      </c>
      <c r="C56" s="21" t="n">
        <f aca="false">IF(C19*C27&gt;0,C53/(C19*C27),0)</f>
        <v>6.43673055574772</v>
      </c>
      <c r="D56" s="21" t="n">
        <f aca="false">IF(D19*D27&gt;0,D53/(D19*D27),0)</f>
        <v>5.7651358788241</v>
      </c>
      <c r="E56" s="21" t="n">
        <f aca="false">IF(E19*E27&gt;0,E53/(E19*E27),0)</f>
        <v>7.22290860104758</v>
      </c>
      <c r="F56" s="21" t="n">
        <f aca="false">IF(F19*F27&gt;0,F53/(F19*F27),0)</f>
        <v>7.84876501834659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6"/>
    <col collapsed="false" customWidth="true" hidden="false" outlineLevel="0" max="7" min="7" style="0" width="40"/>
  </cols>
  <sheetData>
    <row r="1" customFormat="false" ht="17.35" hidden="false" customHeight="false" outlineLevel="0" collapsed="false">
      <c r="A1" s="1" t="s">
        <v>328</v>
      </c>
    </row>
    <row r="3" customFormat="false" ht="15" hidden="false" customHeight="false" outlineLevel="0" collapsed="false">
      <c r="A3" s="6" t="s">
        <v>329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22" t="s">
        <v>330</v>
      </c>
      <c r="B4" s="24" t="n">
        <f aca="false">MIN('Monat 1–36'!$C$84:$AL$84,'Monat 37–60'!$C$84:$Z$84)</f>
        <v>30</v>
      </c>
    </row>
    <row r="5" customFormat="false" ht="15" hidden="false" customHeight="false" outlineLevel="0" collapsed="false">
      <c r="A5" s="5" t="s">
        <v>331</v>
      </c>
      <c r="B5" s="35" t="n">
        <f aca="false">IF(B4&lt;999,EDATE(Annahmen!$B$6,B4-1),"nicht erreicht")</f>
        <v>47270</v>
      </c>
    </row>
    <row r="6" customFormat="false" ht="15" hidden="false" customHeight="false" outlineLevel="0" collapsed="false">
      <c r="A6" s="3" t="s">
        <v>332</v>
      </c>
      <c r="B6" s="36" t="n">
        <f aca="false">MAX('Monat 1–36'!$C$85:$AL$85,'Monat 37–60'!$C$85:$Z$85)+1</f>
        <v>40</v>
      </c>
      <c r="C6" s="2" t="s">
        <v>333</v>
      </c>
    </row>
    <row r="7" customFormat="false" ht="15" hidden="false" customHeight="false" outlineLevel="0" collapsed="false">
      <c r="A7" s="5" t="s">
        <v>331</v>
      </c>
      <c r="B7" s="35" t="n">
        <f aca="false">IF(B6&lt;=60,EDATE(Annahmen!$B$6,B6-1),"nach Monat 60")</f>
        <v>47574</v>
      </c>
    </row>
    <row r="8" customFormat="false" ht="15" hidden="false" customHeight="false" outlineLevel="0" collapsed="false">
      <c r="A8" s="5" t="s">
        <v>334</v>
      </c>
      <c r="B8" s="25" t="n">
        <f aca="false">IF(B4&lt;=36,INDEX('Monat 1–36'!$C$13:$AL$13,1,B4),IF(B4&lt;=60,INDEX('Monat 37–60'!$C$13:$Z$13,1,B4-36),0))</f>
        <v>438.253772634903</v>
      </c>
    </row>
    <row r="9" customFormat="false" ht="15" hidden="false" customHeight="false" outlineLevel="0" collapsed="false">
      <c r="A9" s="5" t="s">
        <v>335</v>
      </c>
      <c r="B9" s="26" t="n">
        <f aca="false">IF(B4&lt;=36,INDEX('Monat 1–36'!$C$23:$AL$23,1,B4),IF(B4&lt;=60,INDEX('Monat 37–60'!$C$23:$Z$23,1,B4-36),0))</f>
        <v>54618.033994666</v>
      </c>
    </row>
    <row r="11" customFormat="false" ht="15" hidden="false" customHeight="false" outlineLevel="0" collapsed="false">
      <c r="A11" s="6" t="s">
        <v>336</v>
      </c>
      <c r="B11" s="6"/>
      <c r="C11" s="6"/>
      <c r="D11" s="6"/>
      <c r="E11" s="6"/>
      <c r="F11" s="6"/>
      <c r="G11" s="6"/>
    </row>
    <row r="12" customFormat="false" ht="15" hidden="false" customHeight="false" outlineLevel="0" collapsed="false">
      <c r="A12" s="3" t="s">
        <v>337</v>
      </c>
      <c r="B12" s="30" t="n">
        <f aca="false">MIN('Monat 1–36'!$C$83:$AL$83,'Monat 37–60'!$C$83:$Z$83)</f>
        <v>-297354.147576378</v>
      </c>
      <c r="C12" s="2" t="s">
        <v>338</v>
      </c>
    </row>
    <row r="13" customFormat="false" ht="15" hidden="false" customHeight="false" outlineLevel="0" collapsed="false">
      <c r="A13" s="5" t="s">
        <v>339</v>
      </c>
      <c r="B13" s="25" t="n">
        <f aca="false">IFERROR(MATCH(B12,'Monat 1–36'!$C$83:$AL$83,0),36+MATCH(B12,'Monat 37–60'!$C$83:$Z$83,0))</f>
        <v>31</v>
      </c>
    </row>
    <row r="14" customFormat="false" ht="15" hidden="false" customHeight="false" outlineLevel="0" collapsed="false">
      <c r="A14" s="5" t="s">
        <v>331</v>
      </c>
      <c r="B14" s="35" t="n">
        <f aca="false">EDATE(Annahmen!$B$6,B13-1)</f>
        <v>47300</v>
      </c>
    </row>
    <row r="15" customFormat="false" ht="15" hidden="false" customHeight="false" outlineLevel="0" collapsed="false">
      <c r="A15" s="5" t="s">
        <v>340</v>
      </c>
      <c r="B15" s="26" t="n">
        <f aca="false">Annahmen!$B$119</f>
        <v>50000</v>
      </c>
    </row>
    <row r="16" customFormat="false" ht="15" hidden="false" customHeight="false" outlineLevel="0" collapsed="false">
      <c r="A16" s="22" t="s">
        <v>341</v>
      </c>
      <c r="B16" s="28" t="n">
        <f aca="false">-B12+B15</f>
        <v>347354.147576378</v>
      </c>
    </row>
    <row r="17" customFormat="false" ht="15" hidden="false" customHeight="false" outlineLevel="0" collapsed="false">
      <c r="A17" s="3" t="s">
        <v>342</v>
      </c>
      <c r="B17" s="30" t="n">
        <f aca="false">Annahmen!$B$108+Annahmen!$B$110+Annahmen!$B$115+SUM('Monat 1–36'!$C$75:$AL$75)</f>
        <v>350000</v>
      </c>
    </row>
    <row r="18" customFormat="false" ht="15" hidden="false" customHeight="false" outlineLevel="0" collapsed="false">
      <c r="A18" s="3" t="s">
        <v>343</v>
      </c>
      <c r="B18" s="30" t="n">
        <f aca="false">B17-B16</f>
        <v>2645.85242362187</v>
      </c>
    </row>
    <row r="19" customFormat="false" ht="15" hidden="false" customHeight="false" outlineLevel="0" collapsed="false">
      <c r="A19" s="3" t="s">
        <v>344</v>
      </c>
      <c r="B19" s="30" t="n">
        <f aca="false">MIN('Monat 1–36'!$C$82:$AL$82,'Monat 37–60'!$C$82:$Z$82)</f>
        <v>52645.8524236217</v>
      </c>
    </row>
    <row r="20" customFormat="false" ht="15" hidden="false" customHeight="false" outlineLevel="0" collapsed="false">
      <c r="A20" s="5" t="s">
        <v>345</v>
      </c>
      <c r="B20" s="25" t="n">
        <f aca="false">MIN('Monat 1–36'!$C$86:$AL$86,'Monat 37–60'!$C$86:$Z$86)</f>
        <v>56</v>
      </c>
      <c r="C20" s="2" t="s">
        <v>346</v>
      </c>
    </row>
    <row r="22" customFormat="false" ht="15" hidden="false" customHeight="false" outlineLevel="0" collapsed="false">
      <c r="A22" s="6" t="s">
        <v>347</v>
      </c>
      <c r="B22" s="6"/>
      <c r="C22" s="6"/>
      <c r="D22" s="6"/>
      <c r="E22" s="6"/>
      <c r="F22" s="6"/>
      <c r="G22" s="6"/>
    </row>
    <row r="23" customFormat="false" ht="15" hidden="false" customHeight="false" outlineLevel="0" collapsed="false">
      <c r="B23" s="3" t="s">
        <v>348</v>
      </c>
      <c r="C23" s="3" t="s">
        <v>349</v>
      </c>
      <c r="D23" s="3" t="s">
        <v>350</v>
      </c>
      <c r="E23" s="3" t="s">
        <v>351</v>
      </c>
      <c r="F23" s="3" t="s">
        <v>352</v>
      </c>
    </row>
    <row r="24" customFormat="false" ht="15" hidden="false" customHeight="false" outlineLevel="0" collapsed="false">
      <c r="A24" s="5" t="s">
        <v>353</v>
      </c>
      <c r="B24" s="37" t="n">
        <f aca="false">'Monat 1–36'!N67</f>
        <v>18130</v>
      </c>
      <c r="C24" s="37" t="n">
        <f aca="false">'Monat 1–36'!Z67</f>
        <v>36316</v>
      </c>
      <c r="D24" s="37" t="n">
        <f aca="false">'Monat 1–36'!AL67</f>
        <v>52726.5542</v>
      </c>
      <c r="E24" s="37" t="n">
        <f aca="false">'Monat 37–60'!N67</f>
        <v>76414.626404</v>
      </c>
      <c r="F24" s="37" t="n">
        <f aca="false">'Monat 37–60'!Z67</f>
        <v>92064.29794884</v>
      </c>
    </row>
    <row r="25" customFormat="false" ht="15" hidden="false" customHeight="false" outlineLevel="0" collapsed="false">
      <c r="A25" s="5" t="s">
        <v>13</v>
      </c>
      <c r="B25" s="38" t="n">
        <f aca="false">'Monat 1–36'!N13</f>
        <v>85.6633505563109</v>
      </c>
      <c r="C25" s="38" t="n">
        <f aca="false">'Monat 1–36'!Z13</f>
        <v>300.022444903036</v>
      </c>
      <c r="D25" s="38" t="n">
        <f aca="false">'Monat 1–36'!AL13</f>
        <v>595.018081766534</v>
      </c>
      <c r="E25" s="38" t="n">
        <f aca="false">'Monat 37–60'!N13</f>
        <v>922.473550767096</v>
      </c>
      <c r="F25" s="38" t="n">
        <f aca="false">'Monat 37–60'!Z13</f>
        <v>1275.74306789165</v>
      </c>
    </row>
    <row r="26" customFormat="false" ht="15" hidden="false" customHeight="false" outlineLevel="0" collapsed="false">
      <c r="A26" s="5" t="s">
        <v>354</v>
      </c>
      <c r="B26" s="37" t="n">
        <f aca="false">'Monat 1–36'!N26</f>
        <v>10487.1383023823</v>
      </c>
      <c r="C26" s="37" t="n">
        <f aca="false">'Monat 1–36'!Z26</f>
        <v>36564.825466341</v>
      </c>
      <c r="D26" s="37" t="n">
        <f aca="false">'Monat 1–36'!AL26</f>
        <v>72906.1082057325</v>
      </c>
      <c r="E26" s="37" t="n">
        <f aca="false">'Monat 37–60'!N26</f>
        <v>114033.130185161</v>
      </c>
      <c r="F26" s="37" t="n">
        <f aca="false">'Monat 37–60'!Z26</f>
        <v>159577.12340189</v>
      </c>
    </row>
    <row r="27" customFormat="false" ht="15" hidden="false" customHeight="false" outlineLevel="0" collapsed="false">
      <c r="A27" s="5" t="s">
        <v>355</v>
      </c>
      <c r="B27" s="37" t="n">
        <f aca="false">'Monat 1–36'!N34</f>
        <v>310.758977151823</v>
      </c>
      <c r="C27" s="37" t="n">
        <f aca="false">'Monat 1–36'!Z34</f>
        <v>1958.05007105574</v>
      </c>
      <c r="D27" s="37" t="n">
        <f aca="false">'Monat 1–36'!AL34</f>
        <v>5679.36827761242</v>
      </c>
      <c r="E27" s="37" t="n">
        <f aca="false">'Monat 37–60'!N34</f>
        <v>10253.8506543473</v>
      </c>
      <c r="F27" s="37" t="n">
        <f aca="false">'Monat 37–60'!Z34</f>
        <v>16313.8712167572</v>
      </c>
    </row>
    <row r="28" customFormat="false" ht="15" hidden="false" customHeight="false" outlineLevel="0" collapsed="false">
      <c r="A28" s="5" t="s">
        <v>356</v>
      </c>
      <c r="B28" s="39" t="n">
        <f aca="false">IF(B25&gt;0,(B26-B27)/B25,0)</f>
        <v>118.795018629829</v>
      </c>
      <c r="C28" s="39" t="n">
        <f aca="false">IF(C25&gt;0,(C26-C27)/C25,0)</f>
        <v>115.34728812196</v>
      </c>
      <c r="D28" s="39" t="n">
        <f aca="false">IF(D25&gt;0,(D26-D27)/D25,0)</f>
        <v>112.982684036311</v>
      </c>
      <c r="E28" s="39" t="n">
        <f aca="false">IF(E25&gt;0,(E26-E27)/E25,0)</f>
        <v>112.501089537488</v>
      </c>
      <c r="F28" s="39" t="n">
        <f aca="false">IF(F25&gt;0,(F26-F27)/F25,0)</f>
        <v>112.29788802372</v>
      </c>
    </row>
    <row r="29" customFormat="false" ht="15" hidden="false" customHeight="false" outlineLevel="0" collapsed="false">
      <c r="A29" s="3" t="s">
        <v>357</v>
      </c>
      <c r="B29" s="24" t="n">
        <f aca="false">IF(B28&gt;0,B24/B28,0)</f>
        <v>152.615826901749</v>
      </c>
      <c r="C29" s="24" t="n">
        <f aca="false">IF(C28&gt;0,C24/C28,0)</f>
        <v>314.840518500983</v>
      </c>
      <c r="D29" s="24" t="n">
        <f aca="false">IF(D28&gt;0,D24/D28,0)</f>
        <v>466.678187456181</v>
      </c>
      <c r="E29" s="24" t="n">
        <f aca="false">IF(E28&gt;0,E24/E28,0)</f>
        <v>679.234545355554</v>
      </c>
      <c r="F29" s="24" t="n">
        <f aca="false">IF(F28&gt;0,F24/F28,0)</f>
        <v>819.822167353621</v>
      </c>
    </row>
    <row r="30" customFormat="false" ht="15" hidden="false" customHeight="false" outlineLevel="0" collapsed="false">
      <c r="A30" s="5" t="s">
        <v>358</v>
      </c>
      <c r="B30" s="38" t="n">
        <f aca="false">B25-B29</f>
        <v>-66.9524763454379</v>
      </c>
      <c r="C30" s="38" t="n">
        <f aca="false">C25-C29</f>
        <v>-14.8180735979465</v>
      </c>
      <c r="D30" s="38" t="n">
        <f aca="false">D25-D29</f>
        <v>128.339894310352</v>
      </c>
      <c r="E30" s="38" t="n">
        <f aca="false">E25-E29</f>
        <v>243.239005411543</v>
      </c>
      <c r="F30" s="38" t="n">
        <f aca="false">F25-F29</f>
        <v>455.920900538024</v>
      </c>
    </row>
    <row r="32" customFormat="false" ht="15" hidden="false" customHeight="false" outlineLevel="0" collapsed="false">
      <c r="A32" s="2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5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62" min="3" style="0" width="12"/>
  </cols>
  <sheetData>
    <row r="1" customFormat="false" ht="17.35" hidden="false" customHeight="false" outlineLevel="0" collapsed="false">
      <c r="A1" s="1" t="s">
        <v>360</v>
      </c>
    </row>
    <row r="2" customFormat="false" ht="15" hidden="false" customHeight="false" outlineLevel="0" collapsed="false">
      <c r="A2" s="2" t="s">
        <v>361</v>
      </c>
    </row>
    <row r="4" customFormat="false" ht="30" hidden="false" customHeight="true" outlineLevel="0" collapsed="false">
      <c r="A4" s="40" t="s">
        <v>362</v>
      </c>
      <c r="B4" s="40" t="s">
        <v>363</v>
      </c>
      <c r="C4" s="40" t="s">
        <v>364</v>
      </c>
      <c r="D4" s="40" t="s">
        <v>365</v>
      </c>
      <c r="E4" s="40" t="s">
        <v>366</v>
      </c>
      <c r="F4" s="40" t="s">
        <v>367</v>
      </c>
      <c r="G4" s="40" t="s">
        <v>368</v>
      </c>
      <c r="H4" s="40" t="s">
        <v>369</v>
      </c>
      <c r="I4" s="40" t="s">
        <v>370</v>
      </c>
      <c r="J4" s="40" t="s">
        <v>371</v>
      </c>
      <c r="K4" s="40" t="s">
        <v>372</v>
      </c>
      <c r="L4" s="40" t="s">
        <v>373</v>
      </c>
      <c r="M4" s="40" t="s">
        <v>374</v>
      </c>
      <c r="N4" s="40" t="s">
        <v>375</v>
      </c>
      <c r="O4" s="40" t="s">
        <v>376</v>
      </c>
      <c r="P4" s="40" t="s">
        <v>377</v>
      </c>
    </row>
    <row r="5" customFormat="false" ht="15" hidden="false" customHeight="false" outlineLevel="0" collapsed="false">
      <c r="A5" s="5" t="n">
        <v>1</v>
      </c>
      <c r="B5" s="3" t="s">
        <v>378</v>
      </c>
      <c r="C5" s="15" t="n">
        <v>1</v>
      </c>
      <c r="D5" s="15" t="n">
        <v>1</v>
      </c>
      <c r="E5" s="15" t="n">
        <v>1</v>
      </c>
      <c r="F5" s="24" t="n">
        <f aca="false">AL33</f>
        <v>595.018081766534</v>
      </c>
      <c r="G5" s="28" t="n">
        <f aca="false">AL34*12</f>
        <v>896787.893125042</v>
      </c>
      <c r="H5" s="24" t="n">
        <f aca="false">BJ33</f>
        <v>1275.74306789165</v>
      </c>
      <c r="I5" s="28" t="n">
        <f aca="false">BJ34*12</f>
        <v>1982530.40086598</v>
      </c>
      <c r="J5" s="28" t="n">
        <f aca="false">SUM(AA35:AL35)</f>
        <v>666154.008038509</v>
      </c>
      <c r="K5" s="28" t="n">
        <f aca="false">SUM(AY35:BJ35)</f>
        <v>1676943.54124164</v>
      </c>
      <c r="L5" s="28" t="n">
        <f aca="false">SUM(AA37:AL37)</f>
        <v>4588.800814599</v>
      </c>
      <c r="M5" s="28" t="n">
        <f aca="false">SUM(AY37:BJ37)</f>
        <v>373870.774129984</v>
      </c>
      <c r="N5" s="24" t="n">
        <f aca="false">IF(MIN(C39:BJ39)=999,"&gt; 60",MIN(C39:BJ39))</f>
        <v>30</v>
      </c>
      <c r="O5" s="28" t="n">
        <f aca="false">MAX(0,-MIN(C38:BJ38))</f>
        <v>297354.147576378</v>
      </c>
      <c r="P5" s="28" t="n">
        <f aca="false">O5-$O$5</f>
        <v>0</v>
      </c>
    </row>
    <row r="6" customFormat="false" ht="15" hidden="false" customHeight="false" outlineLevel="0" collapsed="false">
      <c r="A6" s="5" t="n">
        <v>2</v>
      </c>
      <c r="B6" s="5" t="s">
        <v>379</v>
      </c>
      <c r="C6" s="15" t="n">
        <v>1.5</v>
      </c>
      <c r="D6" s="15" t="n">
        <v>1</v>
      </c>
      <c r="E6" s="15" t="n">
        <v>1</v>
      </c>
      <c r="F6" s="38" t="n">
        <f aca="false">AL45</f>
        <v>528.957842367949</v>
      </c>
      <c r="G6" s="37" t="n">
        <f aca="false">AL46*12</f>
        <v>814110.275251819</v>
      </c>
      <c r="H6" s="38" t="n">
        <f aca="false">BJ45</f>
        <v>1065.95782532198</v>
      </c>
      <c r="I6" s="37" t="n">
        <f aca="false">BJ46*12</f>
        <v>1705530.70861661</v>
      </c>
      <c r="J6" s="37" t="n">
        <f aca="false">SUM(AA47:AL47)</f>
        <v>613413.627683331</v>
      </c>
      <c r="K6" s="37" t="n">
        <f aca="false">SUM(AY47:BJ47)</f>
        <v>1463457.14032305</v>
      </c>
      <c r="L6" s="37" t="n">
        <f aca="false">SUM(AA49:AL49)</f>
        <v>-44078.240004175</v>
      </c>
      <c r="M6" s="37" t="n">
        <f aca="false">SUM(AY49:BJ49)</f>
        <v>182157.667455873</v>
      </c>
      <c r="N6" s="38" t="n">
        <f aca="false">IF(MIN(C51:BJ51)=999,"&gt; 60",MIN(C51:BJ51))</f>
        <v>33</v>
      </c>
      <c r="O6" s="37" t="n">
        <f aca="false">MAX(0,-MIN(C50:BJ50))</f>
        <v>366820.464359284</v>
      </c>
      <c r="P6" s="37" t="n">
        <f aca="false">O6-$O$5</f>
        <v>69466.3167829057</v>
      </c>
    </row>
    <row r="7" customFormat="false" ht="15" hidden="false" customHeight="false" outlineLevel="0" collapsed="false">
      <c r="A7" s="5" t="n">
        <v>3</v>
      </c>
      <c r="B7" s="5" t="s">
        <v>380</v>
      </c>
      <c r="C7" s="15" t="n">
        <v>2</v>
      </c>
      <c r="D7" s="15" t="n">
        <v>1</v>
      </c>
      <c r="E7" s="15" t="n">
        <v>1</v>
      </c>
      <c r="F7" s="38" t="n">
        <f aca="false">AL57</f>
        <v>474.390532613136</v>
      </c>
      <c r="G7" s="37" t="n">
        <f aca="false">AL58*12</f>
        <v>743640.885110928</v>
      </c>
      <c r="H7" s="38" t="n">
        <f aca="false">BJ57</f>
        <v>909.25310209947</v>
      </c>
      <c r="I7" s="37" t="n">
        <f aca="false">BJ58*12</f>
        <v>1488932.54684719</v>
      </c>
      <c r="J7" s="37" t="n">
        <f aca="false">SUM(AA59:AL59)</f>
        <v>567651.291515107</v>
      </c>
      <c r="K7" s="37" t="n">
        <f aca="false">SUM(AY59:BJ59)</f>
        <v>1293642.8188608</v>
      </c>
      <c r="L7" s="37" t="n">
        <f aca="false">SUM(AA61:AL61)</f>
        <v>-86312.1468995787</v>
      </c>
      <c r="M7" s="37" t="n">
        <f aca="false">SUM(AY61:BJ61)</f>
        <v>29630.6679161575</v>
      </c>
      <c r="N7" s="38" t="n">
        <f aca="false">IF(MIN(C63:BJ63)=999,"&gt; 60",MIN(C63:BJ63))</f>
        <v>35</v>
      </c>
      <c r="O7" s="37" t="n">
        <f aca="false">MAX(0,-MIN(C62:BJ62))</f>
        <v>525116.710296687</v>
      </c>
      <c r="P7" s="37" t="n">
        <f aca="false">O7-$O$5</f>
        <v>227762.562720309</v>
      </c>
    </row>
    <row r="8" customFormat="false" ht="15" hidden="false" customHeight="false" outlineLevel="0" collapsed="false">
      <c r="A8" s="5" t="n">
        <v>4</v>
      </c>
      <c r="B8" s="5" t="s">
        <v>381</v>
      </c>
      <c r="C8" s="15" t="n">
        <v>0.7</v>
      </c>
      <c r="D8" s="15" t="n">
        <v>1</v>
      </c>
      <c r="E8" s="15" t="n">
        <v>1</v>
      </c>
      <c r="F8" s="38" t="n">
        <f aca="false">AL69</f>
        <v>641.503928116486</v>
      </c>
      <c r="G8" s="37" t="n">
        <f aca="false">AL70*12</f>
        <v>953454.268462155</v>
      </c>
      <c r="H8" s="38" t="n">
        <f aca="false">BJ69</f>
        <v>1437.4313709851</v>
      </c>
      <c r="I8" s="37" t="n">
        <f aca="false">BJ70*12</f>
        <v>2187571.54605119</v>
      </c>
      <c r="J8" s="37" t="n">
        <f aca="false">SUM(AA71:AL71)</f>
        <v>701754.866204748</v>
      </c>
      <c r="K8" s="37" t="n">
        <f aca="false">SUM(AY71:BJ71)</f>
        <v>1832545.10114277</v>
      </c>
      <c r="L8" s="37" t="n">
        <f aca="false">SUM(AA73:AL73)</f>
        <v>37436.0712973728</v>
      </c>
      <c r="M8" s="37" t="n">
        <f aca="false">SUM(AY73:BJ73)</f>
        <v>513575.910730006</v>
      </c>
      <c r="N8" s="38" t="n">
        <f aca="false">IF(MIN(C75:BJ75)=999,"&gt; 60",MIN(C75:BJ75))</f>
        <v>27</v>
      </c>
      <c r="O8" s="37" t="n">
        <f aca="false">MAX(0,-MIN(C74:BJ74))</f>
        <v>273609.553032491</v>
      </c>
      <c r="P8" s="37" t="n">
        <f aca="false">O8-$O$5</f>
        <v>-23744.5945438872</v>
      </c>
    </row>
    <row r="9" customFormat="false" ht="15" hidden="false" customHeight="false" outlineLevel="0" collapsed="false">
      <c r="A9" s="5" t="n">
        <v>5</v>
      </c>
      <c r="B9" s="5" t="s">
        <v>382</v>
      </c>
      <c r="C9" s="15" t="n">
        <v>1</v>
      </c>
      <c r="D9" s="15" t="n">
        <v>0.85</v>
      </c>
      <c r="E9" s="15" t="n">
        <v>1</v>
      </c>
      <c r="F9" s="38" t="n">
        <f aca="false">AL81</f>
        <v>595.018081766534</v>
      </c>
      <c r="G9" s="37" t="n">
        <f aca="false">AL82*12</f>
        <v>762269.709156286</v>
      </c>
      <c r="H9" s="38" t="n">
        <f aca="false">BJ81</f>
        <v>1275.74306789165</v>
      </c>
      <c r="I9" s="37" t="n">
        <f aca="false">BJ82*12</f>
        <v>1685150.84073608</v>
      </c>
      <c r="J9" s="37" t="n">
        <f aca="false">SUM(AA83:AL83)</f>
        <v>566230.906832732</v>
      </c>
      <c r="K9" s="37" t="n">
        <f aca="false">SUM(AY83:BJ83)</f>
        <v>1425402.01005539</v>
      </c>
      <c r="L9" s="37" t="n">
        <f aca="false">SUM(AA85:AL85)</f>
        <v>-89538.7605212423</v>
      </c>
      <c r="M9" s="37" t="n">
        <f aca="false">SUM(AY85:BJ85)</f>
        <v>143207.190032197</v>
      </c>
      <c r="N9" s="38" t="n">
        <f aca="false">IF(MIN(C87:BJ87)=999,"&gt; 60",MIN(C87:BJ87))</f>
        <v>35</v>
      </c>
      <c r="O9" s="37" t="n">
        <f aca="false">MAX(0,-MIN(C86:BJ86))</f>
        <v>485605.278107949</v>
      </c>
      <c r="P9" s="37" t="n">
        <f aca="false">O9-$O$5</f>
        <v>188251.130531571</v>
      </c>
    </row>
    <row r="10" customFormat="false" ht="15" hidden="false" customHeight="false" outlineLevel="0" collapsed="false">
      <c r="A10" s="5" t="n">
        <v>6</v>
      </c>
      <c r="B10" s="5" t="s">
        <v>383</v>
      </c>
      <c r="C10" s="15" t="n">
        <v>1</v>
      </c>
      <c r="D10" s="15" t="n">
        <v>1.1</v>
      </c>
      <c r="E10" s="15" t="n">
        <v>1</v>
      </c>
      <c r="F10" s="38" t="n">
        <f aca="false">AL93</f>
        <v>595.018081766534</v>
      </c>
      <c r="G10" s="37" t="n">
        <f aca="false">AL94*12</f>
        <v>986466.682437546</v>
      </c>
      <c r="H10" s="38" t="n">
        <f aca="false">BJ93</f>
        <v>1275.74306789165</v>
      </c>
      <c r="I10" s="37" t="n">
        <f aca="false">BJ94*12</f>
        <v>2180783.44095257</v>
      </c>
      <c r="J10" s="37" t="n">
        <f aca="false">SUM(AA95:AL95)</f>
        <v>732769.408842359</v>
      </c>
      <c r="K10" s="37" t="n">
        <f aca="false">SUM(AY95:BJ95)</f>
        <v>1844637.8953658</v>
      </c>
      <c r="L10" s="37" t="n">
        <f aca="false">SUM(AA97:AL97)</f>
        <v>67340.5083718266</v>
      </c>
      <c r="M10" s="37" t="n">
        <f aca="false">SUM(AY97:BJ97)</f>
        <v>527646.496861842</v>
      </c>
      <c r="N10" s="38" t="n">
        <f aca="false">IF(MIN(C99:BJ99)=999,"&gt; 60",MIN(C99:BJ99))</f>
        <v>24</v>
      </c>
      <c r="O10" s="37" t="n">
        <f aca="false">MAX(0,-MIN(C98:BJ98))</f>
        <v>241487.367483722</v>
      </c>
      <c r="P10" s="37" t="n">
        <f aca="false">O10-$O$5</f>
        <v>-55866.7800926565</v>
      </c>
    </row>
    <row r="11" customFormat="false" ht="15" hidden="false" customHeight="false" outlineLevel="0" collapsed="false">
      <c r="A11" s="5" t="n">
        <v>7</v>
      </c>
      <c r="B11" s="5" t="s">
        <v>384</v>
      </c>
      <c r="C11" s="15" t="n">
        <v>1</v>
      </c>
      <c r="D11" s="15" t="n">
        <v>1</v>
      </c>
      <c r="E11" s="15" t="n">
        <v>0.7</v>
      </c>
      <c r="F11" s="38" t="n">
        <f aca="false">AL105</f>
        <v>417.155162212121</v>
      </c>
      <c r="G11" s="37" t="n">
        <f aca="false">AL106*12</f>
        <v>628847.746863013</v>
      </c>
      <c r="H11" s="38" t="n">
        <f aca="false">BJ105</f>
        <v>893.397592498872</v>
      </c>
      <c r="I11" s="37" t="n">
        <f aca="false">BJ106*12</f>
        <v>1388491.2450883</v>
      </c>
      <c r="J11" s="37" t="n">
        <f aca="false">SUM(AA107:AL107)</f>
        <v>467460.570470432</v>
      </c>
      <c r="K11" s="37" t="n">
        <f aca="false">SUM(AY107:BJ107)</f>
        <v>1174613.74109353</v>
      </c>
      <c r="L11" s="37" t="n">
        <f aca="false">SUM(AA109:AL109)</f>
        <v>-178577.567671448</v>
      </c>
      <c r="M11" s="37" t="n">
        <f aca="false">SUM(AY109:BJ109)</f>
        <v>-77024.5161779414</v>
      </c>
      <c r="N11" s="38" t="n">
        <f aca="false">IF(MIN(C111:BJ111)=999,"&gt; 60",MIN(C111:BJ111))</f>
        <v>57</v>
      </c>
      <c r="O11" s="37" t="n">
        <f aca="false">MAX(0,-MIN(C110:BJ110))</f>
        <v>856932.060801668</v>
      </c>
      <c r="P11" s="37" t="n">
        <f aca="false">O11-$O$5</f>
        <v>559577.91322529</v>
      </c>
    </row>
    <row r="12" customFormat="false" ht="15" hidden="false" customHeight="false" outlineLevel="0" collapsed="false">
      <c r="A12" s="5" t="n">
        <v>8</v>
      </c>
      <c r="B12" s="5" t="s">
        <v>385</v>
      </c>
      <c r="C12" s="15" t="n">
        <v>1</v>
      </c>
      <c r="D12" s="15" t="n">
        <v>1</v>
      </c>
      <c r="E12" s="15" t="n">
        <v>0.5</v>
      </c>
      <c r="F12" s="38" t="n">
        <f aca="false">AL117</f>
        <v>298.579882509179</v>
      </c>
      <c r="G12" s="37" t="n">
        <f aca="false">AL118*12</f>
        <v>450220.982688327</v>
      </c>
      <c r="H12" s="38" t="n">
        <f aca="false">BJ117</f>
        <v>638.500608903689</v>
      </c>
      <c r="I12" s="37" t="n">
        <f aca="false">BJ118*12</f>
        <v>992465.141236518</v>
      </c>
      <c r="J12" s="37" t="n">
        <f aca="false">SUM(AA119:AL119)</f>
        <v>334998.278758382</v>
      </c>
      <c r="K12" s="37" t="n">
        <f aca="false">SUM(AY119:BJ119)</f>
        <v>839727.207661458</v>
      </c>
      <c r="L12" s="37" t="n">
        <f aca="false">SUM(AA121:AL121)</f>
        <v>-300688.479995478</v>
      </c>
      <c r="M12" s="37" t="n">
        <f aca="false">SUM(AY121:BJ121)</f>
        <v>-377621.376383225</v>
      </c>
      <c r="N12" s="38" t="str">
        <f aca="false">IF(MIN(C123:BJ123)=999,"&gt; 60",MIN(C123:BJ123))</f>
        <v>&gt; 60</v>
      </c>
      <c r="O12" s="37" t="n">
        <f aca="false">MAX(0,-MIN(C122:BJ122))</f>
        <v>1540021.98585933</v>
      </c>
      <c r="P12" s="37" t="n">
        <f aca="false">O12-$O$5</f>
        <v>1242667.83828296</v>
      </c>
    </row>
    <row r="13" customFormat="false" ht="15" hidden="false" customHeight="false" outlineLevel="0" collapsed="false">
      <c r="A13" s="5" t="n">
        <v>9</v>
      </c>
      <c r="B13" s="5" t="s">
        <v>386</v>
      </c>
      <c r="C13" s="15" t="n">
        <v>1</v>
      </c>
      <c r="D13" s="15" t="n">
        <v>1</v>
      </c>
      <c r="E13" s="15" t="n">
        <v>1.3</v>
      </c>
      <c r="F13" s="38" t="n">
        <f aca="false">AL129</f>
        <v>772.881001320946</v>
      </c>
      <c r="G13" s="37" t="n">
        <f aca="false">AL130*12</f>
        <v>1164728.03938707</v>
      </c>
      <c r="H13" s="38" t="n">
        <f aca="false">BJ129</f>
        <v>1658.08854328442</v>
      </c>
      <c r="I13" s="37" t="n">
        <f aca="false">BJ130*12</f>
        <v>2576569.55664365</v>
      </c>
      <c r="J13" s="37" t="n">
        <f aca="false">SUM(AA131:AL131)</f>
        <v>864847.445606585</v>
      </c>
      <c r="K13" s="37" t="n">
        <f aca="false">SUM(AY131:BJ131)</f>
        <v>2179273.34138974</v>
      </c>
      <c r="L13" s="37" t="n">
        <f aca="false">SUM(AA133:AL133)</f>
        <v>187755.169300645</v>
      </c>
      <c r="M13" s="37" t="n">
        <f aca="false">SUM(AY133:BJ133)</f>
        <v>824766.064437909</v>
      </c>
      <c r="N13" s="38" t="n">
        <f aca="false">IF(MIN(C135:BJ135)=999,"&gt; 60",MIN(C135:BJ135))</f>
        <v>20</v>
      </c>
      <c r="O13" s="37" t="n">
        <f aca="false">MAX(0,-MIN(C134:BJ134))</f>
        <v>171532.790925803</v>
      </c>
      <c r="P13" s="37" t="n">
        <f aca="false">O13-$O$5</f>
        <v>-125821.356650575</v>
      </c>
    </row>
    <row r="14" customFormat="false" ht="15" hidden="false" customHeight="false" outlineLevel="0" collapsed="false">
      <c r="A14" s="5" t="n">
        <v>10</v>
      </c>
      <c r="B14" s="5" t="s">
        <v>387</v>
      </c>
      <c r="C14" s="15" t="n">
        <v>1.5</v>
      </c>
      <c r="D14" s="15" t="n">
        <v>0.9</v>
      </c>
      <c r="E14" s="15" t="n">
        <v>0.7</v>
      </c>
      <c r="F14" s="38" t="n">
        <f aca="false">AL141</f>
        <v>370.697437126702</v>
      </c>
      <c r="G14" s="37" t="n">
        <f aca="false">AL142*12</f>
        <v>513604.575785798</v>
      </c>
      <c r="H14" s="38" t="n">
        <f aca="false">BJ141</f>
        <v>746.370010134615</v>
      </c>
      <c r="I14" s="37" t="n">
        <f aca="false">BJ142*12</f>
        <v>1074875.50970743</v>
      </c>
      <c r="J14" s="37" t="n">
        <f aca="false">SUM(AA143:AL143)</f>
        <v>387239.222074379</v>
      </c>
      <c r="K14" s="37" t="n">
        <f aca="false">SUM(AY143:BJ143)</f>
        <v>922404.865295554</v>
      </c>
      <c r="L14" s="37" t="n">
        <f aca="false">SUM(AA145:AL145)</f>
        <v>-253430.795476435</v>
      </c>
      <c r="M14" s="37" t="n">
        <f aca="false">SUM(AY145:BJ145)</f>
        <v>-305457.210395429</v>
      </c>
      <c r="N14" s="38" t="str">
        <f aca="false">IF(MIN(C147:BJ147)=999,"&gt; 60",MIN(C147:BJ147))</f>
        <v>&gt; 60</v>
      </c>
      <c r="O14" s="37" t="n">
        <f aca="false">MAX(0,-MIN(C146:BJ146))</f>
        <v>1326497.49048504</v>
      </c>
      <c r="P14" s="37" t="n">
        <f aca="false">O14-$O$5</f>
        <v>1029143.34290866</v>
      </c>
    </row>
    <row r="15" customFormat="false" ht="15" hidden="false" customHeight="false" outlineLevel="0" collapsed="false">
      <c r="A15" s="5" t="n">
        <v>11</v>
      </c>
      <c r="B15" s="5" t="s">
        <v>388</v>
      </c>
      <c r="C15" s="15" t="n">
        <v>0.8</v>
      </c>
      <c r="D15" s="15" t="n">
        <v>1</v>
      </c>
      <c r="E15" s="15" t="n">
        <v>1.2</v>
      </c>
      <c r="F15" s="38" t="n">
        <f aca="false">AL153</f>
        <v>749.934258472734</v>
      </c>
      <c r="G15" s="37" t="n">
        <f aca="false">AL154*12</f>
        <v>1119863.85934922</v>
      </c>
      <c r="H15" s="38" t="n">
        <f aca="false">BJ153</f>
        <v>1655.60192296215</v>
      </c>
      <c r="I15" s="37" t="n">
        <f aca="false">BJ154*12</f>
        <v>2537918.5929195</v>
      </c>
      <c r="J15" s="37" t="n">
        <f aca="false">SUM(AA155:AL155)</f>
        <v>826572.902544809</v>
      </c>
      <c r="K15" s="37" t="n">
        <f aca="false">SUM(AY155:BJ155)</f>
        <v>2133013.04669056</v>
      </c>
      <c r="L15" s="37" t="n">
        <f aca="false">SUM(AA157:AL157)</f>
        <v>152494.378488232</v>
      </c>
      <c r="M15" s="37" t="n">
        <f aca="false">SUM(AY157:BJ157)</f>
        <v>783273.344057412</v>
      </c>
      <c r="N15" s="38" t="n">
        <f aca="false">IF(MIN(C159:BJ159)=999,"&gt; 60",MIN(C159:BJ159))</f>
        <v>20</v>
      </c>
      <c r="O15" s="37" t="n">
        <f aca="false">MAX(0,-MIN(C158:BJ158))</f>
        <v>190311.722946433</v>
      </c>
      <c r="P15" s="37" t="n">
        <f aca="false">O15-$O$5</f>
        <v>-107042.424629945</v>
      </c>
    </row>
    <row r="16" customFormat="false" ht="15" hidden="false" customHeight="false" outlineLevel="0" collapsed="false">
      <c r="B16" s="2" t="s">
        <v>389</v>
      </c>
      <c r="I16" s="39" t="n">
        <f aca="false">ROUND(I5-'5 Jahre'!F18,2)</f>
        <v>0</v>
      </c>
      <c r="M16" s="39" t="n">
        <f aca="false">ROUND(M5-'5 Jahre'!F36,2)</f>
        <v>0</v>
      </c>
    </row>
    <row r="18" customFormat="false" ht="15" hidden="false" customHeight="false" outlineLevel="0" collapsed="false">
      <c r="A18" s="3" t="s">
        <v>390</v>
      </c>
    </row>
    <row r="19" customFormat="false" ht="15" hidden="false" customHeight="false" outlineLevel="0" collapsed="false">
      <c r="B19" s="5" t="s">
        <v>125</v>
      </c>
      <c r="C19" s="38" t="n">
        <f aca="false">'Monat 1–36'!C2</f>
        <v>1</v>
      </c>
      <c r="D19" s="38" t="n">
        <f aca="false">'Monat 1–36'!D2</f>
        <v>2</v>
      </c>
      <c r="E19" s="38" t="n">
        <f aca="false">'Monat 1–36'!E2</f>
        <v>3</v>
      </c>
      <c r="F19" s="38" t="n">
        <f aca="false">'Monat 1–36'!F2</f>
        <v>4</v>
      </c>
      <c r="G19" s="38" t="n">
        <f aca="false">'Monat 1–36'!G2</f>
        <v>5</v>
      </c>
      <c r="H19" s="38" t="n">
        <f aca="false">'Monat 1–36'!H2</f>
        <v>6</v>
      </c>
      <c r="I19" s="38" t="n">
        <f aca="false">'Monat 1–36'!I2</f>
        <v>7</v>
      </c>
      <c r="J19" s="38" t="n">
        <f aca="false">'Monat 1–36'!J2</f>
        <v>8</v>
      </c>
      <c r="K19" s="38" t="n">
        <f aca="false">'Monat 1–36'!K2</f>
        <v>9</v>
      </c>
      <c r="L19" s="38" t="n">
        <f aca="false">'Monat 1–36'!L2</f>
        <v>10</v>
      </c>
      <c r="M19" s="38" t="n">
        <f aca="false">'Monat 1–36'!M2</f>
        <v>11</v>
      </c>
      <c r="N19" s="38" t="n">
        <f aca="false">'Monat 1–36'!N2</f>
        <v>12</v>
      </c>
      <c r="O19" s="38" t="n">
        <f aca="false">'Monat 1–36'!O2</f>
        <v>13</v>
      </c>
      <c r="P19" s="38" t="n">
        <f aca="false">'Monat 1–36'!P2</f>
        <v>14</v>
      </c>
      <c r="Q19" s="38" t="n">
        <f aca="false">'Monat 1–36'!Q2</f>
        <v>15</v>
      </c>
      <c r="R19" s="38" t="n">
        <f aca="false">'Monat 1–36'!R2</f>
        <v>16</v>
      </c>
      <c r="S19" s="38" t="n">
        <f aca="false">'Monat 1–36'!S2</f>
        <v>17</v>
      </c>
      <c r="T19" s="38" t="n">
        <f aca="false">'Monat 1–36'!T2</f>
        <v>18</v>
      </c>
      <c r="U19" s="38" t="n">
        <f aca="false">'Monat 1–36'!U2</f>
        <v>19</v>
      </c>
      <c r="V19" s="38" t="n">
        <f aca="false">'Monat 1–36'!V2</f>
        <v>20</v>
      </c>
      <c r="W19" s="38" t="n">
        <f aca="false">'Monat 1–36'!W2</f>
        <v>21</v>
      </c>
      <c r="X19" s="38" t="n">
        <f aca="false">'Monat 1–36'!X2</f>
        <v>22</v>
      </c>
      <c r="Y19" s="38" t="n">
        <f aca="false">'Monat 1–36'!Y2</f>
        <v>23</v>
      </c>
      <c r="Z19" s="38" t="n">
        <f aca="false">'Monat 1–36'!Z2</f>
        <v>24</v>
      </c>
      <c r="AA19" s="38" t="n">
        <f aca="false">'Monat 1–36'!AA2</f>
        <v>25</v>
      </c>
      <c r="AB19" s="38" t="n">
        <f aca="false">'Monat 1–36'!AB2</f>
        <v>26</v>
      </c>
      <c r="AC19" s="38" t="n">
        <f aca="false">'Monat 1–36'!AC2</f>
        <v>27</v>
      </c>
      <c r="AD19" s="38" t="n">
        <f aca="false">'Monat 1–36'!AD2</f>
        <v>28</v>
      </c>
      <c r="AE19" s="38" t="n">
        <f aca="false">'Monat 1–36'!AE2</f>
        <v>29</v>
      </c>
      <c r="AF19" s="38" t="n">
        <f aca="false">'Monat 1–36'!AF2</f>
        <v>30</v>
      </c>
      <c r="AG19" s="38" t="n">
        <f aca="false">'Monat 1–36'!AG2</f>
        <v>31</v>
      </c>
      <c r="AH19" s="38" t="n">
        <f aca="false">'Monat 1–36'!AH2</f>
        <v>32</v>
      </c>
      <c r="AI19" s="38" t="n">
        <f aca="false">'Monat 1–36'!AI2</f>
        <v>33</v>
      </c>
      <c r="AJ19" s="38" t="n">
        <f aca="false">'Monat 1–36'!AJ2</f>
        <v>34</v>
      </c>
      <c r="AK19" s="38" t="n">
        <f aca="false">'Monat 1–36'!AK2</f>
        <v>35</v>
      </c>
      <c r="AL19" s="38" t="n">
        <f aca="false">'Monat 1–36'!AL2</f>
        <v>36</v>
      </c>
      <c r="AM19" s="38" t="n">
        <f aca="false">'Monat 37–60'!C2</f>
        <v>37</v>
      </c>
      <c r="AN19" s="38" t="n">
        <f aca="false">'Monat 37–60'!D2</f>
        <v>38</v>
      </c>
      <c r="AO19" s="38" t="n">
        <f aca="false">'Monat 37–60'!E2</f>
        <v>39</v>
      </c>
      <c r="AP19" s="38" t="n">
        <f aca="false">'Monat 37–60'!F2</f>
        <v>40</v>
      </c>
      <c r="AQ19" s="38" t="n">
        <f aca="false">'Monat 37–60'!G2</f>
        <v>41</v>
      </c>
      <c r="AR19" s="38" t="n">
        <f aca="false">'Monat 37–60'!H2</f>
        <v>42</v>
      </c>
      <c r="AS19" s="38" t="n">
        <f aca="false">'Monat 37–60'!I2</f>
        <v>43</v>
      </c>
      <c r="AT19" s="38" t="n">
        <f aca="false">'Monat 37–60'!J2</f>
        <v>44</v>
      </c>
      <c r="AU19" s="38" t="n">
        <f aca="false">'Monat 37–60'!K2</f>
        <v>45</v>
      </c>
      <c r="AV19" s="38" t="n">
        <f aca="false">'Monat 37–60'!L2</f>
        <v>46</v>
      </c>
      <c r="AW19" s="38" t="n">
        <f aca="false">'Monat 37–60'!M2</f>
        <v>47</v>
      </c>
      <c r="AX19" s="38" t="n">
        <f aca="false">'Monat 37–60'!N2</f>
        <v>48</v>
      </c>
      <c r="AY19" s="38" t="n">
        <f aca="false">'Monat 37–60'!O2</f>
        <v>49</v>
      </c>
      <c r="AZ19" s="38" t="n">
        <f aca="false">'Monat 37–60'!P2</f>
        <v>50</v>
      </c>
      <c r="BA19" s="38" t="n">
        <f aca="false">'Monat 37–60'!Q2</f>
        <v>51</v>
      </c>
      <c r="BB19" s="38" t="n">
        <f aca="false">'Monat 37–60'!R2</f>
        <v>52</v>
      </c>
      <c r="BC19" s="38" t="n">
        <f aca="false">'Monat 37–60'!S2</f>
        <v>53</v>
      </c>
      <c r="BD19" s="38" t="n">
        <f aca="false">'Monat 37–60'!T2</f>
        <v>54</v>
      </c>
      <c r="BE19" s="38" t="n">
        <f aca="false">'Monat 37–60'!U2</f>
        <v>55</v>
      </c>
      <c r="BF19" s="38" t="n">
        <f aca="false">'Monat 37–60'!V2</f>
        <v>56</v>
      </c>
      <c r="BG19" s="38" t="n">
        <f aca="false">'Monat 37–60'!W2</f>
        <v>57</v>
      </c>
      <c r="BH19" s="38" t="n">
        <f aca="false">'Monat 37–60'!X2</f>
        <v>58</v>
      </c>
      <c r="BI19" s="38" t="n">
        <f aca="false">'Monat 37–60'!Y2</f>
        <v>59</v>
      </c>
      <c r="BJ19" s="38" t="n">
        <f aca="false">'Monat 37–60'!Z2</f>
        <v>60</v>
      </c>
    </row>
    <row r="20" customFormat="false" ht="15" hidden="false" customHeight="false" outlineLevel="0" collapsed="false">
      <c r="B20" s="5" t="s">
        <v>215</v>
      </c>
      <c r="C20" s="38" t="n">
        <f aca="false">'Monat 1–36'!C4</f>
        <v>1</v>
      </c>
      <c r="D20" s="38" t="n">
        <f aca="false">'Monat 1–36'!D4</f>
        <v>1</v>
      </c>
      <c r="E20" s="38" t="n">
        <f aca="false">'Monat 1–36'!E4</f>
        <v>1</v>
      </c>
      <c r="F20" s="38" t="n">
        <f aca="false">'Monat 1–36'!F4</f>
        <v>1</v>
      </c>
      <c r="G20" s="38" t="n">
        <f aca="false">'Monat 1–36'!G4</f>
        <v>1</v>
      </c>
      <c r="H20" s="38" t="n">
        <f aca="false">'Monat 1–36'!H4</f>
        <v>1</v>
      </c>
      <c r="I20" s="38" t="n">
        <f aca="false">'Monat 1–36'!I4</f>
        <v>1</v>
      </c>
      <c r="J20" s="38" t="n">
        <f aca="false">'Monat 1–36'!J4</f>
        <v>1</v>
      </c>
      <c r="K20" s="38" t="n">
        <f aca="false">'Monat 1–36'!K4</f>
        <v>1</v>
      </c>
      <c r="L20" s="38" t="n">
        <f aca="false">'Monat 1–36'!L4</f>
        <v>1</v>
      </c>
      <c r="M20" s="38" t="n">
        <f aca="false">'Monat 1–36'!M4</f>
        <v>1</v>
      </c>
      <c r="N20" s="38" t="n">
        <f aca="false">'Monat 1–36'!N4</f>
        <v>1</v>
      </c>
      <c r="O20" s="38" t="n">
        <f aca="false">'Monat 1–36'!O4</f>
        <v>2</v>
      </c>
      <c r="P20" s="38" t="n">
        <f aca="false">'Monat 1–36'!P4</f>
        <v>2</v>
      </c>
      <c r="Q20" s="38" t="n">
        <f aca="false">'Monat 1–36'!Q4</f>
        <v>2</v>
      </c>
      <c r="R20" s="38" t="n">
        <f aca="false">'Monat 1–36'!R4</f>
        <v>2</v>
      </c>
      <c r="S20" s="38" t="n">
        <f aca="false">'Monat 1–36'!S4</f>
        <v>2</v>
      </c>
      <c r="T20" s="38" t="n">
        <f aca="false">'Monat 1–36'!T4</f>
        <v>2</v>
      </c>
      <c r="U20" s="38" t="n">
        <f aca="false">'Monat 1–36'!U4</f>
        <v>2</v>
      </c>
      <c r="V20" s="38" t="n">
        <f aca="false">'Monat 1–36'!V4</f>
        <v>2</v>
      </c>
      <c r="W20" s="38" t="n">
        <f aca="false">'Monat 1–36'!W4</f>
        <v>2</v>
      </c>
      <c r="X20" s="38" t="n">
        <f aca="false">'Monat 1–36'!X4</f>
        <v>2</v>
      </c>
      <c r="Y20" s="38" t="n">
        <f aca="false">'Monat 1–36'!Y4</f>
        <v>2</v>
      </c>
      <c r="Z20" s="38" t="n">
        <f aca="false">'Monat 1–36'!Z4</f>
        <v>2</v>
      </c>
      <c r="AA20" s="38" t="n">
        <f aca="false">'Monat 1–36'!AA4</f>
        <v>3</v>
      </c>
      <c r="AB20" s="38" t="n">
        <f aca="false">'Monat 1–36'!AB4</f>
        <v>3</v>
      </c>
      <c r="AC20" s="38" t="n">
        <f aca="false">'Monat 1–36'!AC4</f>
        <v>3</v>
      </c>
      <c r="AD20" s="38" t="n">
        <f aca="false">'Monat 1–36'!AD4</f>
        <v>3</v>
      </c>
      <c r="AE20" s="38" t="n">
        <f aca="false">'Monat 1–36'!AE4</f>
        <v>3</v>
      </c>
      <c r="AF20" s="38" t="n">
        <f aca="false">'Monat 1–36'!AF4</f>
        <v>3</v>
      </c>
      <c r="AG20" s="38" t="n">
        <f aca="false">'Monat 1–36'!AG4</f>
        <v>3</v>
      </c>
      <c r="AH20" s="38" t="n">
        <f aca="false">'Monat 1–36'!AH4</f>
        <v>3</v>
      </c>
      <c r="AI20" s="38" t="n">
        <f aca="false">'Monat 1–36'!AI4</f>
        <v>3</v>
      </c>
      <c r="AJ20" s="38" t="n">
        <f aca="false">'Monat 1–36'!AJ4</f>
        <v>3</v>
      </c>
      <c r="AK20" s="38" t="n">
        <f aca="false">'Monat 1–36'!AK4</f>
        <v>3</v>
      </c>
      <c r="AL20" s="38" t="n">
        <f aca="false">'Monat 1–36'!AL4</f>
        <v>3</v>
      </c>
      <c r="AM20" s="38" t="n">
        <f aca="false">'Monat 37–60'!C4</f>
        <v>4</v>
      </c>
      <c r="AN20" s="38" t="n">
        <f aca="false">'Monat 37–60'!D4</f>
        <v>4</v>
      </c>
      <c r="AO20" s="38" t="n">
        <f aca="false">'Monat 37–60'!E4</f>
        <v>4</v>
      </c>
      <c r="AP20" s="38" t="n">
        <f aca="false">'Monat 37–60'!F4</f>
        <v>4</v>
      </c>
      <c r="AQ20" s="38" t="n">
        <f aca="false">'Monat 37–60'!G4</f>
        <v>4</v>
      </c>
      <c r="AR20" s="38" t="n">
        <f aca="false">'Monat 37–60'!H4</f>
        <v>4</v>
      </c>
      <c r="AS20" s="38" t="n">
        <f aca="false">'Monat 37–60'!I4</f>
        <v>4</v>
      </c>
      <c r="AT20" s="38" t="n">
        <f aca="false">'Monat 37–60'!J4</f>
        <v>4</v>
      </c>
      <c r="AU20" s="38" t="n">
        <f aca="false">'Monat 37–60'!K4</f>
        <v>4</v>
      </c>
      <c r="AV20" s="38" t="n">
        <f aca="false">'Monat 37–60'!L4</f>
        <v>4</v>
      </c>
      <c r="AW20" s="38" t="n">
        <f aca="false">'Monat 37–60'!M4</f>
        <v>4</v>
      </c>
      <c r="AX20" s="38" t="n">
        <f aca="false">'Monat 37–60'!N4</f>
        <v>4</v>
      </c>
      <c r="AY20" s="38" t="n">
        <f aca="false">'Monat 37–60'!O4</f>
        <v>5</v>
      </c>
      <c r="AZ20" s="38" t="n">
        <f aca="false">'Monat 37–60'!P4</f>
        <v>5</v>
      </c>
      <c r="BA20" s="38" t="n">
        <f aca="false">'Monat 37–60'!Q4</f>
        <v>5</v>
      </c>
      <c r="BB20" s="38" t="n">
        <f aca="false">'Monat 37–60'!R4</f>
        <v>5</v>
      </c>
      <c r="BC20" s="38" t="n">
        <f aca="false">'Monat 37–60'!S4</f>
        <v>5</v>
      </c>
      <c r="BD20" s="38" t="n">
        <f aca="false">'Monat 37–60'!T4</f>
        <v>5</v>
      </c>
      <c r="BE20" s="38" t="n">
        <f aca="false">'Monat 37–60'!U4</f>
        <v>5</v>
      </c>
      <c r="BF20" s="38" t="n">
        <f aca="false">'Monat 37–60'!V4</f>
        <v>5</v>
      </c>
      <c r="BG20" s="38" t="n">
        <f aca="false">'Monat 37–60'!W4</f>
        <v>5</v>
      </c>
      <c r="BH20" s="38" t="n">
        <f aca="false">'Monat 37–60'!X4</f>
        <v>5</v>
      </c>
      <c r="BI20" s="38" t="n">
        <f aca="false">'Monat 37–60'!Y4</f>
        <v>5</v>
      </c>
      <c r="BJ20" s="38" t="n">
        <f aca="false">'Monat 37–60'!Z4</f>
        <v>5</v>
      </c>
    </row>
    <row r="21" customFormat="false" ht="15" hidden="false" customHeight="false" outlineLevel="0" collapsed="false">
      <c r="B21" s="5" t="s">
        <v>391</v>
      </c>
      <c r="C21" s="41" t="n">
        <f aca="false">'Monat 1–36'!C6</f>
        <v>3</v>
      </c>
      <c r="D21" s="41" t="n">
        <f aca="false">'Monat 1–36'!D6</f>
        <v>3</v>
      </c>
      <c r="E21" s="41" t="n">
        <f aca="false">'Monat 1–36'!E6</f>
        <v>3</v>
      </c>
      <c r="F21" s="41" t="n">
        <f aca="false">'Monat 1–36'!F6</f>
        <v>6</v>
      </c>
      <c r="G21" s="41" t="n">
        <f aca="false">'Monat 1–36'!G6</f>
        <v>6</v>
      </c>
      <c r="H21" s="41" t="n">
        <f aca="false">'Monat 1–36'!H6</f>
        <v>6</v>
      </c>
      <c r="I21" s="41" t="n">
        <f aca="false">'Monat 1–36'!I6</f>
        <v>9</v>
      </c>
      <c r="J21" s="41" t="n">
        <f aca="false">'Monat 1–36'!J6</f>
        <v>9</v>
      </c>
      <c r="K21" s="41" t="n">
        <f aca="false">'Monat 1–36'!K6</f>
        <v>9</v>
      </c>
      <c r="L21" s="41" t="n">
        <f aca="false">'Monat 1–36'!L6</f>
        <v>12</v>
      </c>
      <c r="M21" s="41" t="n">
        <f aca="false">'Monat 1–36'!M6</f>
        <v>12</v>
      </c>
      <c r="N21" s="41" t="n">
        <f aca="false">'Monat 1–36'!N6</f>
        <v>12</v>
      </c>
      <c r="O21" s="41" t="n">
        <f aca="false">'Monat 1–36'!O6</f>
        <v>16</v>
      </c>
      <c r="P21" s="41" t="n">
        <f aca="false">'Monat 1–36'!P6</f>
        <v>16</v>
      </c>
      <c r="Q21" s="41" t="n">
        <f aca="false">'Monat 1–36'!Q6</f>
        <v>16</v>
      </c>
      <c r="R21" s="41" t="n">
        <f aca="false">'Monat 1–36'!R6</f>
        <v>20</v>
      </c>
      <c r="S21" s="41" t="n">
        <f aca="false">'Monat 1–36'!S6</f>
        <v>20</v>
      </c>
      <c r="T21" s="41" t="n">
        <f aca="false">'Monat 1–36'!T6</f>
        <v>20</v>
      </c>
      <c r="U21" s="41" t="n">
        <f aca="false">'Monat 1–36'!U6</f>
        <v>24</v>
      </c>
      <c r="V21" s="41" t="n">
        <f aca="false">'Monat 1–36'!V6</f>
        <v>24</v>
      </c>
      <c r="W21" s="41" t="n">
        <f aca="false">'Monat 1–36'!W6</f>
        <v>24</v>
      </c>
      <c r="X21" s="41" t="n">
        <f aca="false">'Monat 1–36'!X6</f>
        <v>28</v>
      </c>
      <c r="Y21" s="41" t="n">
        <f aca="false">'Monat 1–36'!Y6</f>
        <v>28</v>
      </c>
      <c r="Z21" s="41" t="n">
        <f aca="false">'Monat 1–36'!Z6</f>
        <v>28</v>
      </c>
      <c r="AA21" s="41" t="n">
        <f aca="false">'Monat 1–36'!AA6</f>
        <v>30</v>
      </c>
      <c r="AB21" s="41" t="n">
        <f aca="false">'Monat 1–36'!AB6</f>
        <v>30</v>
      </c>
      <c r="AC21" s="41" t="n">
        <f aca="false">'Monat 1–36'!AC6</f>
        <v>30</v>
      </c>
      <c r="AD21" s="41" t="n">
        <f aca="false">'Monat 1–36'!AD6</f>
        <v>33</v>
      </c>
      <c r="AE21" s="41" t="n">
        <f aca="false">'Monat 1–36'!AE6</f>
        <v>33</v>
      </c>
      <c r="AF21" s="41" t="n">
        <f aca="false">'Monat 1–36'!AF6</f>
        <v>33</v>
      </c>
      <c r="AG21" s="41" t="n">
        <f aca="false">'Monat 1–36'!AG6</f>
        <v>36</v>
      </c>
      <c r="AH21" s="41" t="n">
        <f aca="false">'Monat 1–36'!AH6</f>
        <v>36</v>
      </c>
      <c r="AI21" s="41" t="n">
        <f aca="false">'Monat 1–36'!AI6</f>
        <v>36</v>
      </c>
      <c r="AJ21" s="41" t="n">
        <f aca="false">'Monat 1–36'!AJ6</f>
        <v>40</v>
      </c>
      <c r="AK21" s="41" t="n">
        <f aca="false">'Monat 1–36'!AK6</f>
        <v>40</v>
      </c>
      <c r="AL21" s="41" t="n">
        <f aca="false">'Monat 1–36'!AL6</f>
        <v>40</v>
      </c>
      <c r="AM21" s="41" t="n">
        <f aca="false">'Monat 37–60'!C6</f>
        <v>45</v>
      </c>
      <c r="AN21" s="41" t="n">
        <f aca="false">'Monat 37–60'!D6</f>
        <v>45</v>
      </c>
      <c r="AO21" s="41" t="n">
        <f aca="false">'Monat 37–60'!E6</f>
        <v>45</v>
      </c>
      <c r="AP21" s="41" t="n">
        <f aca="false">'Monat 37–60'!F6</f>
        <v>45</v>
      </c>
      <c r="AQ21" s="41" t="n">
        <f aca="false">'Monat 37–60'!G6</f>
        <v>45</v>
      </c>
      <c r="AR21" s="41" t="n">
        <f aca="false">'Monat 37–60'!H6</f>
        <v>45</v>
      </c>
      <c r="AS21" s="41" t="n">
        <f aca="false">'Monat 37–60'!I6</f>
        <v>45</v>
      </c>
      <c r="AT21" s="41" t="n">
        <f aca="false">'Monat 37–60'!J6</f>
        <v>45</v>
      </c>
      <c r="AU21" s="41" t="n">
        <f aca="false">'Monat 37–60'!K6</f>
        <v>45</v>
      </c>
      <c r="AV21" s="41" t="n">
        <f aca="false">'Monat 37–60'!L6</f>
        <v>45</v>
      </c>
      <c r="AW21" s="41" t="n">
        <f aca="false">'Monat 37–60'!M6</f>
        <v>45</v>
      </c>
      <c r="AX21" s="41" t="n">
        <f aca="false">'Monat 37–60'!N6</f>
        <v>45</v>
      </c>
      <c r="AY21" s="41" t="n">
        <f aca="false">'Monat 37–60'!O6</f>
        <v>55</v>
      </c>
      <c r="AZ21" s="41" t="n">
        <f aca="false">'Monat 37–60'!P6</f>
        <v>55</v>
      </c>
      <c r="BA21" s="41" t="n">
        <f aca="false">'Monat 37–60'!Q6</f>
        <v>55</v>
      </c>
      <c r="BB21" s="41" t="n">
        <f aca="false">'Monat 37–60'!R6</f>
        <v>55</v>
      </c>
      <c r="BC21" s="41" t="n">
        <f aca="false">'Monat 37–60'!S6</f>
        <v>55</v>
      </c>
      <c r="BD21" s="41" t="n">
        <f aca="false">'Monat 37–60'!T6</f>
        <v>55</v>
      </c>
      <c r="BE21" s="41" t="n">
        <f aca="false">'Monat 37–60'!U6</f>
        <v>55</v>
      </c>
      <c r="BF21" s="41" t="n">
        <f aca="false">'Monat 37–60'!V6</f>
        <v>55</v>
      </c>
      <c r="BG21" s="41" t="n">
        <f aca="false">'Monat 37–60'!W6</f>
        <v>55</v>
      </c>
      <c r="BH21" s="41" t="n">
        <f aca="false">'Monat 37–60'!X6</f>
        <v>55</v>
      </c>
      <c r="BI21" s="41" t="n">
        <f aca="false">'Monat 37–60'!Y6</f>
        <v>55</v>
      </c>
      <c r="BJ21" s="41" t="n">
        <f aca="false">'Monat 37–60'!Z6</f>
        <v>55</v>
      </c>
    </row>
    <row r="22" customFormat="false" ht="15" hidden="false" customHeight="false" outlineLevel="0" collapsed="false">
      <c r="B22" s="5" t="s">
        <v>392</v>
      </c>
      <c r="C22" s="37" t="n">
        <f aca="false">'Monat 1–36'!C67</f>
        <v>16960</v>
      </c>
      <c r="D22" s="37" t="n">
        <f aca="false">'Monat 1–36'!D67</f>
        <v>7160</v>
      </c>
      <c r="E22" s="37" t="n">
        <f aca="false">'Monat 1–36'!E67</f>
        <v>7960</v>
      </c>
      <c r="F22" s="37" t="n">
        <f aca="false">'Monat 1–36'!F67</f>
        <v>16160</v>
      </c>
      <c r="G22" s="37" t="n">
        <f aca="false">'Monat 1–36'!G67</f>
        <v>7160</v>
      </c>
      <c r="H22" s="37" t="n">
        <f aca="false">'Monat 1–36'!H67</f>
        <v>7160</v>
      </c>
      <c r="I22" s="37" t="n">
        <f aca="false">'Monat 1–36'!I67</f>
        <v>13598</v>
      </c>
      <c r="J22" s="37" t="n">
        <f aca="false">'Monat 1–36'!J67</f>
        <v>11798</v>
      </c>
      <c r="K22" s="37" t="n">
        <f aca="false">'Monat 1–36'!K67</f>
        <v>11798</v>
      </c>
      <c r="L22" s="37" t="n">
        <f aca="false">'Monat 1–36'!L67</f>
        <v>22430</v>
      </c>
      <c r="M22" s="37" t="n">
        <f aca="false">'Monat 1–36'!M67</f>
        <v>18130</v>
      </c>
      <c r="N22" s="37" t="n">
        <f aca="false">'Monat 1–36'!N67</f>
        <v>18130</v>
      </c>
      <c r="O22" s="37" t="n">
        <f aca="false">'Monat 1–36'!O67</f>
        <v>33395.24</v>
      </c>
      <c r="P22" s="37" t="n">
        <f aca="false">'Monat 1–36'!P67</f>
        <v>29795.24</v>
      </c>
      <c r="Q22" s="37" t="n">
        <f aca="false">'Monat 1–36'!Q67</f>
        <v>36795.24</v>
      </c>
      <c r="R22" s="37" t="n">
        <f aca="false">'Monat 1–36'!R67</f>
        <v>29795.24</v>
      </c>
      <c r="S22" s="37" t="n">
        <f aca="false">'Monat 1–36'!S67</f>
        <v>29795.24</v>
      </c>
      <c r="T22" s="37" t="n">
        <f aca="false">'Monat 1–36'!T67</f>
        <v>29795.24</v>
      </c>
      <c r="U22" s="37" t="n">
        <f aca="false">'Monat 1–36'!U67</f>
        <v>29795.24</v>
      </c>
      <c r="V22" s="37" t="n">
        <f aca="false">'Monat 1–36'!V67</f>
        <v>29795.24</v>
      </c>
      <c r="W22" s="37" t="n">
        <f aca="false">'Monat 1–36'!W67</f>
        <v>43795.24</v>
      </c>
      <c r="X22" s="37" t="n">
        <f aca="false">'Monat 1–36'!X67</f>
        <v>41116</v>
      </c>
      <c r="Y22" s="37" t="n">
        <f aca="false">'Monat 1–36'!Y67</f>
        <v>36316</v>
      </c>
      <c r="Z22" s="37" t="n">
        <f aca="false">'Monat 1–36'!Z67</f>
        <v>36316</v>
      </c>
      <c r="AA22" s="37" t="n">
        <f aca="false">'Monat 1–36'!AA67</f>
        <v>42633.78</v>
      </c>
      <c r="AB22" s="37" t="n">
        <f aca="false">'Monat 1–36'!AB67</f>
        <v>42633.78</v>
      </c>
      <c r="AC22" s="37" t="n">
        <f aca="false">'Monat 1–36'!AC67</f>
        <v>42633.78</v>
      </c>
      <c r="AD22" s="37" t="n">
        <f aca="false">'Monat 1–36'!AD67</f>
        <v>64351.7982</v>
      </c>
      <c r="AE22" s="37" t="n">
        <f aca="false">'Monat 1–36'!AE67</f>
        <v>47551.7982</v>
      </c>
      <c r="AF22" s="37" t="n">
        <f aca="false">'Monat 1–36'!AF67</f>
        <v>47551.7982</v>
      </c>
      <c r="AG22" s="37" t="n">
        <f aca="false">'Monat 1–36'!AG67</f>
        <v>54526.5542</v>
      </c>
      <c r="AH22" s="37" t="n">
        <f aca="false">'Monat 1–36'!AH67</f>
        <v>52726.5542</v>
      </c>
      <c r="AI22" s="37" t="n">
        <f aca="false">'Monat 1–36'!AI67</f>
        <v>52726.5542</v>
      </c>
      <c r="AJ22" s="37" t="n">
        <f aca="false">'Monat 1–36'!AJ67</f>
        <v>56726.5542</v>
      </c>
      <c r="AK22" s="37" t="n">
        <f aca="false">'Monat 1–36'!AK67</f>
        <v>52726.5542</v>
      </c>
      <c r="AL22" s="37" t="n">
        <f aca="false">'Monat 1–36'!AL67</f>
        <v>52726.5542</v>
      </c>
      <c r="AM22" s="37" t="n">
        <f aca="false">'Monat 37–60'!C67</f>
        <v>74950.267658</v>
      </c>
      <c r="AN22" s="37" t="n">
        <f aca="false">'Monat 37–60'!D67</f>
        <v>71350.267658</v>
      </c>
      <c r="AO22" s="37" t="n">
        <f aca="false">'Monat 37–60'!E67</f>
        <v>81350.267658</v>
      </c>
      <c r="AP22" s="37" t="n">
        <f aca="false">'Monat 37–60'!F67</f>
        <v>71350.267658</v>
      </c>
      <c r="AQ22" s="37" t="n">
        <f aca="false">'Monat 37–60'!G67</f>
        <v>71350.267658</v>
      </c>
      <c r="AR22" s="37" t="n">
        <f aca="false">'Monat 37–60'!H67</f>
        <v>71350.267658</v>
      </c>
      <c r="AS22" s="37" t="n">
        <f aca="false">'Monat 37–60'!I67</f>
        <v>78214.626404</v>
      </c>
      <c r="AT22" s="37" t="n">
        <f aca="false">'Monat 37–60'!J67</f>
        <v>76414.626404</v>
      </c>
      <c r="AU22" s="37" t="n">
        <f aca="false">'Monat 37–60'!K67</f>
        <v>94414.626404</v>
      </c>
      <c r="AV22" s="37" t="n">
        <f aca="false">'Monat 37–60'!L67</f>
        <v>76414.626404</v>
      </c>
      <c r="AW22" s="37" t="n">
        <f aca="false">'Monat 37–60'!M67</f>
        <v>76414.626404</v>
      </c>
      <c r="AX22" s="37" t="n">
        <f aca="false">'Monat 37–60'!N67</f>
        <v>76414.626404</v>
      </c>
      <c r="AY22" s="37" t="n">
        <f aca="false">'Monat 37–60'!O67</f>
        <v>95664.29794884</v>
      </c>
      <c r="AZ22" s="37" t="n">
        <f aca="false">'Monat 37–60'!P67</f>
        <v>92064.29794884</v>
      </c>
      <c r="BA22" s="37" t="n">
        <f aca="false">'Monat 37–60'!Q67</f>
        <v>92064.29794884</v>
      </c>
      <c r="BB22" s="37" t="n">
        <f aca="false">'Monat 37–60'!R67</f>
        <v>110064.29794884</v>
      </c>
      <c r="BC22" s="37" t="n">
        <f aca="false">'Monat 37–60'!S67</f>
        <v>92064.29794884</v>
      </c>
      <c r="BD22" s="37" t="n">
        <f aca="false">'Monat 37–60'!T67</f>
        <v>92064.29794884</v>
      </c>
      <c r="BE22" s="37" t="n">
        <f aca="false">'Monat 37–60'!U67</f>
        <v>92064.29794884</v>
      </c>
      <c r="BF22" s="37" t="n">
        <f aca="false">'Monat 37–60'!V67</f>
        <v>92064.29794884</v>
      </c>
      <c r="BG22" s="37" t="n">
        <f aca="false">'Monat 37–60'!W67</f>
        <v>92064.29794884</v>
      </c>
      <c r="BH22" s="37" t="n">
        <f aca="false">'Monat 37–60'!X67</f>
        <v>97064.29794884</v>
      </c>
      <c r="BI22" s="37" t="n">
        <f aca="false">'Monat 37–60'!Y67</f>
        <v>92064.29794884</v>
      </c>
      <c r="BJ22" s="37" t="n">
        <f aca="false">'Monat 37–60'!Z67</f>
        <v>92064.29794884</v>
      </c>
    </row>
    <row r="23" customFormat="false" ht="15" hidden="false" customHeight="false" outlineLevel="0" collapsed="false">
      <c r="B23" s="5" t="s">
        <v>393</v>
      </c>
      <c r="C23" s="37" t="n">
        <f aca="false">'Monat 1–36'!C76</f>
        <v>416.666666666667</v>
      </c>
      <c r="D23" s="37" t="n">
        <f aca="false">'Monat 1–36'!D76</f>
        <v>416.666666666667</v>
      </c>
      <c r="E23" s="37" t="n">
        <f aca="false">'Monat 1–36'!E76</f>
        <v>416.666666666667</v>
      </c>
      <c r="F23" s="37" t="n">
        <f aca="false">'Monat 1–36'!F76</f>
        <v>416.666666666667</v>
      </c>
      <c r="G23" s="37" t="n">
        <f aca="false">'Monat 1–36'!G76</f>
        <v>416.666666666667</v>
      </c>
      <c r="H23" s="37" t="n">
        <f aca="false">'Monat 1–36'!H76</f>
        <v>416.666666666667</v>
      </c>
      <c r="I23" s="37" t="n">
        <f aca="false">'Monat 1–36'!I76</f>
        <v>416.666666666667</v>
      </c>
      <c r="J23" s="37" t="n">
        <f aca="false">'Monat 1–36'!J76</f>
        <v>416.666666666667</v>
      </c>
      <c r="K23" s="37" t="n">
        <f aca="false">'Monat 1–36'!K76</f>
        <v>416.666666666667</v>
      </c>
      <c r="L23" s="37" t="n">
        <f aca="false">'Monat 1–36'!L76</f>
        <v>416.666666666667</v>
      </c>
      <c r="M23" s="37" t="n">
        <f aca="false">'Monat 1–36'!M76</f>
        <v>416.666666666667</v>
      </c>
      <c r="N23" s="37" t="n">
        <f aca="false">'Monat 1–36'!N76</f>
        <v>416.666666666667</v>
      </c>
      <c r="O23" s="37" t="n">
        <f aca="false">'Monat 1–36'!O76</f>
        <v>416.666666666667</v>
      </c>
      <c r="P23" s="37" t="n">
        <f aca="false">'Monat 1–36'!P76</f>
        <v>416.666666666667</v>
      </c>
      <c r="Q23" s="37" t="n">
        <f aca="false">'Monat 1–36'!Q76</f>
        <v>416.666666666667</v>
      </c>
      <c r="R23" s="37" t="n">
        <f aca="false">'Monat 1–36'!R76</f>
        <v>416.666666666667</v>
      </c>
      <c r="S23" s="37" t="n">
        <f aca="false">'Monat 1–36'!S76</f>
        <v>416.666666666667</v>
      </c>
      <c r="T23" s="37" t="n">
        <f aca="false">'Monat 1–36'!T76</f>
        <v>416.666666666667</v>
      </c>
      <c r="U23" s="37" t="n">
        <f aca="false">'Monat 1–36'!U76</f>
        <v>416.666666666667</v>
      </c>
      <c r="V23" s="37" t="n">
        <f aca="false">'Monat 1–36'!V76</f>
        <v>416.666666666667</v>
      </c>
      <c r="W23" s="37" t="n">
        <f aca="false">'Monat 1–36'!W76</f>
        <v>416.666666666667</v>
      </c>
      <c r="X23" s="37" t="n">
        <f aca="false">'Monat 1–36'!X76</f>
        <v>416.666666666667</v>
      </c>
      <c r="Y23" s="37" t="n">
        <f aca="false">'Monat 1–36'!Y76</f>
        <v>416.666666666667</v>
      </c>
      <c r="Z23" s="37" t="n">
        <f aca="false">'Monat 1–36'!Z76</f>
        <v>416.666666666667</v>
      </c>
      <c r="AA23" s="37" t="n">
        <f aca="false">'Monat 1–36'!AA76</f>
        <v>416.666666666667</v>
      </c>
      <c r="AB23" s="37" t="n">
        <f aca="false">'Monat 1–36'!AB76</f>
        <v>412.326388888889</v>
      </c>
      <c r="AC23" s="37" t="n">
        <f aca="false">'Monat 1–36'!AC76</f>
        <v>407.986111111111</v>
      </c>
      <c r="AD23" s="37" t="n">
        <f aca="false">'Monat 1–36'!AD76</f>
        <v>403.645833333333</v>
      </c>
      <c r="AE23" s="37" t="n">
        <f aca="false">'Monat 1–36'!AE76</f>
        <v>399.305555555556</v>
      </c>
      <c r="AF23" s="37" t="n">
        <f aca="false">'Monat 1–36'!AF76</f>
        <v>394.965277777778</v>
      </c>
      <c r="AG23" s="37" t="n">
        <f aca="false">'Monat 1–36'!AG76</f>
        <v>390.625</v>
      </c>
      <c r="AH23" s="37" t="n">
        <f aca="false">'Monat 1–36'!AH76</f>
        <v>386.284722222222</v>
      </c>
      <c r="AI23" s="37" t="n">
        <f aca="false">'Monat 1–36'!AI76</f>
        <v>381.944444444445</v>
      </c>
      <c r="AJ23" s="37" t="n">
        <f aca="false">'Monat 1–36'!AJ76</f>
        <v>377.604166666667</v>
      </c>
      <c r="AK23" s="37" t="n">
        <f aca="false">'Monat 1–36'!AK76</f>
        <v>373.263888888889</v>
      </c>
      <c r="AL23" s="37" t="n">
        <f aca="false">'Monat 1–36'!AL76</f>
        <v>368.923611111111</v>
      </c>
      <c r="AM23" s="37" t="n">
        <f aca="false">'Monat 37–60'!C76</f>
        <v>364.583333333334</v>
      </c>
      <c r="AN23" s="37" t="n">
        <f aca="false">'Monat 37–60'!D76</f>
        <v>360.243055555556</v>
      </c>
      <c r="AO23" s="37" t="n">
        <f aca="false">'Monat 37–60'!E76</f>
        <v>355.902777777778</v>
      </c>
      <c r="AP23" s="37" t="n">
        <f aca="false">'Monat 37–60'!F76</f>
        <v>351.5625</v>
      </c>
      <c r="AQ23" s="37" t="n">
        <f aca="false">'Monat 37–60'!G76</f>
        <v>347.222222222222</v>
      </c>
      <c r="AR23" s="37" t="n">
        <f aca="false">'Monat 37–60'!H76</f>
        <v>342.881944444445</v>
      </c>
      <c r="AS23" s="37" t="n">
        <f aca="false">'Monat 37–60'!I76</f>
        <v>338.541666666667</v>
      </c>
      <c r="AT23" s="37" t="n">
        <f aca="false">'Monat 37–60'!J76</f>
        <v>334.201388888889</v>
      </c>
      <c r="AU23" s="37" t="n">
        <f aca="false">'Monat 37–60'!K76</f>
        <v>329.861111111111</v>
      </c>
      <c r="AV23" s="37" t="n">
        <f aca="false">'Monat 37–60'!L76</f>
        <v>325.520833333334</v>
      </c>
      <c r="AW23" s="37" t="n">
        <f aca="false">'Monat 37–60'!M76</f>
        <v>321.180555555556</v>
      </c>
      <c r="AX23" s="37" t="n">
        <f aca="false">'Monat 37–60'!N76</f>
        <v>316.840277777778</v>
      </c>
      <c r="AY23" s="37" t="n">
        <f aca="false">'Monat 37–60'!O76</f>
        <v>312.5</v>
      </c>
      <c r="AZ23" s="37" t="n">
        <f aca="false">'Monat 37–60'!P76</f>
        <v>308.159722222223</v>
      </c>
      <c r="BA23" s="37" t="n">
        <f aca="false">'Monat 37–60'!Q76</f>
        <v>303.819444444445</v>
      </c>
      <c r="BB23" s="37" t="n">
        <f aca="false">'Monat 37–60'!R76</f>
        <v>299.479166666667</v>
      </c>
      <c r="BC23" s="37" t="n">
        <f aca="false">'Monat 37–60'!S76</f>
        <v>295.138888888889</v>
      </c>
      <c r="BD23" s="37" t="n">
        <f aca="false">'Monat 37–60'!T76</f>
        <v>290.798611111112</v>
      </c>
      <c r="BE23" s="37" t="n">
        <f aca="false">'Monat 37–60'!U76</f>
        <v>286.458333333334</v>
      </c>
      <c r="BF23" s="37" t="n">
        <f aca="false">'Monat 37–60'!V76</f>
        <v>282.118055555556</v>
      </c>
      <c r="BG23" s="37" t="n">
        <f aca="false">'Monat 37–60'!W76</f>
        <v>277.777777777778</v>
      </c>
      <c r="BH23" s="37" t="n">
        <f aca="false">'Monat 37–60'!X76</f>
        <v>273.437500000001</v>
      </c>
      <c r="BI23" s="37" t="n">
        <f aca="false">'Monat 37–60'!Y76</f>
        <v>269.097222222223</v>
      </c>
      <c r="BJ23" s="37" t="n">
        <f aca="false">'Monat 37–60'!Z76</f>
        <v>264.756944444445</v>
      </c>
    </row>
    <row r="24" customFormat="false" ht="15" hidden="false" customHeight="false" outlineLevel="0" collapsed="false">
      <c r="B24" s="5" t="s">
        <v>394</v>
      </c>
      <c r="C24" s="37" t="n">
        <f aca="false">'Monat 1–36'!C77</f>
        <v>0</v>
      </c>
      <c r="D24" s="37" t="n">
        <f aca="false">'Monat 1–36'!D77</f>
        <v>0</v>
      </c>
      <c r="E24" s="37" t="n">
        <f aca="false">'Monat 1–36'!E77</f>
        <v>0</v>
      </c>
      <c r="F24" s="37" t="n">
        <f aca="false">'Monat 1–36'!F77</f>
        <v>0</v>
      </c>
      <c r="G24" s="37" t="n">
        <f aca="false">'Monat 1–36'!G77</f>
        <v>0</v>
      </c>
      <c r="H24" s="37" t="n">
        <f aca="false">'Monat 1–36'!H77</f>
        <v>0</v>
      </c>
      <c r="I24" s="37" t="n">
        <f aca="false">'Monat 1–36'!I77</f>
        <v>0</v>
      </c>
      <c r="J24" s="37" t="n">
        <f aca="false">'Monat 1–36'!J77</f>
        <v>0</v>
      </c>
      <c r="K24" s="37" t="n">
        <f aca="false">'Monat 1–36'!K77</f>
        <v>0</v>
      </c>
      <c r="L24" s="37" t="n">
        <f aca="false">'Monat 1–36'!L77</f>
        <v>0</v>
      </c>
      <c r="M24" s="37" t="n">
        <f aca="false">'Monat 1–36'!M77</f>
        <v>0</v>
      </c>
      <c r="N24" s="37" t="n">
        <f aca="false">'Monat 1–36'!N77</f>
        <v>0</v>
      </c>
      <c r="O24" s="37" t="n">
        <f aca="false">'Monat 1–36'!O77</f>
        <v>0</v>
      </c>
      <c r="P24" s="37" t="n">
        <f aca="false">'Monat 1–36'!P77</f>
        <v>0</v>
      </c>
      <c r="Q24" s="37" t="n">
        <f aca="false">'Monat 1–36'!Q77</f>
        <v>0</v>
      </c>
      <c r="R24" s="37" t="n">
        <f aca="false">'Monat 1–36'!R77</f>
        <v>0</v>
      </c>
      <c r="S24" s="37" t="n">
        <f aca="false">'Monat 1–36'!S77</f>
        <v>0</v>
      </c>
      <c r="T24" s="37" t="n">
        <f aca="false">'Monat 1–36'!T77</f>
        <v>0</v>
      </c>
      <c r="U24" s="37" t="n">
        <f aca="false">'Monat 1–36'!U77</f>
        <v>0</v>
      </c>
      <c r="V24" s="37" t="n">
        <f aca="false">'Monat 1–36'!V77</f>
        <v>0</v>
      </c>
      <c r="W24" s="37" t="n">
        <f aca="false">'Monat 1–36'!W77</f>
        <v>0</v>
      </c>
      <c r="X24" s="37" t="n">
        <f aca="false">'Monat 1–36'!X77</f>
        <v>0</v>
      </c>
      <c r="Y24" s="37" t="n">
        <f aca="false">'Monat 1–36'!Y77</f>
        <v>0</v>
      </c>
      <c r="Z24" s="37" t="n">
        <f aca="false">'Monat 1–36'!Z77</f>
        <v>0</v>
      </c>
      <c r="AA24" s="37" t="n">
        <f aca="false">'Monat 1–36'!AA77</f>
        <v>1302.08333333333</v>
      </c>
      <c r="AB24" s="37" t="n">
        <f aca="false">'Monat 1–36'!AB77</f>
        <v>1302.08333333333</v>
      </c>
      <c r="AC24" s="37" t="n">
        <f aca="false">'Monat 1–36'!AC77</f>
        <v>1302.08333333333</v>
      </c>
      <c r="AD24" s="37" t="n">
        <f aca="false">'Monat 1–36'!AD77</f>
        <v>1302.08333333333</v>
      </c>
      <c r="AE24" s="37" t="n">
        <f aca="false">'Monat 1–36'!AE77</f>
        <v>1302.08333333333</v>
      </c>
      <c r="AF24" s="37" t="n">
        <f aca="false">'Monat 1–36'!AF77</f>
        <v>1302.08333333333</v>
      </c>
      <c r="AG24" s="37" t="n">
        <f aca="false">'Monat 1–36'!AG77</f>
        <v>1302.08333333333</v>
      </c>
      <c r="AH24" s="37" t="n">
        <f aca="false">'Monat 1–36'!AH77</f>
        <v>1302.08333333333</v>
      </c>
      <c r="AI24" s="37" t="n">
        <f aca="false">'Monat 1–36'!AI77</f>
        <v>1302.08333333333</v>
      </c>
      <c r="AJ24" s="37" t="n">
        <f aca="false">'Monat 1–36'!AJ77</f>
        <v>1302.08333333333</v>
      </c>
      <c r="AK24" s="37" t="n">
        <f aca="false">'Monat 1–36'!AK77</f>
        <v>1302.08333333333</v>
      </c>
      <c r="AL24" s="37" t="n">
        <f aca="false">'Monat 1–36'!AL77</f>
        <v>1302.08333333333</v>
      </c>
      <c r="AM24" s="37" t="n">
        <f aca="false">'Monat 37–60'!C77</f>
        <v>1302.08333333333</v>
      </c>
      <c r="AN24" s="37" t="n">
        <f aca="false">'Monat 37–60'!D77</f>
        <v>1302.08333333333</v>
      </c>
      <c r="AO24" s="37" t="n">
        <f aca="false">'Monat 37–60'!E77</f>
        <v>1302.08333333333</v>
      </c>
      <c r="AP24" s="37" t="n">
        <f aca="false">'Monat 37–60'!F77</f>
        <v>1302.08333333333</v>
      </c>
      <c r="AQ24" s="37" t="n">
        <f aca="false">'Monat 37–60'!G77</f>
        <v>1302.08333333333</v>
      </c>
      <c r="AR24" s="37" t="n">
        <f aca="false">'Monat 37–60'!H77</f>
        <v>1302.08333333333</v>
      </c>
      <c r="AS24" s="37" t="n">
        <f aca="false">'Monat 37–60'!I77</f>
        <v>1302.08333333333</v>
      </c>
      <c r="AT24" s="37" t="n">
        <f aca="false">'Monat 37–60'!J77</f>
        <v>1302.08333333333</v>
      </c>
      <c r="AU24" s="37" t="n">
        <f aca="false">'Monat 37–60'!K77</f>
        <v>1302.08333333333</v>
      </c>
      <c r="AV24" s="37" t="n">
        <f aca="false">'Monat 37–60'!L77</f>
        <v>1302.08333333333</v>
      </c>
      <c r="AW24" s="37" t="n">
        <f aca="false">'Monat 37–60'!M77</f>
        <v>1302.08333333333</v>
      </c>
      <c r="AX24" s="37" t="n">
        <f aca="false">'Monat 37–60'!N77</f>
        <v>1302.08333333333</v>
      </c>
      <c r="AY24" s="37" t="n">
        <f aca="false">'Monat 37–60'!O77</f>
        <v>1302.08333333333</v>
      </c>
      <c r="AZ24" s="37" t="n">
        <f aca="false">'Monat 37–60'!P77</f>
        <v>1302.08333333333</v>
      </c>
      <c r="BA24" s="37" t="n">
        <f aca="false">'Monat 37–60'!Q77</f>
        <v>1302.08333333333</v>
      </c>
      <c r="BB24" s="37" t="n">
        <f aca="false">'Monat 37–60'!R77</f>
        <v>1302.08333333333</v>
      </c>
      <c r="BC24" s="37" t="n">
        <f aca="false">'Monat 37–60'!S77</f>
        <v>1302.08333333333</v>
      </c>
      <c r="BD24" s="37" t="n">
        <f aca="false">'Monat 37–60'!T77</f>
        <v>1302.08333333333</v>
      </c>
      <c r="BE24" s="37" t="n">
        <f aca="false">'Monat 37–60'!U77</f>
        <v>1302.08333333333</v>
      </c>
      <c r="BF24" s="37" t="n">
        <f aca="false">'Monat 37–60'!V77</f>
        <v>1302.08333333333</v>
      </c>
      <c r="BG24" s="37" t="n">
        <f aca="false">'Monat 37–60'!W77</f>
        <v>1302.08333333333</v>
      </c>
      <c r="BH24" s="37" t="n">
        <f aca="false">'Monat 37–60'!X77</f>
        <v>1302.08333333333</v>
      </c>
      <c r="BI24" s="37" t="n">
        <f aca="false">'Monat 37–60'!Y77</f>
        <v>1302.08333333333</v>
      </c>
      <c r="BJ24" s="37" t="n">
        <f aca="false">'Monat 37–60'!Z77</f>
        <v>1302.08333333333</v>
      </c>
    </row>
    <row r="25" customFormat="false" ht="15" hidden="false" customHeight="false" outlineLevel="0" collapsed="false">
      <c r="B25" s="5" t="s">
        <v>395</v>
      </c>
      <c r="C25" s="37" t="n">
        <f aca="false">'Monat 1–36'!C70</f>
        <v>-15956.233710864</v>
      </c>
      <c r="D25" s="37" t="n">
        <f aca="false">'Monat 1–36'!D70</f>
        <v>-5841.84336699043</v>
      </c>
      <c r="E25" s="37" t="n">
        <f aca="false">'Monat 1–36'!E70</f>
        <v>-6333.46152700041</v>
      </c>
      <c r="F25" s="37" t="n">
        <f aca="false">'Monat 1–36'!F70</f>
        <v>-13768.4848541602</v>
      </c>
      <c r="G25" s="37" t="n">
        <f aca="false">'Monat 1–36'!G70</f>
        <v>-4146.96436371527</v>
      </c>
      <c r="H25" s="37" t="n">
        <f aca="false">'Monat 1–36'!H70</f>
        <v>-3537.30775400685</v>
      </c>
      <c r="I25" s="37" t="n">
        <f aca="false">'Monat 1–36'!I70</f>
        <v>-8914.78721308101</v>
      </c>
      <c r="J25" s="37" t="n">
        <f aca="false">'Monat 1–36'!J70</f>
        <v>-6203.33218331164</v>
      </c>
      <c r="K25" s="37" t="n">
        <f aca="false">'Monat 1–36'!K70</f>
        <v>-5309.23161978265</v>
      </c>
      <c r="L25" s="37" t="n">
        <f aca="false">'Monat 1–36'!L70</f>
        <v>-14601.6417260862</v>
      </c>
      <c r="M25" s="37" t="n">
        <f aca="false">'Monat 1–36'!M70</f>
        <v>-9116.37865000445</v>
      </c>
      <c r="N25" s="37" t="n">
        <f aca="false">'Monat 1–36'!N70</f>
        <v>-7953.62067476948</v>
      </c>
      <c r="O25" s="37" t="n">
        <f aca="false">'Monat 1–36'!O70</f>
        <v>-21769.0850026682</v>
      </c>
      <c r="P25" s="37" t="n">
        <f aca="false">'Monat 1–36'!P70</f>
        <v>-16656.7462870515</v>
      </c>
      <c r="Q25" s="37" t="n">
        <f aca="false">'Monat 1–36'!Q70</f>
        <v>-22173.067067267</v>
      </c>
      <c r="R25" s="37" t="n">
        <f aca="false">'Monat 1–36'!R70</f>
        <v>-13116.9235402436</v>
      </c>
      <c r="S25" s="37" t="n">
        <f aca="false">'Monat 1–36'!S70</f>
        <v>-11266.8486429726</v>
      </c>
      <c r="T25" s="37" t="n">
        <f aca="false">'Monat 1–36'!T70</f>
        <v>-9451.75142116781</v>
      </c>
      <c r="U25" s="37" t="n">
        <f aca="false">'Monat 1–36'!U70</f>
        <v>-7070.37614222533</v>
      </c>
      <c r="V25" s="37" t="n">
        <f aca="false">'Monat 1–36'!V70</f>
        <v>-4901.12684311963</v>
      </c>
      <c r="W25" s="37" t="n">
        <f aca="false">'Monat 1–36'!W70</f>
        <v>-16772.7866240581</v>
      </c>
      <c r="X25" s="37" t="n">
        <f aca="false">'Monat 1–36'!X70</f>
        <v>-11404.7366884006</v>
      </c>
      <c r="Y25" s="37" t="n">
        <f aca="false">'Monat 1–36'!Y70</f>
        <v>-4133.74081942565</v>
      </c>
      <c r="Z25" s="37" t="n">
        <f aca="false">'Monat 1–36'!Z70</f>
        <v>-1709.22460471473</v>
      </c>
      <c r="AA25" s="37" t="n">
        <f aca="false">'Monat 1–36'!AA70</f>
        <v>-6332.60866575596</v>
      </c>
      <c r="AB25" s="37" t="n">
        <f aca="false">'Monat 1–36'!AB70</f>
        <v>-3854.27387248458</v>
      </c>
      <c r="AC25" s="37" t="n">
        <f aca="false">'Monat 1–36'!AC70</f>
        <v>-1422.3481459344</v>
      </c>
      <c r="AD25" s="37" t="n">
        <f aca="false">'Monat 1–36'!AD70</f>
        <v>-20315.5780115431</v>
      </c>
      <c r="AE25" s="37" t="n">
        <f aca="false">'Monat 1–36'!AE70</f>
        <v>-865.490350247754</v>
      </c>
      <c r="AF25" s="37" t="n">
        <f aca="false">'Monat 1–36'!AF70</f>
        <v>1735.121780595</v>
      </c>
      <c r="AG25" s="37" t="n">
        <f aca="false">'Monat 1–36'!AG70</f>
        <v>-2249.16481725348</v>
      </c>
      <c r="AH25" s="37" t="n">
        <f aca="false">'Monat 1–36'!AH70</f>
        <v>2363.65835571838</v>
      </c>
      <c r="AI25" s="37" t="n">
        <f aca="false">'Monat 1–36'!AI70</f>
        <v>5124.11890807631</v>
      </c>
      <c r="AJ25" s="37" t="n">
        <f aca="false">'Monat 1–36'!AJ70</f>
        <v>4417.70737778064</v>
      </c>
      <c r="AK25" s="37" t="n">
        <f aca="false">'Monat 1–36'!AK70</f>
        <v>11487.472527528</v>
      </c>
      <c r="AL25" s="37" t="n">
        <f aca="false">'Monat 1–36'!AL70</f>
        <v>14500.1857281201</v>
      </c>
      <c r="AM25" s="37" t="n">
        <f aca="false">'Monat 37–60'!C70</f>
        <v>-4997.59134363233</v>
      </c>
      <c r="AN25" s="37" t="n">
        <f aca="false">'Monat 37–60'!D70</f>
        <v>1971.80729570752</v>
      </c>
      <c r="AO25" s="37" t="n">
        <f aca="false">'Monat 37–60'!E70</f>
        <v>-4721.3656125688</v>
      </c>
      <c r="AP25" s="37" t="n">
        <f aca="false">'Monat 37–60'!F70</f>
        <v>8524.18751003918</v>
      </c>
      <c r="AQ25" s="37" t="n">
        <f aca="false">'Monat 37–60'!G70</f>
        <v>11709.7346183518</v>
      </c>
      <c r="AR25" s="37" t="n">
        <f aca="false">'Monat 37–60'!H70</f>
        <v>14836.5147735985</v>
      </c>
      <c r="AS25" s="37" t="n">
        <f aca="false">'Monat 37–60'!I70</f>
        <v>11041.380108447</v>
      </c>
      <c r="AT25" s="37" t="n">
        <f aca="false">'Monat 37–60'!J70</f>
        <v>15854.2315034924</v>
      </c>
      <c r="AU25" s="37" t="n">
        <f aca="false">'Monat 37–60'!K70</f>
        <v>811.866785708742</v>
      </c>
      <c r="AV25" s="37" t="n">
        <f aca="false">'Monat 37–60'!L70</f>
        <v>21715.4163693555</v>
      </c>
      <c r="AW25" s="37" t="n">
        <f aca="false">'Monat 37–60'!M70</f>
        <v>24565.9851498133</v>
      </c>
      <c r="AX25" s="37" t="n">
        <f aca="false">'Monat 37–60'!N70</f>
        <v>27364.6531268135</v>
      </c>
      <c r="AY25" s="37" t="n">
        <f aca="false">'Monat 37–60'!O70</f>
        <v>10820.418774363</v>
      </c>
      <c r="AZ25" s="37" t="n">
        <f aca="false">'Monat 37–60'!P70</f>
        <v>18080.5954252742</v>
      </c>
      <c r="BA25" s="37" t="n">
        <f aca="false">'Monat 37–60'!Q70</f>
        <v>21673.4712755641</v>
      </c>
      <c r="BB25" s="37" t="n">
        <f aca="false">'Monat 37–60'!R70</f>
        <v>7200.42889451691</v>
      </c>
      <c r="BC25" s="37" t="n">
        <f aca="false">'Monat 37–60'!S70</f>
        <v>28662.8195398101</v>
      </c>
      <c r="BD25" s="37" t="n">
        <f aca="false">'Monat 37–60'!T70</f>
        <v>32061.9639243167</v>
      </c>
      <c r="BE25" s="37" t="n">
        <f aca="false">'Monat 37–60'!U70</f>
        <v>35399.1529629851</v>
      </c>
      <c r="BF25" s="37" t="n">
        <f aca="false">'Monat 37–60'!V70</f>
        <v>38675.648500337</v>
      </c>
      <c r="BG25" s="37" t="n">
        <f aca="false">'Monat 37–60'!W70</f>
        <v>41892.6840191095</v>
      </c>
      <c r="BH25" s="37" t="n">
        <f aca="false">'Monat 37–60'!X70</f>
        <v>40051.4653305503</v>
      </c>
      <c r="BI25" s="37" t="n">
        <f aca="false">'Monat 37–60'!Y70</f>
        <v>48153.1712468642</v>
      </c>
      <c r="BJ25" s="37" t="n">
        <f aca="false">'Monat 37–60'!Z70</f>
        <v>51198.9542362925</v>
      </c>
    </row>
    <row r="28" customFormat="false" ht="15" hidden="false" customHeight="false" outlineLevel="0" collapsed="false">
      <c r="B28" s="19" t="str">
        <f aca="false">"Szenario "&amp;A5&amp;": "&amp;B5</f>
        <v>Szenario 1: Basisplan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</row>
    <row r="29" customFormat="false" ht="15" hidden="false" customHeight="false" outlineLevel="0" collapsed="false">
      <c r="B29" s="5" t="s">
        <v>396</v>
      </c>
      <c r="C29" s="41" t="n">
        <f aca="false">Annahmen!$B$7*Annahmen!$B$19*(1-Annahmen!$B$31*$C$5)+C$21*$E$5*Annahmen!$B$19</f>
        <v>3.925</v>
      </c>
      <c r="D29" s="41" t="n">
        <f aca="false">C29*(1-Annahmen!$B$31*$C$5)+D$21*$E$5*Annahmen!$B$19</f>
        <v>5.30725</v>
      </c>
      <c r="E29" s="41" t="n">
        <f aca="false">D29*(1-Annahmen!$B$31*$C$5)+E$21*$E$5*Annahmen!$B$19</f>
        <v>6.6480325</v>
      </c>
      <c r="F29" s="41" t="n">
        <f aca="false">E29*(1-Annahmen!$B$31*$C$5)+F$21*$E$5*Annahmen!$B$19</f>
        <v>9.448591525</v>
      </c>
      <c r="G29" s="41" t="n">
        <f aca="false">F29*(1-Annahmen!$B$31*$C$5)+G$21*$E$5*Annahmen!$B$19</f>
        <v>12.16513377925</v>
      </c>
      <c r="H29" s="41" t="n">
        <f aca="false">G29*(1-Annahmen!$B$31*$C$5)+H$21*$E$5*Annahmen!$B$19</f>
        <v>14.8001797658725</v>
      </c>
      <c r="I29" s="41" t="n">
        <f aca="false">H29*(1-Annahmen!$B$31*$C$5)+I$21*$E$5*Annahmen!$B$19</f>
        <v>18.8561743728963</v>
      </c>
      <c r="J29" s="41" t="n">
        <f aca="false">I29*(1-Annahmen!$B$31*$C$5)+J$21*$E$5*Annahmen!$B$19</f>
        <v>22.7904891417094</v>
      </c>
      <c r="K29" s="41" t="n">
        <f aca="false">J29*(1-Annahmen!$B$31*$C$5)+K$21*$E$5*Annahmen!$B$19</f>
        <v>26.6067744674582</v>
      </c>
      <c r="L29" s="41" t="n">
        <f aca="false">K29*(1-Annahmen!$B$31*$C$5)+L$21*$E$5*Annahmen!$B$19</f>
        <v>31.8085712334344</v>
      </c>
      <c r="M29" s="41" t="n">
        <f aca="false">L29*(1-Annahmen!$B$31*$C$5)+M$21*$E$5*Annahmen!$B$19</f>
        <v>36.8543140964314</v>
      </c>
      <c r="N29" s="41" t="n">
        <f aca="false">M29*(1-Annahmen!$B$31*$C$5)+N$21*$E$5*Annahmen!$B$19</f>
        <v>41.7486846735384</v>
      </c>
      <c r="O29" s="41" t="n">
        <f aca="false">N29*(1-Annahmen!$B$31*$C$5)+O$21*$E$5*Annahmen!$B$19</f>
        <v>48.4962241333323</v>
      </c>
      <c r="P29" s="41" t="n">
        <f aca="false">O29*(1-Annahmen!$B$31*$C$5)+P$21*$E$5*Annahmen!$B$19</f>
        <v>55.0413374093323</v>
      </c>
      <c r="Q29" s="41" t="n">
        <f aca="false">P29*(1-Annahmen!$B$31*$C$5)+Q$21*$E$5*Annahmen!$B$19</f>
        <v>61.3900972870523</v>
      </c>
      <c r="R29" s="41" t="n">
        <f aca="false">Q29*(1-Annahmen!$B$31*$C$5)+R$21*$E$5*Annahmen!$B$19</f>
        <v>69.5483943684408</v>
      </c>
      <c r="S29" s="41" t="n">
        <f aca="false">R29*(1-Annahmen!$B$31*$C$5)+S$21*$E$5*Annahmen!$B$19</f>
        <v>77.4619425373875</v>
      </c>
      <c r="T29" s="41" t="n">
        <f aca="false">S29*(1-Annahmen!$B$31*$C$5)+T$21*$E$5*Annahmen!$B$19</f>
        <v>85.1380842612659</v>
      </c>
      <c r="U29" s="41" t="n">
        <f aca="false">T29*(1-Annahmen!$B$31*$C$5)+U$21*$E$5*Annahmen!$B$19</f>
        <v>94.5839417334279</v>
      </c>
      <c r="V29" s="41" t="n">
        <f aca="false">U29*(1-Annahmen!$B$31*$C$5)+V$21*$E$5*Annahmen!$B$19</f>
        <v>103.746423481425</v>
      </c>
      <c r="W29" s="41" t="n">
        <f aca="false">V29*(1-Annahmen!$B$31*$C$5)+W$21*$E$5*Annahmen!$B$19</f>
        <v>112.634030776982</v>
      </c>
      <c r="X29" s="41" t="n">
        <f aca="false">W29*(1-Annahmen!$B$31*$C$5)+X$21*$E$5*Annahmen!$B$19</f>
        <v>123.255009853673</v>
      </c>
      <c r="Y29" s="41" t="n">
        <f aca="false">X29*(1-Annahmen!$B$31*$C$5)+Y$21*$E$5*Annahmen!$B$19</f>
        <v>133.557359558063</v>
      </c>
      <c r="Z29" s="41" t="n">
        <f aca="false">Y29*(1-Annahmen!$B$31*$C$5)+Z$21*$E$5*Annahmen!$B$19</f>
        <v>143.550638771321</v>
      </c>
      <c r="AA29" s="41" t="n">
        <f aca="false">Z29*(1-Annahmen!$B$31*$C$5)+AA$21*$E$5*Annahmen!$B$19</f>
        <v>154.244119608181</v>
      </c>
      <c r="AB29" s="41" t="n">
        <f aca="false">AA29*(1-Annahmen!$B$31*$C$5)+AB$21*$E$5*Annahmen!$B$19</f>
        <v>164.616796019936</v>
      </c>
      <c r="AC29" s="41" t="n">
        <f aca="false">AB29*(1-Annahmen!$B$31*$C$5)+AC$21*$E$5*Annahmen!$B$19</f>
        <v>174.678292139338</v>
      </c>
      <c r="AD29" s="41" t="n">
        <f aca="false">AC29*(1-Annahmen!$B$31*$C$5)+AD$21*$E$5*Annahmen!$B$19</f>
        <v>185.937943375158</v>
      </c>
      <c r="AE29" s="41" t="n">
        <f aca="false">AD29*(1-Annahmen!$B$31*$C$5)+AE$21*$E$5*Annahmen!$B$19</f>
        <v>196.859805073903</v>
      </c>
      <c r="AF29" s="41" t="n">
        <f aca="false">AE29*(1-Annahmen!$B$31*$C$5)+AF$21*$E$5*Annahmen!$B$19</f>
        <v>207.454010921686</v>
      </c>
      <c r="AG29" s="41" t="n">
        <f aca="false">AF29*(1-Annahmen!$B$31*$C$5)+AG$21*$E$5*Annahmen!$B$19</f>
        <v>219.230390594035</v>
      </c>
      <c r="AH29" s="41" t="n">
        <f aca="false">AG29*(1-Annahmen!$B$31*$C$5)+AH$21*$E$5*Annahmen!$B$19</f>
        <v>230.653478876214</v>
      </c>
      <c r="AI29" s="41" t="n">
        <f aca="false">AH29*(1-Annahmen!$B$31*$C$5)+AI$21*$E$5*Annahmen!$B$19</f>
        <v>241.733874509928</v>
      </c>
      <c r="AJ29" s="41" t="n">
        <f aca="false">AI29*(1-Annahmen!$B$31*$C$5)+AJ$21*$E$5*Annahmen!$B$19</f>
        <v>254.48185827463</v>
      </c>
      <c r="AK29" s="41" t="n">
        <f aca="false">AJ29*(1-Annahmen!$B$31*$C$5)+AK$21*$E$5*Annahmen!$B$19</f>
        <v>266.847402526391</v>
      </c>
      <c r="AL29" s="41" t="n">
        <f aca="false">AK29*(1-Annahmen!$B$31*$C$5)+AL$21*$E$5*Annahmen!$B$19</f>
        <v>278.841980450599</v>
      </c>
      <c r="AM29" s="41" t="n">
        <f aca="false">AL29*(1-Annahmen!$B$31*$C$5)+AM$21*$E$5*Annahmen!$B$19</f>
        <v>292.976721037081</v>
      </c>
      <c r="AN29" s="41" t="n">
        <f aca="false">AM29*(1-Annahmen!$B$31*$C$5)+AN$21*$E$5*Annahmen!$B$19</f>
        <v>306.687419405969</v>
      </c>
      <c r="AO29" s="41" t="n">
        <f aca="false">AN29*(1-Annahmen!$B$31*$C$5)+AO$21*$E$5*Annahmen!$B$19</f>
        <v>319.98679682379</v>
      </c>
      <c r="AP29" s="41" t="n">
        <f aca="false">AO29*(1-Annahmen!$B$31*$C$5)+AP$21*$E$5*Annahmen!$B$19</f>
        <v>332.887192919076</v>
      </c>
      <c r="AQ29" s="41" t="n">
        <f aca="false">AP29*(1-Annahmen!$B$31*$C$5)+AQ$21*$E$5*Annahmen!$B$19</f>
        <v>345.400577131504</v>
      </c>
      <c r="AR29" s="41" t="n">
        <f aca="false">AQ29*(1-Annahmen!$B$31*$C$5)+AR$21*$E$5*Annahmen!$B$19</f>
        <v>357.538559817559</v>
      </c>
      <c r="AS29" s="41" t="n">
        <f aca="false">AR29*(1-Annahmen!$B$31*$C$5)+AS$21*$E$5*Annahmen!$B$19</f>
        <v>369.312403023032</v>
      </c>
      <c r="AT29" s="41" t="n">
        <f aca="false">AS29*(1-Annahmen!$B$31*$C$5)+AT$21*$E$5*Annahmen!$B$19</f>
        <v>380.733030932341</v>
      </c>
      <c r="AU29" s="41" t="n">
        <f aca="false">AT29*(1-Annahmen!$B$31*$C$5)+AU$21*$E$5*Annahmen!$B$19</f>
        <v>391.811040004371</v>
      </c>
      <c r="AV29" s="41" t="n">
        <f aca="false">AU29*(1-Annahmen!$B$31*$C$5)+AV$21*$E$5*Annahmen!$B$19</f>
        <v>402.556708804239</v>
      </c>
      <c r="AW29" s="41" t="n">
        <f aca="false">AV29*(1-Annahmen!$B$31*$C$5)+AW$21*$E$5*Annahmen!$B$19</f>
        <v>412.980007540112</v>
      </c>
      <c r="AX29" s="41" t="n">
        <f aca="false">AW29*(1-Annahmen!$B$31*$C$5)+AX$21*$E$5*Annahmen!$B$19</f>
        <v>423.090607313909</v>
      </c>
      <c r="AY29" s="41" t="n">
        <f aca="false">AX29*(1-Annahmen!$B$31*$C$5)+AY$21*$E$5*Annahmen!$B$19</f>
        <v>437.897889094492</v>
      </c>
      <c r="AZ29" s="41" t="n">
        <f aca="false">AY29*(1-Annahmen!$B$31*$C$5)+AZ$21*$E$5*Annahmen!$B$19</f>
        <v>452.260952421657</v>
      </c>
      <c r="BA29" s="41" t="n">
        <f aca="false">AZ29*(1-Annahmen!$B$31*$C$5)+BA$21*$E$5*Annahmen!$B$19</f>
        <v>466.193123849007</v>
      </c>
      <c r="BB29" s="41" t="n">
        <f aca="false">BA29*(1-Annahmen!$B$31*$C$5)+BB$21*$E$5*Annahmen!$B$19</f>
        <v>479.707330133537</v>
      </c>
      <c r="BC29" s="41" t="n">
        <f aca="false">BB29*(1-Annahmen!$B$31*$C$5)+BC$21*$E$5*Annahmen!$B$19</f>
        <v>492.816110229531</v>
      </c>
      <c r="BD29" s="41" t="n">
        <f aca="false">BC29*(1-Annahmen!$B$31*$C$5)+BD$21*$E$5*Annahmen!$B$19</f>
        <v>505.531626922645</v>
      </c>
      <c r="BE29" s="41" t="n">
        <f aca="false">BD29*(1-Annahmen!$B$31*$C$5)+BE$21*$E$5*Annahmen!$B$19</f>
        <v>517.865678114966</v>
      </c>
      <c r="BF29" s="41" t="n">
        <f aca="false">BE29*(1-Annahmen!$B$31*$C$5)+BF$21*$E$5*Annahmen!$B$19</f>
        <v>529.829707771517</v>
      </c>
      <c r="BG29" s="41" t="n">
        <f aca="false">BF29*(1-Annahmen!$B$31*$C$5)+BG$21*$E$5*Annahmen!$B$19</f>
        <v>541.434816538371</v>
      </c>
      <c r="BH29" s="41" t="n">
        <f aca="false">BG29*(1-Annahmen!$B$31*$C$5)+BH$21*$E$5*Annahmen!$B$19</f>
        <v>552.69177204222</v>
      </c>
      <c r="BI29" s="41" t="n">
        <f aca="false">BH29*(1-Annahmen!$B$31*$C$5)+BI$21*$E$5*Annahmen!$B$19</f>
        <v>563.611018880953</v>
      </c>
      <c r="BJ29" s="41" t="n">
        <f aca="false">BI29*(1-Annahmen!$B$31*$C$5)+BJ$21*$E$5*Annahmen!$B$19</f>
        <v>574.202688314525</v>
      </c>
    </row>
    <row r="30" customFormat="false" ht="15" hidden="false" customHeight="false" outlineLevel="0" collapsed="false">
      <c r="B30" s="5" t="s">
        <v>397</v>
      </c>
      <c r="C30" s="41" t="n">
        <f aca="false">Annahmen!$B$7*Annahmen!$B$20*(1-Annahmen!$B$32*$C$5)+C$21*$E$5*Annahmen!$B$20</f>
        <v>3.002</v>
      </c>
      <c r="D30" s="41" t="n">
        <f aca="false">C30*(1-Annahmen!$B$32*$C$5)+D$21*$E$5*Annahmen!$B$20</f>
        <v>4.08196</v>
      </c>
      <c r="E30" s="41" t="n">
        <f aca="false">D30*(1-Annahmen!$B$32*$C$5)+E$21*$E$5*Annahmen!$B$20</f>
        <v>5.1403208</v>
      </c>
      <c r="F30" s="41" t="n">
        <f aca="false">E30*(1-Annahmen!$B$32*$C$5)+F$21*$E$5*Annahmen!$B$20</f>
        <v>7.317514384</v>
      </c>
      <c r="G30" s="41" t="n">
        <f aca="false">F30*(1-Annahmen!$B$32*$C$5)+G$21*$E$5*Annahmen!$B$20</f>
        <v>9.45116409632</v>
      </c>
      <c r="H30" s="41" t="n">
        <f aca="false">G30*(1-Annahmen!$B$32*$C$5)+H$21*$E$5*Annahmen!$B$20</f>
        <v>11.5421408143936</v>
      </c>
      <c r="I30" s="41" t="n">
        <f aca="false">H30*(1-Annahmen!$B$32*$C$5)+I$21*$E$5*Annahmen!$B$20</f>
        <v>14.7312979981057</v>
      </c>
      <c r="J30" s="41" t="n">
        <f aca="false">I30*(1-Annahmen!$B$32*$C$5)+J$21*$E$5*Annahmen!$B$20</f>
        <v>17.8566720381436</v>
      </c>
      <c r="K30" s="41" t="n">
        <f aca="false">J30*(1-Annahmen!$B$32*$C$5)+K$21*$E$5*Annahmen!$B$20</f>
        <v>20.9195385973807</v>
      </c>
      <c r="L30" s="41" t="n">
        <f aca="false">K30*(1-Annahmen!$B$32*$C$5)+L$21*$E$5*Annahmen!$B$20</f>
        <v>25.0611478254331</v>
      </c>
      <c r="M30" s="41" t="n">
        <f aca="false">L30*(1-Annahmen!$B$32*$C$5)+M$21*$E$5*Annahmen!$B$20</f>
        <v>29.1199248689245</v>
      </c>
      <c r="N30" s="41" t="n">
        <f aca="false">M30*(1-Annahmen!$B$32*$C$5)+N$21*$E$5*Annahmen!$B$20</f>
        <v>33.097526371546</v>
      </c>
      <c r="O30" s="41" t="n">
        <f aca="false">N30*(1-Annahmen!$B$32*$C$5)+O$21*$E$5*Annahmen!$B$20</f>
        <v>38.5155758441151</v>
      </c>
      <c r="P30" s="41" t="n">
        <f aca="false">O30*(1-Annahmen!$B$32*$C$5)+P$21*$E$5*Annahmen!$B$20</f>
        <v>43.8252643272328</v>
      </c>
      <c r="Q30" s="41" t="n">
        <f aca="false">P30*(1-Annahmen!$B$32*$C$5)+Q$21*$E$5*Annahmen!$B$20</f>
        <v>49.0287590406881</v>
      </c>
      <c r="R30" s="41" t="n">
        <f aca="false">Q30*(1-Annahmen!$B$32*$C$5)+R$21*$E$5*Annahmen!$B$20</f>
        <v>55.6481838598743</v>
      </c>
      <c r="S30" s="41" t="n">
        <f aca="false">R30*(1-Annahmen!$B$32*$C$5)+S$21*$E$5*Annahmen!$B$20</f>
        <v>62.1352201826769</v>
      </c>
      <c r="T30" s="41" t="n">
        <f aca="false">S30*(1-Annahmen!$B$32*$C$5)+T$21*$E$5*Annahmen!$B$20</f>
        <v>68.4925157790233</v>
      </c>
      <c r="U30" s="41" t="n">
        <f aca="false">T30*(1-Annahmen!$B$32*$C$5)+U$21*$E$5*Annahmen!$B$20</f>
        <v>76.2426654634429</v>
      </c>
      <c r="V30" s="41" t="n">
        <f aca="false">U30*(1-Annahmen!$B$32*$C$5)+V$21*$E$5*Annahmen!$B$20</f>
        <v>83.837812154174</v>
      </c>
      <c r="W30" s="41" t="n">
        <f aca="false">V30*(1-Annahmen!$B$32*$C$5)+W$21*$E$5*Annahmen!$B$20</f>
        <v>91.2810559110905</v>
      </c>
      <c r="X30" s="41" t="n">
        <f aca="false">W30*(1-Annahmen!$B$32*$C$5)+X$21*$E$5*Annahmen!$B$20</f>
        <v>100.095434792869</v>
      </c>
      <c r="Y30" s="41" t="n">
        <f aca="false">X30*(1-Annahmen!$B$32*$C$5)+Y$21*$E$5*Annahmen!$B$20</f>
        <v>108.733526097011</v>
      </c>
      <c r="Z30" s="41" t="n">
        <f aca="false">Y30*(1-Annahmen!$B$32*$C$5)+Z$21*$E$5*Annahmen!$B$20</f>
        <v>117.198855575071</v>
      </c>
      <c r="AA30" s="41" t="n">
        <f aca="false">Z30*(1-Annahmen!$B$32*$C$5)+AA$21*$E$5*Annahmen!$B$20</f>
        <v>126.25487846357</v>
      </c>
      <c r="AB30" s="41" t="n">
        <f aca="false">AA30*(1-Annahmen!$B$32*$C$5)+AB$21*$E$5*Annahmen!$B$20</f>
        <v>135.129780894298</v>
      </c>
      <c r="AC30" s="41" t="n">
        <f aca="false">AB30*(1-Annahmen!$B$32*$C$5)+AC$21*$E$5*Annahmen!$B$20</f>
        <v>143.827185276412</v>
      </c>
      <c r="AD30" s="41" t="n">
        <f aca="false">AC30*(1-Annahmen!$B$32*$C$5)+AD$21*$E$5*Annahmen!$B$20</f>
        <v>153.490641570884</v>
      </c>
      <c r="AE30" s="41" t="n">
        <f aca="false">AD30*(1-Annahmen!$B$32*$C$5)+AE$21*$E$5*Annahmen!$B$20</f>
        <v>162.960828739466</v>
      </c>
      <c r="AF30" s="41" t="n">
        <f aca="false">AE30*(1-Annahmen!$B$32*$C$5)+AF$21*$E$5*Annahmen!$B$20</f>
        <v>172.241612164677</v>
      </c>
      <c r="AG30" s="41" t="n">
        <f aca="false">AF30*(1-Annahmen!$B$32*$C$5)+AG$21*$E$5*Annahmen!$B$20</f>
        <v>182.476779921384</v>
      </c>
      <c r="AH30" s="41" t="n">
        <f aca="false">AG30*(1-Annahmen!$B$32*$C$5)+AH$21*$E$5*Annahmen!$B$20</f>
        <v>192.507244322956</v>
      </c>
      <c r="AI30" s="41" t="n">
        <f aca="false">AH30*(1-Annahmen!$B$32*$C$5)+AI$21*$E$5*Annahmen!$B$20</f>
        <v>202.337099436497</v>
      </c>
      <c r="AJ30" s="41" t="n">
        <f aca="false">AI30*(1-Annahmen!$B$32*$C$5)+AJ$21*$E$5*Annahmen!$B$20</f>
        <v>213.490357447767</v>
      </c>
      <c r="AK30" s="41" t="n">
        <f aca="false">AJ30*(1-Annahmen!$B$32*$C$5)+AK$21*$E$5*Annahmen!$B$20</f>
        <v>224.420550298811</v>
      </c>
      <c r="AL30" s="41" t="n">
        <f aca="false">AK30*(1-Annahmen!$B$32*$C$5)+AL$21*$E$5*Annahmen!$B$20</f>
        <v>235.132139292835</v>
      </c>
      <c r="AM30" s="41" t="n">
        <f aca="false">AL30*(1-Annahmen!$B$32*$C$5)+AM$21*$E$5*Annahmen!$B$20</f>
        <v>247.529496506978</v>
      </c>
      <c r="AN30" s="41" t="n">
        <f aca="false">AM30*(1-Annahmen!$B$32*$C$5)+AN$21*$E$5*Annahmen!$B$20</f>
        <v>259.678906576839</v>
      </c>
      <c r="AO30" s="41" t="n">
        <f aca="false">AN30*(1-Annahmen!$B$32*$C$5)+AO$21*$E$5*Annahmen!$B$20</f>
        <v>271.585328445302</v>
      </c>
      <c r="AP30" s="41" t="n">
        <f aca="false">AO30*(1-Annahmen!$B$32*$C$5)+AP$21*$E$5*Annahmen!$B$20</f>
        <v>283.253621876396</v>
      </c>
      <c r="AQ30" s="41" t="n">
        <f aca="false">AP30*(1-Annahmen!$B$32*$C$5)+AQ$21*$E$5*Annahmen!$B$20</f>
        <v>294.688549438868</v>
      </c>
      <c r="AR30" s="41" t="n">
        <f aca="false">AQ30*(1-Annahmen!$B$32*$C$5)+AR$21*$E$5*Annahmen!$B$20</f>
        <v>305.894778450091</v>
      </c>
      <c r="AS30" s="41" t="n">
        <f aca="false">AR30*(1-Annahmen!$B$32*$C$5)+AS$21*$E$5*Annahmen!$B$20</f>
        <v>316.876882881089</v>
      </c>
      <c r="AT30" s="41" t="n">
        <f aca="false">AS30*(1-Annahmen!$B$32*$C$5)+AT$21*$E$5*Annahmen!$B$20</f>
        <v>327.639345223467</v>
      </c>
      <c r="AU30" s="41" t="n">
        <f aca="false">AT30*(1-Annahmen!$B$32*$C$5)+AU$21*$E$5*Annahmen!$B$20</f>
        <v>338.186558318998</v>
      </c>
      <c r="AV30" s="41" t="n">
        <f aca="false">AU30*(1-Annahmen!$B$32*$C$5)+AV$21*$E$5*Annahmen!$B$20</f>
        <v>348.522827152618</v>
      </c>
      <c r="AW30" s="41" t="n">
        <f aca="false">AV30*(1-Annahmen!$B$32*$C$5)+AW$21*$E$5*Annahmen!$B$20</f>
        <v>358.652370609566</v>
      </c>
      <c r="AX30" s="41" t="n">
        <f aca="false">AW30*(1-Annahmen!$B$32*$C$5)+AX$21*$E$5*Annahmen!$B$20</f>
        <v>368.579323197374</v>
      </c>
      <c r="AY30" s="41" t="n">
        <f aca="false">AX30*(1-Annahmen!$B$32*$C$5)+AY$21*$E$5*Annahmen!$B$20</f>
        <v>382.107736733427</v>
      </c>
      <c r="AZ30" s="41" t="n">
        <f aca="false">AY30*(1-Annahmen!$B$32*$C$5)+AZ$21*$E$5*Annahmen!$B$20</f>
        <v>395.365581998758</v>
      </c>
      <c r="BA30" s="41" t="n">
        <f aca="false">AZ30*(1-Annahmen!$B$32*$C$5)+BA$21*$E$5*Annahmen!$B$20</f>
        <v>408.358270358783</v>
      </c>
      <c r="BB30" s="41" t="n">
        <f aca="false">BA30*(1-Annahmen!$B$32*$C$5)+BB$21*$E$5*Annahmen!$B$20</f>
        <v>421.091104951607</v>
      </c>
      <c r="BC30" s="41" t="n">
        <f aca="false">BB30*(1-Annahmen!$B$32*$C$5)+BC$21*$E$5*Annahmen!$B$20</f>
        <v>433.569282852575</v>
      </c>
      <c r="BD30" s="41" t="n">
        <f aca="false">BC30*(1-Annahmen!$B$32*$C$5)+BD$21*$E$5*Annahmen!$B$20</f>
        <v>445.797897195524</v>
      </c>
      <c r="BE30" s="41" t="n">
        <f aca="false">BD30*(1-Annahmen!$B$32*$C$5)+BE$21*$E$5*Annahmen!$B$20</f>
        <v>457.781939251613</v>
      </c>
      <c r="BF30" s="41" t="n">
        <f aca="false">BE30*(1-Annahmen!$B$32*$C$5)+BF$21*$E$5*Annahmen!$B$20</f>
        <v>469.526300466581</v>
      </c>
      <c r="BG30" s="41" t="n">
        <f aca="false">BF30*(1-Annahmen!$B$32*$C$5)+BG$21*$E$5*Annahmen!$B$20</f>
        <v>481.035774457249</v>
      </c>
      <c r="BH30" s="41" t="n">
        <f aca="false">BG30*(1-Annahmen!$B$32*$C$5)+BH$21*$E$5*Annahmen!$B$20</f>
        <v>492.315058968104</v>
      </c>
      <c r="BI30" s="41" t="n">
        <f aca="false">BH30*(1-Annahmen!$B$32*$C$5)+BI$21*$E$5*Annahmen!$B$20</f>
        <v>503.368757788742</v>
      </c>
      <c r="BJ30" s="41" t="n">
        <f aca="false">BI30*(1-Annahmen!$B$32*$C$5)+BJ$21*$E$5*Annahmen!$B$20</f>
        <v>514.201382632967</v>
      </c>
    </row>
    <row r="31" customFormat="false" ht="15" hidden="false" customHeight="false" outlineLevel="0" collapsed="false">
      <c r="B31" s="5" t="s">
        <v>398</v>
      </c>
      <c r="C31" s="41" t="n">
        <f aca="false">Annahmen!$B$7*Annahmen!$B$21*(1-Annahmen!$B$33*$C$5)+C$21*$E$5*Annahmen!$B$21</f>
        <v>0.9528</v>
      </c>
      <c r="D31" s="41" t="n">
        <f aca="false">C31*(1-Annahmen!$B$33*$C$5)+D$21*$E$5*Annahmen!$B$21</f>
        <v>1.3013664</v>
      </c>
      <c r="E31" s="41" t="n">
        <f aca="false">D31*(1-Annahmen!$B$33*$C$5)+E$21*$E$5*Annahmen!$B$21</f>
        <v>1.6457500032</v>
      </c>
      <c r="F31" s="41" t="n">
        <f aca="false">E31*(1-Annahmen!$B$33*$C$5)+F$21*$E$5*Annahmen!$B$21</f>
        <v>2.3460010031616</v>
      </c>
      <c r="G31" s="41" t="n">
        <f aca="false">F31*(1-Annahmen!$B$33*$C$5)+G$21*$E$5*Annahmen!$B$21</f>
        <v>3.03784899112366</v>
      </c>
      <c r="H31" s="41" t="n">
        <f aca="false">G31*(1-Annahmen!$B$33*$C$5)+H$21*$E$5*Annahmen!$B$21</f>
        <v>3.72139480323018</v>
      </c>
      <c r="I31" s="41" t="n">
        <f aca="false">H31*(1-Annahmen!$B$33*$C$5)+I$21*$E$5*Annahmen!$B$21</f>
        <v>4.75673806559141</v>
      </c>
      <c r="J31" s="41" t="n">
        <f aca="false">I31*(1-Annahmen!$B$33*$C$5)+J$21*$E$5*Annahmen!$B$21</f>
        <v>5.77965720880432</v>
      </c>
      <c r="K31" s="41" t="n">
        <f aca="false">J31*(1-Annahmen!$B$33*$C$5)+K$21*$E$5*Annahmen!$B$21</f>
        <v>6.79030132229867</v>
      </c>
      <c r="L31" s="41" t="n">
        <f aca="false">K31*(1-Annahmen!$B$33*$C$5)+L$21*$E$5*Annahmen!$B$21</f>
        <v>8.14881770643108</v>
      </c>
      <c r="M31" s="41" t="n">
        <f aca="false">L31*(1-Annahmen!$B$33*$C$5)+M$21*$E$5*Annahmen!$B$21</f>
        <v>9.49103189395391</v>
      </c>
      <c r="N31" s="41" t="n">
        <f aca="false">M31*(1-Annahmen!$B$33*$C$5)+N$21*$E$5*Annahmen!$B$21</f>
        <v>10.8171395112265</v>
      </c>
      <c r="O31" s="41" t="n">
        <f aca="false">N31*(1-Annahmen!$B$33*$C$5)+O$21*$E$5*Annahmen!$B$21</f>
        <v>12.6073338370917</v>
      </c>
      <c r="P31" s="41" t="n">
        <f aca="false">O31*(1-Annahmen!$B$33*$C$5)+P$21*$E$5*Annahmen!$B$21</f>
        <v>14.3760458310466</v>
      </c>
      <c r="Q31" s="41" t="n">
        <f aca="false">P31*(1-Annahmen!$B$33*$C$5)+Q$21*$E$5*Annahmen!$B$21</f>
        <v>16.1235332810741</v>
      </c>
      <c r="R31" s="41" t="n">
        <f aca="false">Q31*(1-Annahmen!$B$33*$C$5)+R$21*$E$5*Annahmen!$B$21</f>
        <v>18.3300508817012</v>
      </c>
      <c r="S31" s="41" t="n">
        <f aca="false">R31*(1-Annahmen!$B$33*$C$5)+S$21*$E$5*Annahmen!$B$21</f>
        <v>20.5100902711208</v>
      </c>
      <c r="T31" s="41" t="n">
        <f aca="false">S31*(1-Annahmen!$B$33*$C$5)+T$21*$E$5*Annahmen!$B$21</f>
        <v>22.6639691878673</v>
      </c>
      <c r="U31" s="41" t="n">
        <f aca="false">T31*(1-Annahmen!$B$33*$C$5)+U$21*$E$5*Annahmen!$B$21</f>
        <v>25.2720015576129</v>
      </c>
      <c r="V31" s="41" t="n">
        <f aca="false">U31*(1-Annahmen!$B$33*$C$5)+V$21*$E$5*Annahmen!$B$21</f>
        <v>27.8487375389216</v>
      </c>
      <c r="W31" s="41" t="n">
        <f aca="false">V31*(1-Annahmen!$B$33*$C$5)+W$21*$E$5*Annahmen!$B$21</f>
        <v>30.3945526884545</v>
      </c>
      <c r="X31" s="41" t="n">
        <f aca="false">W31*(1-Annahmen!$B$33*$C$5)+X$21*$E$5*Annahmen!$B$21</f>
        <v>33.389818056193</v>
      </c>
      <c r="Y31" s="41" t="n">
        <f aca="false">X31*(1-Annahmen!$B$33*$C$5)+Y$21*$E$5*Annahmen!$B$21</f>
        <v>36.3491402395187</v>
      </c>
      <c r="Z31" s="41" t="n">
        <f aca="false">Y31*(1-Annahmen!$B$33*$C$5)+Z$21*$E$5*Annahmen!$B$21</f>
        <v>39.2729505566445</v>
      </c>
      <c r="AA31" s="41" t="n">
        <f aca="false">Z31*(1-Annahmen!$B$33*$C$5)+AA$21*$E$5*Annahmen!$B$21</f>
        <v>42.4016751499648</v>
      </c>
      <c r="AB31" s="41" t="n">
        <f aca="false">AA31*(1-Annahmen!$B$33*$C$5)+AB$21*$E$5*Annahmen!$B$21</f>
        <v>45.4928550481652</v>
      </c>
      <c r="AC31" s="41" t="n">
        <f aca="false">AB31*(1-Annahmen!$B$33*$C$5)+AC$21*$E$5*Annahmen!$B$21</f>
        <v>48.5469407875872</v>
      </c>
      <c r="AD31" s="41" t="n">
        <f aca="false">AC31*(1-Annahmen!$B$33*$C$5)+AD$21*$E$5*Annahmen!$B$21</f>
        <v>51.9243774981362</v>
      </c>
      <c r="AE31" s="41" t="n">
        <f aca="false">AD31*(1-Annahmen!$B$33*$C$5)+AE$21*$E$5*Annahmen!$B$21</f>
        <v>55.2612849681585</v>
      </c>
      <c r="AF31" s="41" t="n">
        <f aca="false">AE31*(1-Annahmen!$B$33*$C$5)+AF$21*$E$5*Annahmen!$B$21</f>
        <v>58.5581495485406</v>
      </c>
      <c r="AG31" s="41" t="n">
        <f aca="false">AF31*(1-Annahmen!$B$33*$C$5)+AG$21*$E$5*Annahmen!$B$21</f>
        <v>62.1754517539581</v>
      </c>
      <c r="AH31" s="41" t="n">
        <f aca="false">AG31*(1-Annahmen!$B$33*$C$5)+AH$21*$E$5*Annahmen!$B$21</f>
        <v>65.7493463329107</v>
      </c>
      <c r="AI31" s="41" t="n">
        <f aca="false">AH31*(1-Annahmen!$B$33*$C$5)+AI$21*$E$5*Annahmen!$B$21</f>
        <v>69.2803541769157</v>
      </c>
      <c r="AJ31" s="41" t="n">
        <f aca="false">AI31*(1-Annahmen!$B$33*$C$5)+AJ$21*$E$5*Annahmen!$B$21</f>
        <v>73.2489899267927</v>
      </c>
      <c r="AK31" s="41" t="n">
        <f aca="false">AJ31*(1-Annahmen!$B$33*$C$5)+AK$21*$E$5*Annahmen!$B$21</f>
        <v>77.1700020476712</v>
      </c>
      <c r="AL31" s="41" t="n">
        <f aca="false">AK31*(1-Annahmen!$B$33*$C$5)+AL$21*$E$5*Annahmen!$B$21</f>
        <v>81.0439620230992</v>
      </c>
      <c r="AM31" s="41" t="n">
        <f aca="false">AL31*(1-Annahmen!$B$33*$C$5)+AM$21*$E$5*Annahmen!$B$21</f>
        <v>85.471434478822</v>
      </c>
      <c r="AN31" s="41" t="n">
        <f aca="false">AM31*(1-Annahmen!$B$33*$C$5)+AN$21*$E$5*Annahmen!$B$21</f>
        <v>89.8457772650761</v>
      </c>
      <c r="AO31" s="41" t="n">
        <f aca="false">AN31*(1-Annahmen!$B$33*$C$5)+AO$21*$E$5*Annahmen!$B$21</f>
        <v>94.1676279378952</v>
      </c>
      <c r="AP31" s="41" t="n">
        <f aca="false">AO31*(1-Annahmen!$B$33*$C$5)+AP$21*$E$5*Annahmen!$B$21</f>
        <v>98.4376164026405</v>
      </c>
      <c r="AQ31" s="41" t="n">
        <f aca="false">AP31*(1-Annahmen!$B$33*$C$5)+AQ$21*$E$5*Annahmen!$B$21</f>
        <v>102.656365005809</v>
      </c>
      <c r="AR31" s="41" t="n">
        <f aca="false">AQ31*(1-Annahmen!$B$33*$C$5)+AR$21*$E$5*Annahmen!$B$21</f>
        <v>106.824488625739</v>
      </c>
      <c r="AS31" s="41" t="n">
        <f aca="false">AR31*(1-Annahmen!$B$33*$C$5)+AS$21*$E$5*Annahmen!$B$21</f>
        <v>110.94259476223</v>
      </c>
      <c r="AT31" s="41" t="n">
        <f aca="false">AS31*(1-Annahmen!$B$33*$C$5)+AT$21*$E$5*Annahmen!$B$21</f>
        <v>115.011283625083</v>
      </c>
      <c r="AU31" s="41" t="n">
        <f aca="false">AT31*(1-Annahmen!$B$33*$C$5)+AU$21*$E$5*Annahmen!$B$21</f>
        <v>119.031148221582</v>
      </c>
      <c r="AV31" s="41" t="n">
        <f aca="false">AU31*(1-Annahmen!$B$33*$C$5)+AV$21*$E$5*Annahmen!$B$21</f>
        <v>123.002774442924</v>
      </c>
      <c r="AW31" s="41" t="n">
        <f aca="false">AV31*(1-Annahmen!$B$33*$C$5)+AW$21*$E$5*Annahmen!$B$21</f>
        <v>126.926741149608</v>
      </c>
      <c r="AX31" s="41" t="n">
        <f aca="false">AW31*(1-Annahmen!$B$33*$C$5)+AX$21*$E$5*Annahmen!$B$21</f>
        <v>130.803620255813</v>
      </c>
      <c r="AY31" s="41" t="n">
        <f aca="false">AX31*(1-Annahmen!$B$33*$C$5)+AY$21*$E$5*Annahmen!$B$21</f>
        <v>135.833976812743</v>
      </c>
      <c r="AZ31" s="41" t="n">
        <f aca="false">AY31*(1-Annahmen!$B$33*$C$5)+AZ$21*$E$5*Annahmen!$B$21</f>
        <v>140.80396909099</v>
      </c>
      <c r="BA31" s="41" t="n">
        <f aca="false">AZ31*(1-Annahmen!$B$33*$C$5)+BA$21*$E$5*Annahmen!$B$21</f>
        <v>145.714321461899</v>
      </c>
      <c r="BB31" s="41" t="n">
        <f aca="false">BA31*(1-Annahmen!$B$33*$C$5)+BB$21*$E$5*Annahmen!$B$21</f>
        <v>150.565749604356</v>
      </c>
      <c r="BC31" s="41" t="n">
        <f aca="false">BB31*(1-Annahmen!$B$33*$C$5)+BC$21*$E$5*Annahmen!$B$21</f>
        <v>155.358960609103</v>
      </c>
      <c r="BD31" s="41" t="n">
        <f aca="false">BC31*(1-Annahmen!$B$33*$C$5)+BD$21*$E$5*Annahmen!$B$21</f>
        <v>160.094653081794</v>
      </c>
      <c r="BE31" s="41" t="n">
        <f aca="false">BD31*(1-Annahmen!$B$33*$C$5)+BE$21*$E$5*Annahmen!$B$21</f>
        <v>164.773517244813</v>
      </c>
      <c r="BF31" s="41" t="n">
        <f aca="false">BE31*(1-Annahmen!$B$33*$C$5)+BF$21*$E$5*Annahmen!$B$21</f>
        <v>169.396235037875</v>
      </c>
      <c r="BG31" s="41" t="n">
        <f aca="false">BF31*(1-Annahmen!$B$33*$C$5)+BG$21*$E$5*Annahmen!$B$21</f>
        <v>173.96348021742</v>
      </c>
      <c r="BH31" s="41" t="n">
        <f aca="false">BG31*(1-Annahmen!$B$33*$C$5)+BH$21*$E$5*Annahmen!$B$21</f>
        <v>178.475918454811</v>
      </c>
      <c r="BI31" s="41" t="n">
        <f aca="false">BH31*(1-Annahmen!$B$33*$C$5)+BI$21*$E$5*Annahmen!$B$21</f>
        <v>182.934207433354</v>
      </c>
      <c r="BJ31" s="41" t="n">
        <f aca="false">BI31*(1-Annahmen!$B$33*$C$5)+BJ$21*$E$5*Annahmen!$B$21</f>
        <v>187.338996944153</v>
      </c>
    </row>
    <row r="32" customFormat="false" ht="15" hidden="false" customHeight="false" outlineLevel="0" collapsed="false">
      <c r="B32" s="5" t="s">
        <v>399</v>
      </c>
      <c r="C32" s="41" t="n">
        <f aca="false">Annahmen!$B$7*Annahmen!$B$21*Annahmen!$B$24*(1-Annahmen!$B$33*$C$5)+C$21*$E$5*Annahmen!$B$21*Annahmen!$B$24</f>
        <v>0.19056</v>
      </c>
      <c r="D32" s="41" t="n">
        <f aca="false">C32*(1-Annahmen!$B$33*$C$5)+D$21*$E$5*Annahmen!$B$21*Annahmen!$B$24</f>
        <v>0.26027328</v>
      </c>
      <c r="E32" s="41" t="n">
        <f aca="false">D32*(1-Annahmen!$B$33*$C$5)+E$21*$E$5*Annahmen!$B$21*Annahmen!$B$24</f>
        <v>0.32915000064</v>
      </c>
      <c r="F32" s="41" t="n">
        <f aca="false">E32*(1-Annahmen!$B$33*$C$5)+F$21*$E$5*Annahmen!$B$21*Annahmen!$B$24</f>
        <v>0.46920020063232</v>
      </c>
      <c r="G32" s="41" t="n">
        <f aca="false">F32*(1-Annahmen!$B$33*$C$5)+G$21*$E$5*Annahmen!$B$21*Annahmen!$B$24</f>
        <v>0.607569798224732</v>
      </c>
      <c r="H32" s="41" t="n">
        <f aca="false">G32*(1-Annahmen!$B$33*$C$5)+H$21*$E$5*Annahmen!$B$21*Annahmen!$B$24</f>
        <v>0.744278960646035</v>
      </c>
      <c r="I32" s="41" t="n">
        <f aca="false">H32*(1-Annahmen!$B$33*$C$5)+I$21*$E$5*Annahmen!$B$21*Annahmen!$B$24</f>
        <v>0.951347613118283</v>
      </c>
      <c r="J32" s="41" t="n">
        <f aca="false">I32*(1-Annahmen!$B$33*$C$5)+J$21*$E$5*Annahmen!$B$21*Annahmen!$B$24</f>
        <v>1.15593144176086</v>
      </c>
      <c r="K32" s="41" t="n">
        <f aca="false">J32*(1-Annahmen!$B$33*$C$5)+K$21*$E$5*Annahmen!$B$21*Annahmen!$B$24</f>
        <v>1.35806026445973</v>
      </c>
      <c r="L32" s="41" t="n">
        <f aca="false">K32*(1-Annahmen!$B$33*$C$5)+L$21*$E$5*Annahmen!$B$21*Annahmen!$B$24</f>
        <v>1.62976354128622</v>
      </c>
      <c r="M32" s="41" t="n">
        <f aca="false">L32*(1-Annahmen!$B$33*$C$5)+M$21*$E$5*Annahmen!$B$21*Annahmen!$B$24</f>
        <v>1.89820637879078</v>
      </c>
      <c r="N32" s="41" t="n">
        <f aca="false">M32*(1-Annahmen!$B$33*$C$5)+N$21*$E$5*Annahmen!$B$21*Annahmen!$B$24</f>
        <v>2.16342790224529</v>
      </c>
      <c r="O32" s="41" t="n">
        <f aca="false">N32*(1-Annahmen!$B$33*$C$5)+O$21*$E$5*Annahmen!$B$21*Annahmen!$B$24</f>
        <v>2.52146676741835</v>
      </c>
      <c r="P32" s="41" t="n">
        <f aca="false">O32*(1-Annahmen!$B$33*$C$5)+P$21*$E$5*Annahmen!$B$21*Annahmen!$B$24</f>
        <v>2.87520916620933</v>
      </c>
      <c r="Q32" s="41" t="n">
        <f aca="false">P32*(1-Annahmen!$B$33*$C$5)+Q$21*$E$5*Annahmen!$B$21*Annahmen!$B$24</f>
        <v>3.22470665621482</v>
      </c>
      <c r="R32" s="41" t="n">
        <f aca="false">Q32*(1-Annahmen!$B$33*$C$5)+R$21*$E$5*Annahmen!$B$21*Annahmen!$B$24</f>
        <v>3.66601017634024</v>
      </c>
      <c r="S32" s="41" t="n">
        <f aca="false">R32*(1-Annahmen!$B$33*$C$5)+S$21*$E$5*Annahmen!$B$21*Annahmen!$B$24</f>
        <v>4.10201805422416</v>
      </c>
      <c r="T32" s="41" t="n">
        <f aca="false">S32*(1-Annahmen!$B$33*$C$5)+T$21*$E$5*Annahmen!$B$21*Annahmen!$B$24</f>
        <v>4.53279383757347</v>
      </c>
      <c r="U32" s="41" t="n">
        <f aca="false">T32*(1-Annahmen!$B$33*$C$5)+U$21*$E$5*Annahmen!$B$21*Annahmen!$B$24</f>
        <v>5.05440031152259</v>
      </c>
      <c r="V32" s="41" t="n">
        <f aca="false">U32*(1-Annahmen!$B$33*$C$5)+V$21*$E$5*Annahmen!$B$21*Annahmen!$B$24</f>
        <v>5.56974750778431</v>
      </c>
      <c r="W32" s="41" t="n">
        <f aca="false">V32*(1-Annahmen!$B$33*$C$5)+W$21*$E$5*Annahmen!$B$21*Annahmen!$B$24</f>
        <v>6.0789105376909</v>
      </c>
      <c r="X32" s="41" t="n">
        <f aca="false">W32*(1-Annahmen!$B$33*$C$5)+X$21*$E$5*Annahmen!$B$21*Annahmen!$B$24</f>
        <v>6.67796361123861</v>
      </c>
      <c r="Y32" s="41" t="n">
        <f aca="false">X32*(1-Annahmen!$B$33*$C$5)+Y$21*$E$5*Annahmen!$B$21*Annahmen!$B$24</f>
        <v>7.26982804790375</v>
      </c>
      <c r="Z32" s="41" t="n">
        <f aca="false">Y32*(1-Annahmen!$B$33*$C$5)+Z$21*$E$5*Annahmen!$B$21*Annahmen!$B$24</f>
        <v>7.8545901113289</v>
      </c>
      <c r="AA32" s="41" t="n">
        <f aca="false">Z32*(1-Annahmen!$B$33*$C$5)+AA$21*$E$5*Annahmen!$B$21*Annahmen!$B$24</f>
        <v>8.48033502999295</v>
      </c>
      <c r="AB32" s="41" t="n">
        <f aca="false">AA32*(1-Annahmen!$B$33*$C$5)+AB$21*$E$5*Annahmen!$B$21*Annahmen!$B$24</f>
        <v>9.09857100963304</v>
      </c>
      <c r="AC32" s="41" t="n">
        <f aca="false">AB32*(1-Annahmen!$B$33*$C$5)+AC$21*$E$5*Annahmen!$B$21*Annahmen!$B$24</f>
        <v>9.70938815751744</v>
      </c>
      <c r="AD32" s="41" t="n">
        <f aca="false">AC32*(1-Annahmen!$B$33*$C$5)+AD$21*$E$5*Annahmen!$B$21*Annahmen!$B$24</f>
        <v>10.3848754996272</v>
      </c>
      <c r="AE32" s="41" t="n">
        <f aca="false">AD32*(1-Annahmen!$B$33*$C$5)+AE$21*$E$5*Annahmen!$B$21*Annahmen!$B$24</f>
        <v>11.0522569936317</v>
      </c>
      <c r="AF32" s="41" t="n">
        <f aca="false">AE32*(1-Annahmen!$B$33*$C$5)+AF$21*$E$5*Annahmen!$B$21*Annahmen!$B$24</f>
        <v>11.7116299097081</v>
      </c>
      <c r="AG32" s="41" t="n">
        <f aca="false">AF32*(1-Annahmen!$B$33*$C$5)+AG$21*$E$5*Annahmen!$B$21*Annahmen!$B$24</f>
        <v>12.4350903507916</v>
      </c>
      <c r="AH32" s="41" t="n">
        <f aca="false">AG32*(1-Annahmen!$B$33*$C$5)+AH$21*$E$5*Annahmen!$B$21*Annahmen!$B$24</f>
        <v>13.1498692665821</v>
      </c>
      <c r="AI32" s="41" t="n">
        <f aca="false">AH32*(1-Annahmen!$B$33*$C$5)+AI$21*$E$5*Annahmen!$B$21*Annahmen!$B$24</f>
        <v>13.8560708353831</v>
      </c>
      <c r="AJ32" s="41" t="n">
        <f aca="false">AI32*(1-Annahmen!$B$33*$C$5)+AJ$21*$E$5*Annahmen!$B$21*Annahmen!$B$24</f>
        <v>14.6497979853585</v>
      </c>
      <c r="AK32" s="41" t="n">
        <f aca="false">AJ32*(1-Annahmen!$B$33*$C$5)+AK$21*$E$5*Annahmen!$B$21*Annahmen!$B$24</f>
        <v>15.4340004095342</v>
      </c>
      <c r="AL32" s="41" t="n">
        <f aca="false">AK32*(1-Annahmen!$B$33*$C$5)+AL$21*$E$5*Annahmen!$B$21*Annahmen!$B$24</f>
        <v>16.2087924046198</v>
      </c>
      <c r="AM32" s="41" t="n">
        <f aca="false">AL32*(1-Annahmen!$B$33*$C$5)+AM$21*$E$5*Annahmen!$B$21*Annahmen!$B$24</f>
        <v>17.0942868957644</v>
      </c>
      <c r="AN32" s="41" t="n">
        <f aca="false">AM32*(1-Annahmen!$B$33*$C$5)+AN$21*$E$5*Annahmen!$B$21*Annahmen!$B$24</f>
        <v>17.9691554530152</v>
      </c>
      <c r="AO32" s="41" t="n">
        <f aca="false">AN32*(1-Annahmen!$B$33*$C$5)+AO$21*$E$5*Annahmen!$B$21*Annahmen!$B$24</f>
        <v>18.833525587579</v>
      </c>
      <c r="AP32" s="41" t="n">
        <f aca="false">AO32*(1-Annahmen!$B$33*$C$5)+AP$21*$E$5*Annahmen!$B$21*Annahmen!$B$24</f>
        <v>19.6875232805281</v>
      </c>
      <c r="AQ32" s="41" t="n">
        <f aca="false">AP32*(1-Annahmen!$B$33*$C$5)+AQ$21*$E$5*Annahmen!$B$21*Annahmen!$B$24</f>
        <v>20.5312730011617</v>
      </c>
      <c r="AR32" s="41" t="n">
        <f aca="false">AQ32*(1-Annahmen!$B$33*$C$5)+AR$21*$E$5*Annahmen!$B$21*Annahmen!$B$24</f>
        <v>21.3648977251478</v>
      </c>
      <c r="AS32" s="41" t="n">
        <f aca="false">AR32*(1-Annahmen!$B$33*$C$5)+AS$21*$E$5*Annahmen!$B$21*Annahmen!$B$24</f>
        <v>22.188518952446</v>
      </c>
      <c r="AT32" s="41" t="n">
        <f aca="false">AS32*(1-Annahmen!$B$33*$C$5)+AT$21*$E$5*Annahmen!$B$21*Annahmen!$B$24</f>
        <v>23.0022567250167</v>
      </c>
      <c r="AU32" s="41" t="n">
        <f aca="false">AT32*(1-Annahmen!$B$33*$C$5)+AU$21*$E$5*Annahmen!$B$21*Annahmen!$B$24</f>
        <v>23.8062296443165</v>
      </c>
      <c r="AV32" s="41" t="n">
        <f aca="false">AU32*(1-Annahmen!$B$33*$C$5)+AV$21*$E$5*Annahmen!$B$21*Annahmen!$B$24</f>
        <v>24.6005548885847</v>
      </c>
      <c r="AW32" s="41" t="n">
        <f aca="false">AV32*(1-Annahmen!$B$33*$C$5)+AW$21*$E$5*Annahmen!$B$21*Annahmen!$B$24</f>
        <v>25.3853482299217</v>
      </c>
      <c r="AX32" s="41" t="n">
        <f aca="false">AW32*(1-Annahmen!$B$33*$C$5)+AX$21*$E$5*Annahmen!$B$21*Annahmen!$B$24</f>
        <v>26.1607240511626</v>
      </c>
      <c r="AY32" s="41" t="n">
        <f aca="false">AX32*(1-Annahmen!$B$33*$C$5)+AY$21*$E$5*Annahmen!$B$21*Annahmen!$B$24</f>
        <v>27.1667953625486</v>
      </c>
      <c r="AZ32" s="41" t="n">
        <f aca="false">AY32*(1-Annahmen!$B$33*$C$5)+AZ$21*$E$5*Annahmen!$B$21*Annahmen!$B$24</f>
        <v>28.1607938181981</v>
      </c>
      <c r="BA32" s="41" t="n">
        <f aca="false">AZ32*(1-Annahmen!$B$33*$C$5)+BA$21*$E$5*Annahmen!$B$21*Annahmen!$B$24</f>
        <v>29.1428642923797</v>
      </c>
      <c r="BB32" s="41" t="n">
        <f aca="false">BA32*(1-Annahmen!$B$33*$C$5)+BB$21*$E$5*Annahmen!$B$21*Annahmen!$B$24</f>
        <v>30.1131499208711</v>
      </c>
      <c r="BC32" s="41" t="n">
        <f aca="false">BB32*(1-Annahmen!$B$33*$C$5)+BC$21*$E$5*Annahmen!$B$21*Annahmen!$B$24</f>
        <v>31.0717921218207</v>
      </c>
      <c r="BD32" s="41" t="n">
        <f aca="false">BC32*(1-Annahmen!$B$33*$C$5)+BD$21*$E$5*Annahmen!$B$21*Annahmen!$B$24</f>
        <v>32.0189306163588</v>
      </c>
      <c r="BE32" s="41" t="n">
        <f aca="false">BD32*(1-Annahmen!$B$33*$C$5)+BE$21*$E$5*Annahmen!$B$21*Annahmen!$B$24</f>
        <v>32.9547034489625</v>
      </c>
      <c r="BF32" s="41" t="n">
        <f aca="false">BE32*(1-Annahmen!$B$33*$C$5)+BF$21*$E$5*Annahmen!$B$21*Annahmen!$B$24</f>
        <v>33.879247007575</v>
      </c>
      <c r="BG32" s="41" t="n">
        <f aca="false">BF32*(1-Annahmen!$B$33*$C$5)+BG$21*$E$5*Annahmen!$B$21*Annahmen!$B$24</f>
        <v>34.7926960434841</v>
      </c>
      <c r="BH32" s="41" t="n">
        <f aca="false">BG32*(1-Annahmen!$B$33*$C$5)+BH$21*$E$5*Annahmen!$B$21*Annahmen!$B$24</f>
        <v>35.6951836909622</v>
      </c>
      <c r="BI32" s="41" t="n">
        <f aca="false">BH32*(1-Annahmen!$B$33*$C$5)+BI$21*$E$5*Annahmen!$B$21*Annahmen!$B$24</f>
        <v>36.5868414866707</v>
      </c>
      <c r="BJ32" s="41" t="n">
        <f aca="false">BI32*(1-Annahmen!$B$33*$C$5)+BJ$21*$E$5*Annahmen!$B$21*Annahmen!$B$24</f>
        <v>37.4677993888307</v>
      </c>
    </row>
    <row r="33" customFormat="false" ht="15" hidden="false" customHeight="false" outlineLevel="0" collapsed="false">
      <c r="B33" s="5" t="s">
        <v>223</v>
      </c>
      <c r="C33" s="38" t="n">
        <f aca="false">C29+C30+C31</f>
        <v>7.8798</v>
      </c>
      <c r="D33" s="38" t="n">
        <f aca="false">D29+D30+D31</f>
        <v>10.6905764</v>
      </c>
      <c r="E33" s="38" t="n">
        <f aca="false">E29+E30+E31</f>
        <v>13.4341033032</v>
      </c>
      <c r="F33" s="38" t="n">
        <f aca="false">F29+F30+F31</f>
        <v>19.1121069121616</v>
      </c>
      <c r="G33" s="38" t="n">
        <f aca="false">G29+G30+G31</f>
        <v>24.6541468666937</v>
      </c>
      <c r="H33" s="38" t="n">
        <f aca="false">H29+H30+H31</f>
        <v>30.0637153834963</v>
      </c>
      <c r="I33" s="38" t="n">
        <f aca="false">I29+I30+I31</f>
        <v>38.3442104365935</v>
      </c>
      <c r="J33" s="38" t="n">
        <f aca="false">J29+J30+J31</f>
        <v>46.4268183886574</v>
      </c>
      <c r="K33" s="38" t="n">
        <f aca="false">K29+K30+K31</f>
        <v>54.3166143871376</v>
      </c>
      <c r="L33" s="38" t="n">
        <f aca="false">L29+L30+L31</f>
        <v>65.0185367652986</v>
      </c>
      <c r="M33" s="38" t="n">
        <f aca="false">M29+M30+M31</f>
        <v>75.4652708593097</v>
      </c>
      <c r="N33" s="38" t="n">
        <f aca="false">N29+N30+N31</f>
        <v>85.6633505563109</v>
      </c>
      <c r="O33" s="38" t="n">
        <f aca="false">O29+O30+O31</f>
        <v>99.6191338145391</v>
      </c>
      <c r="P33" s="38" t="n">
        <f aca="false">P29+P30+P31</f>
        <v>113.242647567612</v>
      </c>
      <c r="Q33" s="38" t="n">
        <f aca="false">Q29+Q30+Q31</f>
        <v>126.542389608815</v>
      </c>
      <c r="R33" s="38" t="n">
        <f aca="false">R29+R30+R31</f>
        <v>143.526629110016</v>
      </c>
      <c r="S33" s="38" t="n">
        <f aca="false">S29+S30+S31</f>
        <v>160.107252991185</v>
      </c>
      <c r="T33" s="38" t="n">
        <f aca="false">T29+T30+T31</f>
        <v>176.294569228157</v>
      </c>
      <c r="U33" s="38" t="n">
        <f aca="false">U29+U30+U31</f>
        <v>196.098608754484</v>
      </c>
      <c r="V33" s="38" t="n">
        <f aca="false">V29+V30+V31</f>
        <v>215.432973174521</v>
      </c>
      <c r="W33" s="38" t="n">
        <f aca="false">W29+W30+W31</f>
        <v>234.309639376527</v>
      </c>
      <c r="X33" s="38" t="n">
        <f aca="false">X29+X30+X31</f>
        <v>256.740262702735</v>
      </c>
      <c r="Y33" s="38" t="n">
        <f aca="false">Y29+Y30+Y31</f>
        <v>278.640025894593</v>
      </c>
      <c r="Z33" s="38" t="n">
        <f aca="false">Z29+Z30+Z31</f>
        <v>300.022444903036</v>
      </c>
      <c r="AA33" s="38" t="n">
        <f aca="false">AA29+AA30+AA31</f>
        <v>322.900673221716</v>
      </c>
      <c r="AB33" s="38" t="n">
        <f aca="false">AB29+AB30+AB31</f>
        <v>345.239431962399</v>
      </c>
      <c r="AC33" s="38" t="n">
        <f aca="false">AC29+AC30+AC31</f>
        <v>367.052418203337</v>
      </c>
      <c r="AD33" s="38" t="n">
        <f aca="false">AD29+AD30+AD31</f>
        <v>391.352962444178</v>
      </c>
      <c r="AE33" s="38" t="n">
        <f aca="false">AE29+AE30+AE31</f>
        <v>415.081918781528</v>
      </c>
      <c r="AF33" s="38" t="n">
        <f aca="false">AF29+AF30+AF31</f>
        <v>438.253772634903</v>
      </c>
      <c r="AG33" s="38" t="n">
        <f aca="false">AG29+AG30+AG31</f>
        <v>463.882622269377</v>
      </c>
      <c r="AH33" s="38" t="n">
        <f aca="false">AH29+AH30+AH31</f>
        <v>488.910069532081</v>
      </c>
      <c r="AI33" s="38" t="n">
        <f aca="false">AI29+AI30+AI31</f>
        <v>513.35132812334</v>
      </c>
      <c r="AJ33" s="38" t="n">
        <f aca="false">AJ29+AJ30+AJ31</f>
        <v>541.221205649189</v>
      </c>
      <c r="AK33" s="38" t="n">
        <f aca="false">AK29+AK30+AK31</f>
        <v>568.437954872874</v>
      </c>
      <c r="AL33" s="38" t="n">
        <f aca="false">AL29+AL30+AL31</f>
        <v>595.018081766534</v>
      </c>
      <c r="AM33" s="38" t="n">
        <f aca="false">AM29+AM30+AM31</f>
        <v>625.977652022882</v>
      </c>
      <c r="AN33" s="38" t="n">
        <f aca="false">AN29+AN30+AN31</f>
        <v>656.212103247884</v>
      </c>
      <c r="AO33" s="38" t="n">
        <f aca="false">AO29+AO30+AO31</f>
        <v>685.739753206987</v>
      </c>
      <c r="AP33" s="38" t="n">
        <f aca="false">AP29+AP30+AP31</f>
        <v>714.578431198113</v>
      </c>
      <c r="AQ33" s="38" t="n">
        <f aca="false">AQ29+AQ30+AQ31</f>
        <v>742.745491576181</v>
      </c>
      <c r="AR33" s="38" t="n">
        <f aca="false">AR29+AR30+AR31</f>
        <v>770.257826893389</v>
      </c>
      <c r="AS33" s="38" t="n">
        <f aca="false">AS29+AS30+AS31</f>
        <v>797.131880666351</v>
      </c>
      <c r="AT33" s="38" t="n">
        <f aca="false">AT29+AT30+AT31</f>
        <v>823.383659780892</v>
      </c>
      <c r="AU33" s="38" t="n">
        <f aca="false">AU29+AU30+AU31</f>
        <v>849.028746544951</v>
      </c>
      <c r="AV33" s="38" t="n">
        <f aca="false">AV29+AV30+AV31</f>
        <v>874.082310399781</v>
      </c>
      <c r="AW33" s="38" t="n">
        <f aca="false">AW29+AW30+AW31</f>
        <v>898.559119299286</v>
      </c>
      <c r="AX33" s="38" t="n">
        <f aca="false">AX29+AX30+AX31</f>
        <v>922.473550767096</v>
      </c>
      <c r="AY33" s="38" t="n">
        <f aca="false">AY29+AY30+AY31</f>
        <v>955.839602640662</v>
      </c>
      <c r="AZ33" s="38" t="n">
        <f aca="false">AZ29+AZ30+AZ31</f>
        <v>988.430503511406</v>
      </c>
      <c r="BA33" s="38" t="n">
        <f aca="false">BA29+BA30+BA31</f>
        <v>1020.26571566969</v>
      </c>
      <c r="BB33" s="38" t="n">
        <f aca="false">BB29+BB30+BB31</f>
        <v>1051.3641846895</v>
      </c>
      <c r="BC33" s="38" t="n">
        <f aca="false">BC29+BC30+BC31</f>
        <v>1081.74435369121</v>
      </c>
      <c r="BD33" s="38" t="n">
        <f aca="false">BD29+BD30+BD31</f>
        <v>1111.42417719996</v>
      </c>
      <c r="BE33" s="38" t="n">
        <f aca="false">BE29+BE30+BE31</f>
        <v>1140.42113461139</v>
      </c>
      <c r="BF33" s="38" t="n">
        <f aca="false">BF29+BF30+BF31</f>
        <v>1168.75224327597</v>
      </c>
      <c r="BG33" s="38" t="n">
        <f aca="false">BG29+BG30+BG31</f>
        <v>1196.43407121304</v>
      </c>
      <c r="BH33" s="38" t="n">
        <f aca="false">BH29+BH30+BH31</f>
        <v>1223.48274946514</v>
      </c>
      <c r="BI33" s="38" t="n">
        <f aca="false">BI29+BI30+BI31</f>
        <v>1249.91398410305</v>
      </c>
      <c r="BJ33" s="38" t="n">
        <f aca="false">BJ29+BJ30+BJ31</f>
        <v>1275.74306789165</v>
      </c>
    </row>
    <row r="34" customFormat="false" ht="15" hidden="false" customHeight="false" outlineLevel="0" collapsed="false">
      <c r="B34" s="5" t="s">
        <v>400</v>
      </c>
      <c r="C34" s="37" t="n">
        <f aca="false">(C29*Annahmen!$B$10+C30*(Annahmen!$B$11+Annahmen!$B$13*Annahmen!$B$22)+C31*(Annahmen!$B$12+Annahmen!$B$14*Annahmen!$B$23)+C32*Annahmen!$B$16)*$D$5</f>
        <v>943.44064</v>
      </c>
      <c r="D34" s="37" t="n">
        <f aca="false">(D29*Annahmen!$B$10+D30*(Annahmen!$B$11+Annahmen!$B$13*Annahmen!$B$22)+D31*(Annahmen!$B$12+Annahmen!$B$14*Annahmen!$B$23)+D32*Annahmen!$B$16)*$D$5</f>
        <v>1283.40527032</v>
      </c>
      <c r="E34" s="37" t="n">
        <f aca="false">(E29*Annahmen!$B$10+E30*(Annahmen!$B$11+Annahmen!$B$13*Annahmen!$B$22)+E31*(Annahmen!$B$12+Annahmen!$B$14*Annahmen!$B$23)+E32*Annahmen!$B$16)*$D$5</f>
        <v>1616.86594521616</v>
      </c>
      <c r="F34" s="37" t="n">
        <f aca="false">(F29*Annahmen!$B$10+F30*(Annahmen!$B$11+Annahmen!$B$13*Annahmen!$B$22)+F31*(Annahmen!$B$12+Annahmen!$B$14*Annahmen!$B$23)+F32*Annahmen!$B$16)*$D$5</f>
        <v>2302.05939119577</v>
      </c>
      <c r="G34" s="37" t="n">
        <f aca="false">(G29*Annahmen!$B$10+G30*(Annahmen!$B$11+Annahmen!$B$13*Annahmen!$B$22)+G31*(Annahmen!$B$12+Annahmen!$B$14*Annahmen!$B$23)+G32*Annahmen!$B$16)*$D$5</f>
        <v>2974.13067472382</v>
      </c>
      <c r="H34" s="37" t="n">
        <f aca="false">(H29*Annahmen!$B$10+H30*(Annahmen!$B$11+Annahmen!$B$13*Annahmen!$B$22)+H31*(Annahmen!$B$12+Annahmen!$B$14*Annahmen!$B$23)+H32*Annahmen!$B$16)*$D$5</f>
        <v>3633.35995950235</v>
      </c>
      <c r="I34" s="37" t="n">
        <f aca="false">(I29*Annahmen!$B$10+I30*(Annahmen!$B$11+Annahmen!$B$13*Annahmen!$B$22)+I31*(Annahmen!$B$12+Annahmen!$B$14*Annahmen!$B$23)+I32*Annahmen!$B$16)*$D$5</f>
        <v>4638.11885228595</v>
      </c>
      <c r="J34" s="37" t="n">
        <f aca="false">(J29*Annahmen!$B$10+J30*(Annahmen!$B$11+Annahmen!$B$13*Annahmen!$B$22)+J31*(Annahmen!$B$12+Annahmen!$B$14*Annahmen!$B$23)+J32*Annahmen!$B$16)*$D$5</f>
        <v>5623.68415169574</v>
      </c>
      <c r="K34" s="37" t="n">
        <f aca="false">(K29*Annahmen!$B$10+K30*(Annahmen!$B$11+Annahmen!$B$13*Annahmen!$B$22)+K31*(Annahmen!$B$12+Annahmen!$B$14*Annahmen!$B$23)+K32*Annahmen!$B$16)*$D$5</f>
        <v>6590.46468445784</v>
      </c>
      <c r="L34" s="37" t="n">
        <f aca="false">(L29*Annahmen!$B$10+L30*(Annahmen!$B$11+Annahmen!$B$13*Annahmen!$B$22)+L31*(Annahmen!$B$12+Annahmen!$B$14*Annahmen!$B$23)+L32*Annahmen!$B$16)*$D$5</f>
        <v>7896.95772808937</v>
      </c>
      <c r="M34" s="37" t="n">
        <f aca="false">(M29*Annahmen!$B$10+M30*(Annahmen!$B$11+Annahmen!$B$13*Annahmen!$B$22)+M31*(Annahmen!$B$12+Annahmen!$B$14*Annahmen!$B$23)+M32*Annahmen!$B$16)*$D$5</f>
        <v>9178.56283455122</v>
      </c>
      <c r="N34" s="37" t="n">
        <f aca="false">(N29*Annahmen!$B$10+N30*(Annahmen!$B$11+Annahmen!$B$13*Annahmen!$B$22)+N31*(Annahmen!$B$12+Annahmen!$B$14*Annahmen!$B$23)+N32*Annahmen!$B$16)*$D$5</f>
        <v>10435.8087393498</v>
      </c>
      <c r="O34" s="37" t="n">
        <f aca="false">(O29*Annahmen!$B$10+O30*(Annahmen!$B$11+Annahmen!$B$13*Annahmen!$B$22)+O31*(Annahmen!$B$12+Annahmen!$B$14*Annahmen!$B$23)+O32*Annahmen!$B$16)*$D$5</f>
        <v>12146.6758551649</v>
      </c>
      <c r="P34" s="37" t="n">
        <f aca="false">(P29*Annahmen!$B$10+P30*(Annahmen!$B$11+Annahmen!$B$13*Annahmen!$B$22)+P31*(Annahmen!$B$12+Annahmen!$B$14*Annahmen!$B$23)+P32*Annahmen!$B$16)*$D$5</f>
        <v>13825.0146925753</v>
      </c>
      <c r="Q34" s="37" t="n">
        <f aca="false">(Q29*Annahmen!$B$10+Q30*(Annahmen!$B$11+Annahmen!$B$13*Annahmen!$B$22)+Q31*(Annahmen!$B$12+Annahmen!$B$14*Annahmen!$B$23)+Q32*Annahmen!$B$16)*$D$5</f>
        <v>15471.5150616802</v>
      </c>
      <c r="R34" s="37" t="n">
        <f aca="false">(R29*Annahmen!$B$10+R30*(Annahmen!$B$11+Annahmen!$B$13*Annahmen!$B$22)+R31*(Annahmen!$B$12+Annahmen!$B$14*Annahmen!$B$23)+R32*Annahmen!$B$16)*$D$5</f>
        <v>17564.3147200434</v>
      </c>
      <c r="S34" s="37" t="n">
        <f aca="false">(S29*Annahmen!$B$10+S30*(Annahmen!$B$11+Annahmen!$B$13*Annahmen!$B$22)+S31*(Annahmen!$B$12+Annahmen!$B$14*Annahmen!$B$23)+S32*Annahmen!$B$16)*$D$5</f>
        <v>19617.4178863823</v>
      </c>
      <c r="T34" s="37" t="n">
        <f aca="false">(T29*Annahmen!$B$10+T30*(Annahmen!$B$11+Annahmen!$B$13*Annahmen!$B$22)+T31*(Annahmen!$B$12+Annahmen!$B$14*Annahmen!$B$23)+T32*Annahmen!$B$16)*$D$5</f>
        <v>21631.6645327039</v>
      </c>
      <c r="U34" s="37" t="n">
        <f aca="false">(U29*Annahmen!$B$10+U30*(Annahmen!$B$11+Annahmen!$B$13*Annahmen!$B$22)+U31*(Annahmen!$B$12+Annahmen!$B$14*Annahmen!$B$23)+U32*Annahmen!$B$16)*$D$5</f>
        <v>24085.3391203836</v>
      </c>
      <c r="V34" s="37" t="n">
        <f aca="false">(V29*Annahmen!$B$10+V30*(Annahmen!$B$11+Annahmen!$B$13*Annahmen!$B$22)+V31*(Annahmen!$B$12+Annahmen!$B$14*Annahmen!$B$23)+V32*Annahmen!$B$16)*$D$5</f>
        <v>26492.5891996729</v>
      </c>
      <c r="W34" s="37" t="n">
        <f aca="false">(W29*Annahmen!$B$10+W30*(Annahmen!$B$11+Annahmen!$B$13*Annahmen!$B$22)+W31*(Annahmen!$B$12+Annahmen!$B$14*Annahmen!$B$23)+W32*Annahmen!$B$16)*$D$5</f>
        <v>28854.3947854022</v>
      </c>
      <c r="X34" s="37" t="n">
        <f aca="false">(X29*Annahmen!$B$10+X30*(Annahmen!$B$11+Annahmen!$B$13*Annahmen!$B$22)+X31*(Annahmen!$B$12+Annahmen!$B$14*Annahmen!$B$23)+X32*Annahmen!$B$16)*$D$5</f>
        <v>31649.1771744353</v>
      </c>
      <c r="Y34" s="37" t="n">
        <f aca="false">(Y29*Annahmen!$B$10+Y30*(Annahmen!$B$11+Annahmen!$B$13*Annahmen!$B$22)+Y31*(Annahmen!$B$12+Annahmen!$B$14*Annahmen!$B$23)+Y32*Annahmen!$B$16)*$D$5</f>
        <v>34391.2176244223</v>
      </c>
      <c r="Z34" s="37" t="n">
        <f aca="false">(Z29*Annahmen!$B$10+Z30*(Annahmen!$B$11+Annahmen!$B$13*Annahmen!$B$22)+Z31*(Annahmen!$B$12+Annahmen!$B$14*Annahmen!$B$23)+Z32*Annahmen!$B$16)*$D$5</f>
        <v>37081.6268066747</v>
      </c>
      <c r="AA34" s="37" t="n">
        <f aca="false">(AA29*Annahmen!$B$10+AA30*(Annahmen!$B$11+Annahmen!$B$13*Annahmen!$B$22)+AA31*(Annahmen!$B$12+Annahmen!$B$14*Annahmen!$B$23)+AA32*Annahmen!$B$16)*$D$5</f>
        <v>39960.2216987766</v>
      </c>
      <c r="AB34" s="37" t="n">
        <f aca="false">(AB29*Annahmen!$B$10+AB30*(Annahmen!$B$11+Annahmen!$B$13*Annahmen!$B$22)+AB31*(Annahmen!$B$12+Annahmen!$B$14*Annahmen!$B$23)+AB32*Annahmen!$B$16)*$D$5</f>
        <v>42784.7352805315</v>
      </c>
      <c r="AC34" s="37" t="n">
        <f aca="false">(AC29*Annahmen!$B$10+AC30*(Annahmen!$B$11+Annahmen!$B$13*Annahmen!$B$22)+AC31*(Annahmen!$B$12+Annahmen!$B$14*Annahmen!$B$23)+AC32*Annahmen!$B$16)*$D$5</f>
        <v>45556.3016075975</v>
      </c>
      <c r="AD34" s="37" t="n">
        <f aca="false">(AD29*Annahmen!$B$10+AD30*(Annahmen!$B$11+Annahmen!$B$13*Annahmen!$B$22)+AD31*(Annahmen!$B$12+Annahmen!$B$14*Annahmen!$B$23)+AD32*Annahmen!$B$16)*$D$5</f>
        <v>48634.1265958709</v>
      </c>
      <c r="AE34" s="37" t="n">
        <f aca="false">(AE29*Annahmen!$B$10+AE30*(Annahmen!$B$11+Annahmen!$B$13*Annahmen!$B$22)+AE31*(Annahmen!$B$12+Annahmen!$B$14*Annahmen!$B$23)+AE32*Annahmen!$B$16)*$D$5</f>
        <v>51654.3022546705</v>
      </c>
      <c r="AF34" s="37" t="n">
        <f aca="false">(AF29*Annahmen!$B$10+AF30*(Annahmen!$B$11+Annahmen!$B$13*Annahmen!$B$22)+AF31*(Annahmen!$B$12+Annahmen!$B$14*Annahmen!$B$23)+AF32*Annahmen!$B$16)*$D$5</f>
        <v>54618.033994666</v>
      </c>
      <c r="AG34" s="37" t="n">
        <f aca="false">(AG29*Annahmen!$B$10+AG30*(Annahmen!$B$11+Annahmen!$B$13*Annahmen!$B$22)+AG31*(Annahmen!$B$12+Annahmen!$B$14*Annahmen!$B$23)+AG32*Annahmen!$B$16)*$D$5</f>
        <v>57884.5975099213</v>
      </c>
      <c r="AH34" s="37" t="n">
        <f aca="false">(AH29*Annahmen!$B$10+AH30*(Annahmen!$B$11+Annahmen!$B$13*Annahmen!$B$22)+AH31*(Annahmen!$B$12+Annahmen!$B$14*Annahmen!$B$23)+AH32*Annahmen!$B$16)*$D$5</f>
        <v>61090.1530489061</v>
      </c>
      <c r="AI34" s="37" t="n">
        <f aca="false">(AI29*Annahmen!$B$10+AI30*(Annahmen!$B$11+Annahmen!$B$13*Annahmen!$B$22)+AI31*(Annahmen!$B$12+Annahmen!$B$14*Annahmen!$B$23)+AI32*Annahmen!$B$16)*$D$5</f>
        <v>64235.972759286</v>
      </c>
      <c r="AJ34" s="37" t="n">
        <f aca="false">(AJ29*Annahmen!$B$10+AJ30*(Annahmen!$B$11+Annahmen!$B$13*Annahmen!$B$22)+AJ31*(Annahmen!$B$12+Annahmen!$B$14*Annahmen!$B$23)+AJ32*Annahmen!$B$16)*$D$5</f>
        <v>67800.7636058856</v>
      </c>
      <c r="AK34" s="37" t="n">
        <f aca="false">(AK29*Annahmen!$B$10+AK30*(Annahmen!$B$11+Annahmen!$B$13*Annahmen!$B$22)+AK31*(Annahmen!$B$12+Annahmen!$B$14*Annahmen!$B$23)+AK32*Annahmen!$B$16)*$D$5</f>
        <v>71299.0862047051</v>
      </c>
      <c r="AL34" s="37" t="n">
        <f aca="false">(AL29*Annahmen!$B$10+AL30*(Annahmen!$B$11+Annahmen!$B$13*Annahmen!$B$22)+AL31*(Annahmen!$B$12+Annahmen!$B$14*Annahmen!$B$23)+AL32*Annahmen!$B$16)*$D$5</f>
        <v>74732.3244270869</v>
      </c>
      <c r="AM34" s="37" t="n">
        <f aca="false">(AM29*Annahmen!$B$10+AM30*(Annahmen!$B$11+Annahmen!$B$13*Annahmen!$B$22)+AM31*(Annahmen!$B$12+Annahmen!$B$14*Annahmen!$B$23)+AM32*Annahmen!$B$16)*$D$5</f>
        <v>78698.6604397536</v>
      </c>
      <c r="AN34" s="37" t="n">
        <f aca="false">(AN29*Annahmen!$B$10+AN30*(Annahmen!$B$11+Annahmen!$B$13*Annahmen!$B$22)+AN31*(Annahmen!$B$12+Annahmen!$B$14*Annahmen!$B$23)+AN32*Annahmen!$B$16)*$D$5</f>
        <v>82591.0981284201</v>
      </c>
      <c r="AO34" s="37" t="n">
        <f aca="false">(AO29*Annahmen!$B$10+AO30*(Annahmen!$B$11+Annahmen!$B$13*Annahmen!$B$22)+AO31*(Annahmen!$B$12+Annahmen!$B$14*Annahmen!$B$23)+AO32*Annahmen!$B$16)*$D$5</f>
        <v>86411.1749872232</v>
      </c>
      <c r="AP34" s="37" t="n">
        <f aca="false">(AP29*Annahmen!$B$10+AP30*(Annahmen!$B$11+Annahmen!$B$13*Annahmen!$B$22)+AP31*(Annahmen!$B$12+Annahmen!$B$14*Annahmen!$B$23)+AP32*Annahmen!$B$16)*$D$5</f>
        <v>90160.393306033</v>
      </c>
      <c r="AQ34" s="37" t="n">
        <f aca="false">(AQ29*Annahmen!$B$10+AQ30*(Annahmen!$B$11+Annahmen!$B$13*Annahmen!$B$22)+AQ31*(Annahmen!$B$12+Annahmen!$B$14*Annahmen!$B$23)+AQ32*Annahmen!$B$16)*$D$5</f>
        <v>93840.2210401919</v>
      </c>
      <c r="AR34" s="37" t="n">
        <f aca="false">(AR29*Annahmen!$B$10+AR30*(Annahmen!$B$11+Annahmen!$B$13*Annahmen!$B$22)+AR31*(Annahmen!$B$12+Annahmen!$B$14*Annahmen!$B$23)+AR32*Annahmen!$B$16)*$D$5</f>
        <v>97452.0926575058</v>
      </c>
      <c r="AS34" s="37" t="n">
        <f aca="false">(AS29*Annahmen!$B$10+AS30*(Annahmen!$B$11+Annahmen!$B$13*Annahmen!$B$22)+AS31*(Annahmen!$B$12+Annahmen!$B$14*Annahmen!$B$23)+AS32*Annahmen!$B$16)*$D$5</f>
        <v>100997.409963106</v>
      </c>
      <c r="AT34" s="37" t="n">
        <f aca="false">(AT29*Annahmen!$B$10+AT30*(Annahmen!$B$11+Annahmen!$B$13*Annahmen!$B$22)+AT31*(Annahmen!$B$12+Annahmen!$B$14*Annahmen!$B$23)+AT32*Annahmen!$B$16)*$D$5</f>
        <v>104477.542902787</v>
      </c>
      <c r="AU34" s="37" t="n">
        <f aca="false">(AU29*Annahmen!$B$10+AU30*(Annahmen!$B$11+Annahmen!$B$13*Annahmen!$B$22)+AU31*(Annahmen!$B$12+Annahmen!$B$14*Annahmen!$B$23)+AU32*Annahmen!$B$16)*$D$5</f>
        <v>107893.830345402</v>
      </c>
      <c r="AV34" s="37" t="n">
        <f aca="false">(AV29*Annahmen!$B$10+AV30*(Annahmen!$B$11+Annahmen!$B$13*Annahmen!$B$22)+AV31*(Annahmen!$B$12+Annahmen!$B$14*Annahmen!$B$23)+AV32*Annahmen!$B$16)*$D$5</f>
        <v>111247.58084489</v>
      </c>
      <c r="AW34" s="37" t="n">
        <f aca="false">(AW29*Annahmen!$B$10+AW30*(Annahmen!$B$11+Annahmen!$B$13*Annahmen!$B$22)+AW31*(Annahmen!$B$12+Annahmen!$B$14*Annahmen!$B$23)+AW32*Annahmen!$B$16)*$D$5</f>
        <v>114540.073382483</v>
      </c>
      <c r="AX34" s="37" t="n">
        <f aca="false">(AX29*Annahmen!$B$10+AX30*(Annahmen!$B$11+Annahmen!$B$13*Annahmen!$B$22)+AX31*(Annahmen!$B$12+Annahmen!$B$14*Annahmen!$B$23)+AX32*Annahmen!$B$16)*$D$5</f>
        <v>117772.558089643</v>
      </c>
      <c r="AY34" s="37" t="n">
        <f aca="false">(AY29*Annahmen!$B$10+AY30*(Annahmen!$B$11+Annahmen!$B$13*Annahmen!$B$22)+AY31*(Annahmen!$B$12+Annahmen!$B$14*Annahmen!$B$23)+AY32*Annahmen!$B$16)*$D$5</f>
        <v>122139.916952228</v>
      </c>
      <c r="AZ34" s="37" t="n">
        <f aca="false">(AZ29*Annahmen!$B$10+AZ30*(Annahmen!$B$11+Annahmen!$B$13*Annahmen!$B$22)+AZ31*(Annahmen!$B$12+Annahmen!$B$14*Annahmen!$B$23)+AZ32*Annahmen!$B$16)*$D$5</f>
        <v>126426.709776425</v>
      </c>
      <c r="BA34" s="37" t="n">
        <f aca="false">(BA29*Annahmen!$B$10+BA30*(Annahmen!$B$11+Annahmen!$B$13*Annahmen!$B$22)+BA31*(Annahmen!$B$12+Annahmen!$B$14*Annahmen!$B$23)+BA32*Annahmen!$B$16)*$D$5</f>
        <v>130634.597109562</v>
      </c>
      <c r="BB34" s="37" t="n">
        <f aca="false">(BB29*Annahmen!$B$10+BB30*(Annahmen!$B$11+Annahmen!$B$13*Annahmen!$B$22)+BB31*(Annahmen!$B$12+Annahmen!$B$14*Annahmen!$B$23)+BB32*Annahmen!$B$16)*$D$5</f>
        <v>134765.201779292</v>
      </c>
      <c r="BC34" s="37" t="n">
        <f aca="false">(BC29*Annahmen!$B$10+BC30*(Annahmen!$B$11+Annahmen!$B$13*Annahmen!$B$22)+BC31*(Annahmen!$B$12+Annahmen!$B$14*Annahmen!$B$23)+BC32*Annahmen!$B$16)*$D$5</f>
        <v>138820.109819637</v>
      </c>
      <c r="BD34" s="37" t="n">
        <f aca="false">(BD29*Annahmen!$B$10+BD30*(Annahmen!$B$11+Annahmen!$B$13*Annahmen!$B$22)+BD31*(Annahmen!$B$12+Annahmen!$B$14*Annahmen!$B$23)+BD32*Annahmen!$B$16)*$D$5</f>
        <v>142800.871372915</v>
      </c>
      <c r="BE34" s="37" t="n">
        <f aca="false">(BE29*Annahmen!$B$10+BE30*(Annahmen!$B$11+Annahmen!$B$13*Annahmen!$B$22)+BE31*(Annahmen!$B$12+Annahmen!$B$14*Annahmen!$B$23)+BE32*Annahmen!$B$16)*$D$5</f>
        <v>146709.001568224</v>
      </c>
      <c r="BF34" s="37" t="n">
        <f aca="false">(BF29*Annahmen!$B$10+BF30*(Annahmen!$B$11+Annahmen!$B$13*Annahmen!$B$22)+BF31*(Annahmen!$B$12+Annahmen!$B$14*Annahmen!$B$23)+BF32*Annahmen!$B$16)*$D$5</f>
        <v>150545.981377103</v>
      </c>
      <c r="BG34" s="37" t="n">
        <f aca="false">(BG29*Annahmen!$B$10+BG30*(Annahmen!$B$11+Annahmen!$B$13*Annahmen!$B$22)+BG31*(Annahmen!$B$12+Annahmen!$B$14*Annahmen!$B$23)+BG32*Annahmen!$B$16)*$D$5</f>
        <v>154313.258447003</v>
      </c>
      <c r="BH34" s="37" t="n">
        <f aca="false">(BH29*Annahmen!$B$10+BH30*(Annahmen!$B$11+Annahmen!$B$13*Annahmen!$B$22)+BH31*(Annahmen!$B$12+Annahmen!$B$14*Annahmen!$B$23)+BH32*Annahmen!$B$16)*$D$5</f>
        <v>158012.247913158</v>
      </c>
      <c r="BI34" s="37" t="n">
        <f aca="false">(BI29*Annahmen!$B$10+BI30*(Annahmen!$B$11+Annahmen!$B$13*Annahmen!$B$22)+BI31*(Annahmen!$B$12+Annahmen!$B$14*Annahmen!$B$23)+BI32*Annahmen!$B$16)*$D$5</f>
        <v>161644.33318945</v>
      </c>
      <c r="BJ34" s="37" t="n">
        <f aca="false">(BJ29*Annahmen!$B$10+BJ30*(Annahmen!$B$11+Annahmen!$B$13*Annahmen!$B$22)+BJ31*(Annahmen!$B$12+Annahmen!$B$14*Annahmen!$B$23)+BJ32*Annahmen!$B$16)*$D$5</f>
        <v>165210.866738831</v>
      </c>
    </row>
    <row r="35" customFormat="false" ht="15" hidden="false" customHeight="false" outlineLevel="0" collapsed="false">
      <c r="B35" s="5" t="s">
        <v>228</v>
      </c>
      <c r="C35" s="37" t="n">
        <f aca="false">C34*(1-Annahmen!$B$27)+C$21*$E$5*Annahmen!$B$21*Annahmen!$B$24*Annahmen!$B$15*$D$5</f>
        <v>1039.548608</v>
      </c>
      <c r="D35" s="37" t="n">
        <f aca="false">D34*(1-Annahmen!$B$27)+D$21*$E$5*Annahmen!$B$21*Annahmen!$B$24*Annahmen!$B$15*$D$5</f>
        <v>1362.515006804</v>
      </c>
      <c r="E35" s="37" t="n">
        <f aca="false">E34*(1-Annahmen!$B$27)+E$21*$E$5*Annahmen!$B$21*Annahmen!$B$24*Annahmen!$B$15*$D$5</f>
        <v>1679.30264795535</v>
      </c>
      <c r="F35" s="37" t="n">
        <f aca="false">F34*(1-Annahmen!$B$27)+F$21*$E$5*Annahmen!$B$21*Annahmen!$B$24*Annahmen!$B$15*$D$5</f>
        <v>2473.51642163598</v>
      </c>
      <c r="G35" s="37" t="n">
        <f aca="false">G34*(1-Annahmen!$B$27)+G$21*$E$5*Annahmen!$B$21*Annahmen!$B$24*Annahmen!$B$15*$D$5</f>
        <v>3111.98414098763</v>
      </c>
      <c r="H35" s="37" t="n">
        <f aca="false">H34*(1-Annahmen!$B$27)+H$21*$E$5*Annahmen!$B$21*Annahmen!$B$24*Annahmen!$B$15*$D$5</f>
        <v>3738.25196152723</v>
      </c>
      <c r="I35" s="37" t="n">
        <f aca="false">I34*(1-Annahmen!$B$27)+I$21*$E$5*Annahmen!$B$21*Annahmen!$B$24*Annahmen!$B$15*$D$5</f>
        <v>4836.05290967166</v>
      </c>
      <c r="J35" s="37" t="n">
        <f aca="false">J34*(1-Annahmen!$B$27)+J$21*$E$5*Annahmen!$B$21*Annahmen!$B$24*Annahmen!$B$15*$D$5</f>
        <v>5772.33994411096</v>
      </c>
      <c r="K35" s="37" t="n">
        <f aca="false">K34*(1-Annahmen!$B$27)+K$21*$E$5*Annahmen!$B$21*Annahmen!$B$24*Annahmen!$B$15*$D$5</f>
        <v>6690.78145023495</v>
      </c>
      <c r="L35" s="37" t="n">
        <f aca="false">L34*(1-Annahmen!$B$27)+L$21*$E$5*Annahmen!$B$21*Annahmen!$B$24*Annahmen!$B$15*$D$5</f>
        <v>8075.2298416849</v>
      </c>
      <c r="M35" s="37" t="n">
        <f aca="false">M34*(1-Annahmen!$B$27)+M$21*$E$5*Annahmen!$B$21*Annahmen!$B$24*Annahmen!$B$15*$D$5</f>
        <v>9292.75469282366</v>
      </c>
      <c r="N35" s="37" t="n">
        <f aca="false">N34*(1-Annahmen!$B$27)+N$21*$E$5*Annahmen!$B$21*Annahmen!$B$24*Annahmen!$B$15*$D$5</f>
        <v>10487.1383023823</v>
      </c>
      <c r="O35" s="37" t="n">
        <f aca="false">O34*(1-Annahmen!$B$27)+O$21*$E$5*Annahmen!$B$21*Annahmen!$B$24*Annahmen!$B$15*$D$5</f>
        <v>12303.5020624067</v>
      </c>
      <c r="P35" s="37" t="n">
        <f aca="false">P34*(1-Annahmen!$B$27)+P$21*$E$5*Annahmen!$B$21*Annahmen!$B$24*Annahmen!$B$15*$D$5</f>
        <v>13897.9239579466</v>
      </c>
      <c r="Q35" s="37" t="n">
        <f aca="false">Q34*(1-Annahmen!$B$27)+Q$21*$E$5*Annahmen!$B$21*Annahmen!$B$24*Annahmen!$B$15*$D$5</f>
        <v>15462.0993085962</v>
      </c>
      <c r="R35" s="37" t="n">
        <f aca="false">R34*(1-Annahmen!$B$27)+R$21*$E$5*Annahmen!$B$21*Annahmen!$B$24*Annahmen!$B$15*$D$5</f>
        <v>17641.2989840413</v>
      </c>
      <c r="S35" s="37" t="n">
        <f aca="false">S34*(1-Annahmen!$B$27)+S$21*$E$5*Annahmen!$B$21*Annahmen!$B$24*Annahmen!$B$15*$D$5</f>
        <v>19591.7469920632</v>
      </c>
      <c r="T35" s="37" t="n">
        <f aca="false">T34*(1-Annahmen!$B$27)+T$21*$E$5*Annahmen!$B$21*Annahmen!$B$24*Annahmen!$B$15*$D$5</f>
        <v>21505.2813060687</v>
      </c>
      <c r="U35" s="37" t="n">
        <f aca="false">U34*(1-Annahmen!$B$27)+U$21*$E$5*Annahmen!$B$21*Annahmen!$B$24*Annahmen!$B$15*$D$5</f>
        <v>24027.3121643645</v>
      </c>
      <c r="V35" s="37" t="n">
        <f aca="false">V34*(1-Annahmen!$B$27)+V$21*$E$5*Annahmen!$B$21*Annahmen!$B$24*Annahmen!$B$15*$D$5</f>
        <v>26314.1997396893</v>
      </c>
      <c r="W35" s="37" t="n">
        <f aca="false">W34*(1-Annahmen!$B$27)+W$21*$E$5*Annahmen!$B$21*Annahmen!$B$24*Annahmen!$B$15*$D$5</f>
        <v>28557.9150461321</v>
      </c>
      <c r="X35" s="37" t="n">
        <f aca="false">X34*(1-Annahmen!$B$27)+X$21*$E$5*Annahmen!$B$21*Annahmen!$B$24*Annahmen!$B$15*$D$5</f>
        <v>31403.9983157135</v>
      </c>
      <c r="Y35" s="37" t="n">
        <f aca="false">Y34*(1-Annahmen!$B$27)+Y$21*$E$5*Annahmen!$B$21*Annahmen!$B$24*Annahmen!$B$15*$D$5</f>
        <v>34008.9367432012</v>
      </c>
      <c r="Z35" s="37" t="n">
        <f aca="false">Z34*(1-Annahmen!$B$27)+Z$21*$E$5*Annahmen!$B$21*Annahmen!$B$24*Annahmen!$B$15*$D$5</f>
        <v>36564.825466341</v>
      </c>
      <c r="AA35" s="37" t="n">
        <f aca="false">AA34*(1-Annahmen!$B$27)+AA$21*$E$5*Annahmen!$B$21*Annahmen!$B$24*Annahmen!$B$15*$D$5</f>
        <v>39395.0106138377</v>
      </c>
      <c r="AB35" s="37" t="n">
        <f aca="false">AB34*(1-Annahmen!$B$27)+AB$21*$E$5*Annahmen!$B$21*Annahmen!$B$24*Annahmen!$B$15*$D$5</f>
        <v>42078.2985165049</v>
      </c>
      <c r="AC35" s="37" t="n">
        <f aca="false">AC34*(1-Annahmen!$B$27)+AC$21*$E$5*Annahmen!$B$21*Annahmen!$B$24*Annahmen!$B$15*$D$5</f>
        <v>44711.2865272176</v>
      </c>
      <c r="AD35" s="37" t="n">
        <f aca="false">AD34*(1-Annahmen!$B$27)+AD$21*$E$5*Annahmen!$B$21*Annahmen!$B$24*Annahmen!$B$15*$D$5</f>
        <v>47778.5002660774</v>
      </c>
      <c r="AE35" s="37" t="n">
        <f aca="false">AE34*(1-Annahmen!$B$27)+AE$21*$E$5*Annahmen!$B$21*Annahmen!$B$24*Annahmen!$B$15*$D$5</f>
        <v>50647.667141937</v>
      </c>
      <c r="AF35" s="37" t="n">
        <f aca="false">AF34*(1-Annahmen!$B$27)+AF$21*$E$5*Annahmen!$B$21*Annahmen!$B$24*Annahmen!$B$15*$D$5</f>
        <v>53463.2122949327</v>
      </c>
      <c r="AG35" s="37" t="n">
        <f aca="false">AG34*(1-Annahmen!$B$27)+AG$21*$E$5*Annahmen!$B$21*Annahmen!$B$24*Annahmen!$B$15*$D$5</f>
        <v>56709.7276344252</v>
      </c>
      <c r="AH35" s="37" t="n">
        <f aca="false">AH34*(1-Annahmen!$B$27)+AH$21*$E$5*Annahmen!$B$21*Annahmen!$B$24*Annahmen!$B$15*$D$5</f>
        <v>59755.0053964608</v>
      </c>
      <c r="AI35" s="37" t="n">
        <f aca="false">AI34*(1-Annahmen!$B$27)+AI$21*$E$5*Annahmen!$B$21*Annahmen!$B$24*Annahmen!$B$15*$D$5</f>
        <v>62743.5341213217</v>
      </c>
      <c r="AJ35" s="37" t="n">
        <f aca="false">AJ34*(1-Annahmen!$B$27)+AJ$21*$E$5*Annahmen!$B$21*Annahmen!$B$24*Annahmen!$B$15*$D$5</f>
        <v>66321.1254255913</v>
      </c>
      <c r="AK35" s="37" t="n">
        <f aca="false">AK34*(1-Annahmen!$B$27)+AK$21*$E$5*Annahmen!$B$21*Annahmen!$B$24*Annahmen!$B$15*$D$5</f>
        <v>69644.5318944698</v>
      </c>
      <c r="AL35" s="37" t="n">
        <f aca="false">AL34*(1-Annahmen!$B$27)+AL$21*$E$5*Annahmen!$B$21*Annahmen!$B$24*Annahmen!$B$15*$D$5</f>
        <v>72906.1082057325</v>
      </c>
      <c r="AM35" s="37" t="n">
        <f aca="false">AM34*(1-Annahmen!$B$27)+AM$21*$E$5*Annahmen!$B$21*Annahmen!$B$24*Annahmen!$B$15*$D$5</f>
        <v>76912.9274177659</v>
      </c>
      <c r="AN35" s="37" t="n">
        <f aca="false">AN34*(1-Annahmen!$B$27)+AN$21*$E$5*Annahmen!$B$21*Annahmen!$B$24*Annahmen!$B$15*$D$5</f>
        <v>80610.743221999</v>
      </c>
      <c r="AO35" s="37" t="n">
        <f aca="false">AO34*(1-Annahmen!$B$27)+AO$21*$E$5*Annahmen!$B$21*Annahmen!$B$24*Annahmen!$B$15*$D$5</f>
        <v>84239.816237862</v>
      </c>
      <c r="AP35" s="37" t="n">
        <f aca="false">AP34*(1-Annahmen!$B$27)+AP$21*$E$5*Annahmen!$B$21*Annahmen!$B$24*Annahmen!$B$15*$D$5</f>
        <v>87801.5736407313</v>
      </c>
      <c r="AQ35" s="37" t="n">
        <f aca="false">AQ34*(1-Annahmen!$B$27)+AQ$21*$E$5*Annahmen!$B$21*Annahmen!$B$24*Annahmen!$B$15*$D$5</f>
        <v>91297.4099881823</v>
      </c>
      <c r="AR35" s="37" t="n">
        <f aca="false">AR34*(1-Annahmen!$B$27)+AR$21*$E$5*Annahmen!$B$21*Annahmen!$B$24*Annahmen!$B$15*$D$5</f>
        <v>94728.6880246305</v>
      </c>
      <c r="AS35" s="37" t="n">
        <f aca="false">AS34*(1-Annahmen!$B$27)+AS$21*$E$5*Annahmen!$B$21*Annahmen!$B$24*Annahmen!$B$15*$D$5</f>
        <v>98096.7394649511</v>
      </c>
      <c r="AT35" s="37" t="n">
        <f aca="false">AT34*(1-Annahmen!$B$27)+AT$21*$E$5*Annahmen!$B$21*Annahmen!$B$24*Annahmen!$B$15*$D$5</f>
        <v>101402.865757648</v>
      </c>
      <c r="AU35" s="37" t="n">
        <f aca="false">AU34*(1-Annahmen!$B$27)+AU$21*$E$5*Annahmen!$B$21*Annahmen!$B$24*Annahmen!$B$15*$D$5</f>
        <v>104648.338828132</v>
      </c>
      <c r="AV35" s="37" t="n">
        <f aca="false">AV34*(1-Annahmen!$B$27)+AV$21*$E$5*Annahmen!$B$21*Annahmen!$B$24*Annahmen!$B$15*$D$5</f>
        <v>107834.401802645</v>
      </c>
      <c r="AW35" s="37" t="n">
        <f aca="false">AW34*(1-Annahmen!$B$27)+AW$21*$E$5*Annahmen!$B$21*Annahmen!$B$24*Annahmen!$B$15*$D$5</f>
        <v>110962.269713359</v>
      </c>
      <c r="AX35" s="37" t="n">
        <f aca="false">AX34*(1-Annahmen!$B$27)+AX$21*$E$5*Annahmen!$B$21*Annahmen!$B$24*Annahmen!$B$15*$D$5</f>
        <v>114033.130185161</v>
      </c>
      <c r="AY35" s="37" t="n">
        <f aca="false">AY34*(1-Annahmen!$B$27)+AY$21*$E$5*Annahmen!$B$21*Annahmen!$B$24*Annahmen!$B$15*$D$5</f>
        <v>118659.721104617</v>
      </c>
      <c r="AZ35" s="37" t="n">
        <f aca="false">AZ34*(1-Annahmen!$B$27)+AZ$21*$E$5*Annahmen!$B$21*Annahmen!$B$24*Annahmen!$B$15*$D$5</f>
        <v>122732.174287604</v>
      </c>
      <c r="BA35" s="37" t="n">
        <f aca="false">BA34*(1-Annahmen!$B$27)+BA$21*$E$5*Annahmen!$B$21*Annahmen!$B$24*Annahmen!$B$15*$D$5</f>
        <v>126729.667254084</v>
      </c>
      <c r="BB35" s="37" t="n">
        <f aca="false">BB34*(1-Annahmen!$B$27)+BB$21*$E$5*Annahmen!$B$21*Annahmen!$B$24*Annahmen!$B$15*$D$5</f>
        <v>130653.741690327</v>
      </c>
      <c r="BC35" s="37" t="n">
        <f aca="false">BC34*(1-Annahmen!$B$27)+BC$21*$E$5*Annahmen!$B$21*Annahmen!$B$24*Annahmen!$B$15*$D$5</f>
        <v>134505.904328655</v>
      </c>
      <c r="BD35" s="37" t="n">
        <f aca="false">BD34*(1-Annahmen!$B$27)+BD$21*$E$5*Annahmen!$B$21*Annahmen!$B$24*Annahmen!$B$15*$D$5</f>
        <v>138287.627804269</v>
      </c>
      <c r="BE35" s="37" t="n">
        <f aca="false">BE34*(1-Annahmen!$B$27)+BE$21*$E$5*Annahmen!$B$21*Annahmen!$B$24*Annahmen!$B$15*$D$5</f>
        <v>142000.351489813</v>
      </c>
      <c r="BF35" s="37" t="n">
        <f aca="false">BF34*(1-Annahmen!$B$27)+BF$21*$E$5*Annahmen!$B$21*Annahmen!$B$24*Annahmen!$B$15*$D$5</f>
        <v>145645.482308248</v>
      </c>
      <c r="BG35" s="37" t="n">
        <f aca="false">BG34*(1-Annahmen!$B$27)+BG$21*$E$5*Annahmen!$B$21*Annahmen!$B$24*Annahmen!$B$15*$D$5</f>
        <v>149224.395524653</v>
      </c>
      <c r="BH35" s="37" t="n">
        <f aca="false">BH34*(1-Annahmen!$B$27)+BH$21*$E$5*Annahmen!$B$21*Annahmen!$B$24*Annahmen!$B$15*$D$5</f>
        <v>152738.4355175</v>
      </c>
      <c r="BI35" s="37" t="n">
        <f aca="false">BI34*(1-Annahmen!$B$27)+BI$21*$E$5*Annahmen!$B$21*Annahmen!$B$24*Annahmen!$B$15*$D$5</f>
        <v>156188.916529977</v>
      </c>
      <c r="BJ35" s="37" t="n">
        <f aca="false">BJ34*(1-Annahmen!$B$27)+BJ$21*$E$5*Annahmen!$B$21*Annahmen!$B$24*Annahmen!$B$15*$D$5</f>
        <v>159577.12340189</v>
      </c>
    </row>
    <row r="36" customFormat="false" ht="15" hidden="false" customHeight="false" outlineLevel="0" collapsed="false">
      <c r="B36" s="5" t="s">
        <v>239</v>
      </c>
      <c r="C36" s="37" t="n">
        <f aca="false">C29*Annahmen!$B$52+C30*Annahmen!$B$53+C31*Annahmen!$B$54+C35*Annahmen!$B$55+C33*Annahmen!$B$56+C35*INDEX(Annahmen!$B$58:$F$58,1,C$20)*Annahmen!$B$57+C$21*$E$5*Annahmen!$B$21*Annahmen!$B$24*Annahmen!$B$59</f>
        <v>35.782318864</v>
      </c>
      <c r="D36" s="37" t="n">
        <f aca="false">D29*Annahmen!$B$52+D30*Annahmen!$B$53+D31*Annahmen!$B$54+D35*Annahmen!$B$55+D33*Annahmen!$B$56+D35*INDEX(Annahmen!$B$58:$F$58,1,D$20)*Annahmen!$B$57+D$21*$E$5*Annahmen!$B$21*Annahmen!$B$24*Annahmen!$B$59</f>
        <v>44.358373794432</v>
      </c>
      <c r="E36" s="37" t="n">
        <f aca="false">E29*Annahmen!$B$52+E30*Annahmen!$B$53+E31*Annahmen!$B$54+E35*Annahmen!$B$55+E33*Annahmen!$B$56+E35*INDEX(Annahmen!$B$58:$F$58,1,E$20)*Annahmen!$B$57+E$21*$E$5*Annahmen!$B$21*Annahmen!$B$24*Annahmen!$B$59</f>
        <v>52.7641749557628</v>
      </c>
      <c r="F36" s="37" t="n">
        <f aca="false">F29*Annahmen!$B$52+F30*Annahmen!$B$53+F31*Annahmen!$B$54+F35*Annahmen!$B$55+F33*Annahmen!$B$56+F35*INDEX(Annahmen!$B$58:$F$58,1,F$20)*Annahmen!$B$57+F$21*$E$5*Annahmen!$B$21*Annahmen!$B$24*Annahmen!$B$59</f>
        <v>82.0012757961524</v>
      </c>
      <c r="G36" s="37" t="n">
        <f aca="false">G29*Annahmen!$B$52+G30*Annahmen!$B$53+G31*Annahmen!$B$54+G35*Annahmen!$B$55+G33*Annahmen!$B$56+G35*INDEX(Annahmen!$B$58:$F$58,1,G$20)*Annahmen!$B$57+G$21*$E$5*Annahmen!$B$21*Annahmen!$B$24*Annahmen!$B$59</f>
        <v>98.9485047029021</v>
      </c>
      <c r="H36" s="37" t="n">
        <f aca="false">H29*Annahmen!$B$52+H30*Annahmen!$B$53+H31*Annahmen!$B$54+H35*Annahmen!$B$55+H33*Annahmen!$B$56+H35*INDEX(Annahmen!$B$58:$F$58,1,H$20)*Annahmen!$B$57+H$21*$E$5*Annahmen!$B$21*Annahmen!$B$24*Annahmen!$B$59</f>
        <v>115.559715534078</v>
      </c>
      <c r="I36" s="37" t="n">
        <f aca="false">I29*Annahmen!$B$52+I30*Annahmen!$B$53+I31*Annahmen!$B$54+I35*Annahmen!$B$55+I33*Annahmen!$B$56+I35*INDEX(Annahmen!$B$58:$F$58,1,I$20)*Annahmen!$B$57+I$21*$E$5*Annahmen!$B$21*Annahmen!$B$24*Annahmen!$B$59</f>
        <v>152.840122752667</v>
      </c>
      <c r="J36" s="37" t="n">
        <f aca="false">J29*Annahmen!$B$52+J30*Annahmen!$B$53+J31*Annahmen!$B$54+J35*Annahmen!$B$55+J33*Annahmen!$B$56+J35*INDEX(Annahmen!$B$58:$F$58,1,J$20)*Annahmen!$B$57+J$21*$E$5*Annahmen!$B$21*Annahmen!$B$24*Annahmen!$B$59</f>
        <v>177.672127422594</v>
      </c>
      <c r="K36" s="37" t="n">
        <f aca="false">K29*Annahmen!$B$52+K30*Annahmen!$B$53+K31*Annahmen!$B$54+K35*Annahmen!$B$55+K33*Annahmen!$B$56+K35*INDEX(Annahmen!$B$58:$F$58,1,K$20)*Annahmen!$B$57+K$21*$E$5*Annahmen!$B$21*Annahmen!$B$24*Annahmen!$B$59</f>
        <v>202.013070017599</v>
      </c>
      <c r="L36" s="37" t="n">
        <f aca="false">L29*Annahmen!$B$52+L30*Annahmen!$B$53+L31*Annahmen!$B$54+L35*Annahmen!$B$55+L33*Annahmen!$B$56+L35*INDEX(Annahmen!$B$58:$F$58,1,L$20)*Annahmen!$B$57+L$21*$E$5*Annahmen!$B$21*Annahmen!$B$24*Annahmen!$B$59</f>
        <v>246.871567771103</v>
      </c>
      <c r="M36" s="37" t="n">
        <f aca="false">M29*Annahmen!$B$52+M30*Annahmen!$B$53+M31*Annahmen!$B$54+M35*Annahmen!$B$55+M33*Annahmen!$B$56+M35*INDEX(Annahmen!$B$58:$F$58,1,M$20)*Annahmen!$B$57+M$21*$E$5*Annahmen!$B$21*Annahmen!$B$24*Annahmen!$B$59</f>
        <v>279.133342828111</v>
      </c>
      <c r="N36" s="37" t="n">
        <f aca="false">N29*Annahmen!$B$52+N30*Annahmen!$B$53+N31*Annahmen!$B$54+N35*Annahmen!$B$55+N33*Annahmen!$B$56+N35*INDEX(Annahmen!$B$58:$F$58,1,N$20)*Annahmen!$B$57+N$21*$E$5*Annahmen!$B$21*Annahmen!$B$24*Annahmen!$B$59</f>
        <v>310.758977151823</v>
      </c>
      <c r="O36" s="37" t="n">
        <f aca="false">O29*Annahmen!$B$52+O30*Annahmen!$B$53+O31*Annahmen!$B$54+O35*Annahmen!$B$55+O33*Annahmen!$B$56+O35*INDEX(Annahmen!$B$58:$F$58,1,O$20)*Annahmen!$B$57+O$21*$E$5*Annahmen!$B$21*Annahmen!$B$24*Annahmen!$B$59</f>
        <v>677.347065074864</v>
      </c>
      <c r="P36" s="37" t="n">
        <f aca="false">P29*Annahmen!$B$52+P30*Annahmen!$B$53+P31*Annahmen!$B$54+P35*Annahmen!$B$55+P33*Annahmen!$B$56+P35*INDEX(Annahmen!$B$58:$F$58,1,P$20)*Annahmen!$B$57+P$21*$E$5*Annahmen!$B$21*Annahmen!$B$24*Annahmen!$B$59</f>
        <v>759.430244998065</v>
      </c>
      <c r="Q36" s="37" t="n">
        <f aca="false">Q29*Annahmen!$B$52+Q30*Annahmen!$B$53+Q31*Annahmen!$B$54+Q35*Annahmen!$B$55+Q33*Annahmen!$B$56+Q35*INDEX(Annahmen!$B$58:$F$58,1,Q$20)*Annahmen!$B$57+Q$21*$E$5*Annahmen!$B$21*Annahmen!$B$24*Annahmen!$B$59</f>
        <v>839.926375863148</v>
      </c>
      <c r="R36" s="37" t="n">
        <f aca="false">R29*Annahmen!$B$52+R30*Annahmen!$B$53+R31*Annahmen!$B$54+R35*Annahmen!$B$55+R33*Annahmen!$B$56+R35*INDEX(Annahmen!$B$58:$F$58,1,R$20)*Annahmen!$B$57+R$21*$E$5*Annahmen!$B$21*Annahmen!$B$24*Annahmen!$B$59</f>
        <v>962.982524284875</v>
      </c>
      <c r="S36" s="37" t="n">
        <f aca="false">S29*Annahmen!$B$52+S30*Annahmen!$B$53+S31*Annahmen!$B$54+S35*Annahmen!$B$55+S33*Annahmen!$B$56+S35*INDEX(Annahmen!$B$58:$F$58,1,S$20)*Annahmen!$B$57+S$21*$E$5*Annahmen!$B$21*Annahmen!$B$24*Annahmen!$B$59</f>
        <v>1063.35563503587</v>
      </c>
      <c r="T36" s="37" t="n">
        <f aca="false">T29*Annahmen!$B$52+T30*Annahmen!$B$53+T31*Annahmen!$B$54+T35*Annahmen!$B$55+T33*Annahmen!$B$56+T35*INDEX(Annahmen!$B$58:$F$58,1,T$20)*Annahmen!$B$57+T$21*$E$5*Annahmen!$B$21*Annahmen!$B$24*Annahmen!$B$59</f>
        <v>1161.79272723652</v>
      </c>
      <c r="U36" s="37" t="n">
        <f aca="false">U29*Annahmen!$B$52+U30*Annahmen!$B$53+U31*Annahmen!$B$54+U35*Annahmen!$B$55+U33*Annahmen!$B$56+U35*INDEX(Annahmen!$B$58:$F$58,1,U$20)*Annahmen!$B$57+U$21*$E$5*Annahmen!$B$21*Annahmen!$B$24*Annahmen!$B$59</f>
        <v>1302.44830658979</v>
      </c>
      <c r="V36" s="37" t="n">
        <f aca="false">V29*Annahmen!$B$52+V30*Annahmen!$B$53+V31*Annahmen!$B$54+V35*Annahmen!$B$55+V33*Annahmen!$B$56+V35*INDEX(Annahmen!$B$58:$F$58,1,V$20)*Annahmen!$B$57+V$21*$E$5*Annahmen!$B$21*Annahmen!$B$24*Annahmen!$B$59</f>
        <v>1420.08658280893</v>
      </c>
      <c r="W36" s="37" t="n">
        <f aca="false">W29*Annahmen!$B$52+W30*Annahmen!$B$53+W31*Annahmen!$B$54+W35*Annahmen!$B$55+W33*Annahmen!$B$56+W35*INDEX(Annahmen!$B$58:$F$58,1,W$20)*Annahmen!$B$57+W$21*$E$5*Annahmen!$B$21*Annahmen!$B$24*Annahmen!$B$59</f>
        <v>1535.46167019018</v>
      </c>
      <c r="X36" s="37" t="n">
        <f aca="false">X29*Annahmen!$B$52+X30*Annahmen!$B$53+X31*Annahmen!$B$54+X35*Annahmen!$B$55+X33*Annahmen!$B$56+X35*INDEX(Annahmen!$B$58:$F$58,1,X$20)*Annahmen!$B$57+X$21*$E$5*Annahmen!$B$21*Annahmen!$B$24*Annahmen!$B$59</f>
        <v>1692.73500411414</v>
      </c>
      <c r="Y36" s="37" t="n">
        <f aca="false">Y29*Annahmen!$B$52+Y30*Annahmen!$B$53+Y31*Annahmen!$B$54+Y35*Annahmen!$B$55+Y33*Annahmen!$B$56+Y35*INDEX(Annahmen!$B$58:$F$58,1,Y$20)*Annahmen!$B$57+Y$21*$E$5*Annahmen!$B$21*Annahmen!$B$24*Annahmen!$B$59</f>
        <v>1826.67756262681</v>
      </c>
      <c r="Z36" s="37" t="n">
        <f aca="false">Z29*Annahmen!$B$52+Z30*Annahmen!$B$53+Z31*Annahmen!$B$54+Z35*Annahmen!$B$55+Z33*Annahmen!$B$56+Z35*INDEX(Annahmen!$B$58:$F$58,1,Z$20)*Annahmen!$B$57+Z$21*$E$5*Annahmen!$B$21*Annahmen!$B$24*Annahmen!$B$59</f>
        <v>1958.05007105574</v>
      </c>
      <c r="AA36" s="37" t="n">
        <f aca="false">AA29*Annahmen!$B$52+AA30*Annahmen!$B$53+AA31*Annahmen!$B$54+AA35*Annahmen!$B$55+AA33*Annahmen!$B$56+AA35*INDEX(Annahmen!$B$58:$F$58,1,AA$20)*Annahmen!$B$57+AA$21*$E$5*Annahmen!$B$21*Annahmen!$B$24*Annahmen!$B$59</f>
        <v>3093.8392795937</v>
      </c>
      <c r="AB36" s="37" t="n">
        <f aca="false">AB29*Annahmen!$B$52+AB30*Annahmen!$B$53+AB31*Annahmen!$B$54+AB35*Annahmen!$B$55+AB33*Annahmen!$B$56+AB35*INDEX(Annahmen!$B$58:$F$58,1,AB$20)*Annahmen!$B$57+AB$21*$E$5*Annahmen!$B$21*Annahmen!$B$24*Annahmen!$B$59</f>
        <v>3298.7923889895</v>
      </c>
      <c r="AC36" s="37" t="n">
        <f aca="false">AC29*Annahmen!$B$52+AC30*Annahmen!$B$53+AC31*Annahmen!$B$54+AC35*Annahmen!$B$55+AC33*Annahmen!$B$56+AC35*INDEX(Annahmen!$B$58:$F$58,1,AC$20)*Annahmen!$B$57+AC$21*$E$5*Annahmen!$B$21*Annahmen!$B$24*Annahmen!$B$59</f>
        <v>3499.85467315202</v>
      </c>
      <c r="AD36" s="37" t="n">
        <f aca="false">AD29*Annahmen!$B$52+AD30*Annahmen!$B$53+AD31*Annahmen!$B$54+AD35*Annahmen!$B$55+AD33*Annahmen!$B$56+AD35*INDEX(Annahmen!$B$58:$F$58,1,AD$20)*Annahmen!$B$57+AD$21*$E$5*Annahmen!$B$21*Annahmen!$B$24*Annahmen!$B$59</f>
        <v>3742.28007762053</v>
      </c>
      <c r="AE36" s="37" t="n">
        <f aca="false">AE29*Annahmen!$B$52+AE30*Annahmen!$B$53+AE31*Annahmen!$B$54+AE35*Annahmen!$B$55+AE33*Annahmen!$B$56+AE35*INDEX(Annahmen!$B$58:$F$58,1,AE$20)*Annahmen!$B$57+AE$21*$E$5*Annahmen!$B$21*Annahmen!$B$24*Annahmen!$B$59</f>
        <v>3961.35929218473</v>
      </c>
      <c r="AF36" s="37" t="n">
        <f aca="false">AF29*Annahmen!$B$52+AF30*Annahmen!$B$53+AF31*Annahmen!$B$54+AF35*Annahmen!$B$55+AF33*Annahmen!$B$56+AF35*INDEX(Annahmen!$B$58:$F$58,1,AF$20)*Annahmen!$B$57+AF$21*$E$5*Annahmen!$B$21*Annahmen!$B$24*Annahmen!$B$59</f>
        <v>4176.29231433772</v>
      </c>
      <c r="AG36" s="37" t="n">
        <f aca="false">AG29*Annahmen!$B$52+AG30*Annahmen!$B$53+AG31*Annahmen!$B$54+AG35*Annahmen!$B$55+AG33*Annahmen!$B$56+AG35*INDEX(Annahmen!$B$58:$F$58,1,AG$20)*Annahmen!$B$57+AG$21*$E$5*Annahmen!$B$21*Annahmen!$B$24*Annahmen!$B$59</f>
        <v>4432.33825167873</v>
      </c>
      <c r="AH36" s="37" t="n">
        <f aca="false">AH29*Annahmen!$B$52+AH30*Annahmen!$B$53+AH31*Annahmen!$B$54+AH35*Annahmen!$B$55+AH33*Annahmen!$B$56+AH35*INDEX(Annahmen!$B$58:$F$58,1,AH$20)*Annahmen!$B$57+AH$21*$E$5*Annahmen!$B$21*Annahmen!$B$24*Annahmen!$B$59</f>
        <v>4664.79284074239</v>
      </c>
      <c r="AI36" s="37" t="n">
        <f aca="false">AI29*Annahmen!$B$52+AI30*Annahmen!$B$53+AI31*Annahmen!$B$54+AI35*Annahmen!$B$55+AI33*Annahmen!$B$56+AI35*INDEX(Annahmen!$B$58:$F$58,1,AI$20)*Annahmen!$B$57+AI$21*$E$5*Annahmen!$B$21*Annahmen!$B$24*Annahmen!$B$59</f>
        <v>4892.86101324534</v>
      </c>
      <c r="AJ36" s="37" t="n">
        <f aca="false">AJ29*Annahmen!$B$52+AJ30*Annahmen!$B$53+AJ31*Annahmen!$B$54+AJ35*Annahmen!$B$55+AJ33*Annahmen!$B$56+AJ35*INDEX(Annahmen!$B$58:$F$58,1,AJ$20)*Annahmen!$B$57+AJ$21*$E$5*Annahmen!$B$21*Annahmen!$B$24*Annahmen!$B$59</f>
        <v>5176.86384781072</v>
      </c>
      <c r="AK36" s="37" t="n">
        <f aca="false">AK29*Annahmen!$B$52+AK30*Annahmen!$B$53+AK31*Annahmen!$B$54+AK35*Annahmen!$B$55+AK33*Annahmen!$B$56+AK35*INDEX(Annahmen!$B$58:$F$58,1,AK$20)*Annahmen!$B$57+AK$21*$E$5*Annahmen!$B$21*Annahmen!$B$24*Annahmen!$B$59</f>
        <v>5430.50516694185</v>
      </c>
      <c r="AL36" s="37" t="n">
        <f aca="false">AL29*Annahmen!$B$52+AL30*Annahmen!$B$53+AL31*Annahmen!$B$54+AL35*Annahmen!$B$55+AL33*Annahmen!$B$56+AL35*INDEX(Annahmen!$B$58:$F$58,1,AL$20)*Annahmen!$B$57+AL$21*$E$5*Annahmen!$B$21*Annahmen!$B$24*Annahmen!$B$59</f>
        <v>5679.36827761242</v>
      </c>
      <c r="AM36" s="37" t="n">
        <f aca="false">AM29*Annahmen!$B$52+AM30*Annahmen!$B$53+AM31*Annahmen!$B$54+AM35*Annahmen!$B$55+AM33*Annahmen!$B$56+AM35*INDEX(Annahmen!$B$58:$F$58,1,AM$20)*Annahmen!$B$57+AM$21*$E$5*Annahmen!$B$21*Annahmen!$B$24*Annahmen!$B$59</f>
        <v>6960.25110339824</v>
      </c>
      <c r="AN36" s="37" t="n">
        <f aca="false">AN29*Annahmen!$B$52+AN30*Annahmen!$B$53+AN31*Annahmen!$B$54+AN35*Annahmen!$B$55+AN33*Annahmen!$B$56+AN35*INDEX(Annahmen!$B$58:$F$58,1,AN$20)*Annahmen!$B$57+AN$21*$E$5*Annahmen!$B$21*Annahmen!$B$24*Annahmen!$B$59</f>
        <v>7288.66826829153</v>
      </c>
      <c r="AO36" s="37" t="n">
        <f aca="false">AO29*Annahmen!$B$52+AO30*Annahmen!$B$53+AO31*Annahmen!$B$54+AO35*Annahmen!$B$55+AO33*Annahmen!$B$56+AO35*INDEX(Annahmen!$B$58:$F$58,1,AO$20)*Annahmen!$B$57+AO$21*$E$5*Annahmen!$B$21*Annahmen!$B$24*Annahmen!$B$59</f>
        <v>7610.91419243083</v>
      </c>
      <c r="AP36" s="37" t="n">
        <f aca="false">AP29*Annahmen!$B$52+AP30*Annahmen!$B$53+AP31*Annahmen!$B$54+AP35*Annahmen!$B$55+AP33*Annahmen!$B$56+AP35*INDEX(Annahmen!$B$58:$F$58,1,AP$20)*Annahmen!$B$57+AP$21*$E$5*Annahmen!$B$21*Annahmen!$B$24*Annahmen!$B$59</f>
        <v>7927.11847269215</v>
      </c>
      <c r="AQ36" s="37" t="n">
        <f aca="false">AQ29*Annahmen!$B$52+AQ30*Annahmen!$B$53+AQ31*Annahmen!$B$54+AQ35*Annahmen!$B$55+AQ33*Annahmen!$B$56+AQ35*INDEX(Annahmen!$B$58:$F$58,1,AQ$20)*Annahmen!$B$57+AQ$21*$E$5*Annahmen!$B$21*Annahmen!$B$24*Annahmen!$B$59</f>
        <v>8237.4077118305</v>
      </c>
      <c r="AR36" s="37" t="n">
        <f aca="false">AR29*Annahmen!$B$52+AR30*Annahmen!$B$53+AR31*Annahmen!$B$54+AR35*Annahmen!$B$55+AR33*Annahmen!$B$56+AR35*INDEX(Annahmen!$B$58:$F$58,1,AR$20)*Annahmen!$B$57+AR$21*$E$5*Annahmen!$B$21*Annahmen!$B$24*Annahmen!$B$59</f>
        <v>8541.90559303206</v>
      </c>
      <c r="AS36" s="37" t="n">
        <f aca="false">AS29*Annahmen!$B$52+AS30*Annahmen!$B$53+AS31*Annahmen!$B$54+AS35*Annahmen!$B$55+AS33*Annahmen!$B$56+AS35*INDEX(Annahmen!$B$58:$F$58,1,AS$20)*Annahmen!$B$57+AS$21*$E$5*Annahmen!$B$21*Annahmen!$B$24*Annahmen!$B$59</f>
        <v>8840.73295250403</v>
      </c>
      <c r="AT36" s="37" t="n">
        <f aca="false">AT29*Annahmen!$B$52+AT30*Annahmen!$B$53+AT31*Annahmen!$B$54+AT35*Annahmen!$B$55+AT33*Annahmen!$B$56+AT35*INDEX(Annahmen!$B$58:$F$58,1,AT$20)*Annahmen!$B$57+AT$21*$E$5*Annahmen!$B$21*Annahmen!$B$24*Annahmen!$B$59</f>
        <v>9134.00785015573</v>
      </c>
      <c r="AU36" s="37" t="n">
        <f aca="false">AU29*Annahmen!$B$52+AU30*Annahmen!$B$53+AU31*Annahmen!$B$54+AU35*Annahmen!$B$55+AU33*Annahmen!$B$56+AU35*INDEX(Annahmen!$B$58:$F$58,1,AU$20)*Annahmen!$B$57+AU$21*$E$5*Annahmen!$B$21*Annahmen!$B$24*Annahmen!$B$59</f>
        <v>9421.84563842346</v>
      </c>
      <c r="AV36" s="37" t="n">
        <f aca="false">AV29*Annahmen!$B$52+AV30*Annahmen!$B$53+AV31*Annahmen!$B$54+AV35*Annahmen!$B$55+AV33*Annahmen!$B$56+AV35*INDEX(Annahmen!$B$58:$F$58,1,AV$20)*Annahmen!$B$57+AV$21*$E$5*Annahmen!$B$21*Annahmen!$B$24*Annahmen!$B$59</f>
        <v>9704.35902928965</v>
      </c>
      <c r="AW36" s="37" t="n">
        <f aca="false">AW29*Annahmen!$B$52+AW30*Annahmen!$B$53+AW31*Annahmen!$B$54+AW35*Annahmen!$B$55+AW33*Annahmen!$B$56+AW35*INDEX(Annahmen!$B$58:$F$58,1,AW$20)*Annahmen!$B$57+AW$21*$E$5*Annahmen!$B$21*Annahmen!$B$24*Annahmen!$B$59</f>
        <v>9981.65815954583</v>
      </c>
      <c r="AX36" s="37" t="n">
        <f aca="false">AX29*Annahmen!$B$52+AX30*Annahmen!$B$53+AX31*Annahmen!$B$54+AX35*Annahmen!$B$55+AX33*Annahmen!$B$56+AX35*INDEX(Annahmen!$B$58:$F$58,1,AX$20)*Annahmen!$B$57+AX$21*$E$5*Annahmen!$B$21*Annahmen!$B$24*Annahmen!$B$59</f>
        <v>10253.8506543473</v>
      </c>
      <c r="AY36" s="37" t="n">
        <f aca="false">AY29*Annahmen!$B$52+AY30*Annahmen!$B$53+AY31*Annahmen!$B$54+AY35*Annahmen!$B$55+AY33*Annahmen!$B$56+AY35*INDEX(Annahmen!$B$58:$F$58,1,AY$20)*Annahmen!$B$57+AY$21*$E$5*Annahmen!$B$21*Annahmen!$B$24*Annahmen!$B$59</f>
        <v>12175.0043814136</v>
      </c>
      <c r="AZ36" s="37" t="n">
        <f aca="false">AZ29*Annahmen!$B$52+AZ30*Annahmen!$B$53+AZ31*Annahmen!$B$54+AZ35*Annahmen!$B$55+AZ33*Annahmen!$B$56+AZ35*INDEX(Annahmen!$B$58:$F$58,1,AZ$20)*Annahmen!$B$57+AZ$21*$E$5*Annahmen!$B$21*Annahmen!$B$24*Annahmen!$B$59</f>
        <v>12587.2809134899</v>
      </c>
      <c r="BA36" s="37" t="n">
        <f aca="false">BA29*Annahmen!$B$52+BA30*Annahmen!$B$53+BA31*Annahmen!$B$54+BA35*Annahmen!$B$55+BA33*Annahmen!$B$56+BA35*INDEX(Annahmen!$B$58:$F$58,1,BA$20)*Annahmen!$B$57+BA$21*$E$5*Annahmen!$B$21*Annahmen!$B$24*Annahmen!$B$59</f>
        <v>12991.8980296796</v>
      </c>
      <c r="BB36" s="37" t="n">
        <f aca="false">BB29*Annahmen!$B$52+BB30*Annahmen!$B$53+BB31*Annahmen!$B$54+BB35*Annahmen!$B$55+BB33*Annahmen!$B$56+BB35*INDEX(Annahmen!$B$58:$F$58,1,BB$20)*Annahmen!$B$57+BB$21*$E$5*Annahmen!$B$21*Annahmen!$B$24*Annahmen!$B$59</f>
        <v>13389.0148469703</v>
      </c>
      <c r="BC36" s="37" t="n">
        <f aca="false">BC29*Annahmen!$B$52+BC30*Annahmen!$B$53+BC31*Annahmen!$B$54+BC35*Annahmen!$B$55+BC33*Annahmen!$B$56+BC35*INDEX(Annahmen!$B$58:$F$58,1,BC$20)*Annahmen!$B$57+BC$21*$E$5*Annahmen!$B$21*Annahmen!$B$24*Annahmen!$B$59</f>
        <v>13778.7868400046</v>
      </c>
      <c r="BD36" s="37" t="n">
        <f aca="false">BD29*Annahmen!$B$52+BD30*Annahmen!$B$53+BD31*Annahmen!$B$54+BD35*Annahmen!$B$55+BD33*Annahmen!$B$56+BD35*INDEX(Annahmen!$B$58:$F$58,1,BD$20)*Annahmen!$B$57+BD$21*$E$5*Annahmen!$B$21*Annahmen!$B$24*Annahmen!$B$59</f>
        <v>14161.3659311125</v>
      </c>
      <c r="BE36" s="37" t="n">
        <f aca="false">BE29*Annahmen!$B$52+BE30*Annahmen!$B$53+BE31*Annahmen!$B$54+BE35*Annahmen!$B$55+BE33*Annahmen!$B$56+BE35*INDEX(Annahmen!$B$58:$F$58,1,BE$20)*Annahmen!$B$57+BE$21*$E$5*Annahmen!$B$21*Annahmen!$B$24*Annahmen!$B$59</f>
        <v>14536.9005779877</v>
      </c>
      <c r="BF36" s="37" t="n">
        <f aca="false">BF29*Annahmen!$B$52+BF30*Annahmen!$B$53+BF31*Annahmen!$B$54+BF35*Annahmen!$B$55+BF33*Annahmen!$B$56+BF35*INDEX(Annahmen!$B$58:$F$58,1,BF$20)*Annahmen!$B$57+BF$21*$E$5*Annahmen!$B$21*Annahmen!$B$24*Annahmen!$B$59</f>
        <v>14905.5358590709</v>
      </c>
      <c r="BG36" s="37" t="n">
        <f aca="false">BG29*Annahmen!$B$52+BG30*Annahmen!$B$53+BG31*Annahmen!$B$54+BG35*Annahmen!$B$55+BG33*Annahmen!$B$56+BG35*INDEX(Annahmen!$B$58:$F$58,1,BG$20)*Annahmen!$B$57+BG$21*$E$5*Annahmen!$B$21*Annahmen!$B$24*Annahmen!$B$59</f>
        <v>15267.413556703</v>
      </c>
      <c r="BH36" s="37" t="n">
        <f aca="false">BH29*Annahmen!$B$52+BH30*Annahmen!$B$53+BH31*Annahmen!$B$54+BH35*Annahmen!$B$55+BH33*Annahmen!$B$56+BH35*INDEX(Annahmen!$B$58:$F$58,1,BH$20)*Annahmen!$B$57+BH$21*$E$5*Annahmen!$B$21*Annahmen!$B$24*Annahmen!$B$59</f>
        <v>15622.6722381093</v>
      </c>
      <c r="BI36" s="37" t="n">
        <f aca="false">BI29*Annahmen!$B$52+BI30*Annahmen!$B$53+BI31*Annahmen!$B$54+BI35*Annahmen!$B$55+BI33*Annahmen!$B$56+BI35*INDEX(Annahmen!$B$58:$F$58,1,BI$20)*Annahmen!$B$57+BI$21*$E$5*Annahmen!$B$21*Annahmen!$B$24*Annahmen!$B$59</f>
        <v>15971.4473342732</v>
      </c>
      <c r="BJ36" s="37" t="n">
        <f aca="false">BJ29*Annahmen!$B$52+BJ30*Annahmen!$B$53+BJ31*Annahmen!$B$54+BJ35*Annahmen!$B$55+BJ33*Annahmen!$B$56+BJ35*INDEX(Annahmen!$B$58:$F$58,1,BJ$20)*Annahmen!$B$57+BJ$21*$E$5*Annahmen!$B$21*Annahmen!$B$24*Annahmen!$B$59</f>
        <v>16313.8712167572</v>
      </c>
    </row>
    <row r="37" customFormat="false" ht="15" hidden="false" customHeight="false" outlineLevel="0" collapsed="false">
      <c r="B37" s="5" t="s">
        <v>267</v>
      </c>
      <c r="C37" s="37" t="n">
        <f aca="false">C35-C36-C$22</f>
        <v>-15956.233710864</v>
      </c>
      <c r="D37" s="37" t="n">
        <f aca="false">D35-D36-D$22</f>
        <v>-5841.84336699043</v>
      </c>
      <c r="E37" s="37" t="n">
        <f aca="false">E35-E36-E$22</f>
        <v>-6333.46152700041</v>
      </c>
      <c r="F37" s="37" t="n">
        <f aca="false">F35-F36-F$22</f>
        <v>-13768.4848541602</v>
      </c>
      <c r="G37" s="37" t="n">
        <f aca="false">G35-G36-G$22</f>
        <v>-4146.96436371527</v>
      </c>
      <c r="H37" s="37" t="n">
        <f aca="false">H35-H36-H$22</f>
        <v>-3537.30775400685</v>
      </c>
      <c r="I37" s="37" t="n">
        <f aca="false">I35-I36-I$22</f>
        <v>-8914.78721308101</v>
      </c>
      <c r="J37" s="37" t="n">
        <f aca="false">J35-J36-J$22</f>
        <v>-6203.33218331164</v>
      </c>
      <c r="K37" s="37" t="n">
        <f aca="false">K35-K36-K$22</f>
        <v>-5309.23161978265</v>
      </c>
      <c r="L37" s="37" t="n">
        <f aca="false">L35-L36-L$22</f>
        <v>-14601.6417260862</v>
      </c>
      <c r="M37" s="37" t="n">
        <f aca="false">M35-M36-M$22</f>
        <v>-9116.37865000445</v>
      </c>
      <c r="N37" s="37" t="n">
        <f aca="false">N35-N36-N$22</f>
        <v>-7953.62067476948</v>
      </c>
      <c r="O37" s="37" t="n">
        <f aca="false">O35-O36-O$22</f>
        <v>-21769.0850026682</v>
      </c>
      <c r="P37" s="37" t="n">
        <f aca="false">P35-P36-P$22</f>
        <v>-16656.7462870515</v>
      </c>
      <c r="Q37" s="37" t="n">
        <f aca="false">Q35-Q36-Q$22</f>
        <v>-22173.067067267</v>
      </c>
      <c r="R37" s="37" t="n">
        <f aca="false">R35-R36-R$22</f>
        <v>-13116.9235402436</v>
      </c>
      <c r="S37" s="37" t="n">
        <f aca="false">S35-S36-S$22</f>
        <v>-11266.8486429726</v>
      </c>
      <c r="T37" s="37" t="n">
        <f aca="false">T35-T36-T$22</f>
        <v>-9451.75142116781</v>
      </c>
      <c r="U37" s="37" t="n">
        <f aca="false">U35-U36-U$22</f>
        <v>-7070.37614222533</v>
      </c>
      <c r="V37" s="37" t="n">
        <f aca="false">V35-V36-V$22</f>
        <v>-4901.12684311963</v>
      </c>
      <c r="W37" s="37" t="n">
        <f aca="false">W35-W36-W$22</f>
        <v>-16772.7866240581</v>
      </c>
      <c r="X37" s="37" t="n">
        <f aca="false">X35-X36-X$22</f>
        <v>-11404.7366884006</v>
      </c>
      <c r="Y37" s="37" t="n">
        <f aca="false">Y35-Y36-Y$22</f>
        <v>-4133.74081942565</v>
      </c>
      <c r="Z37" s="37" t="n">
        <f aca="false">Z35-Z36-Z$22</f>
        <v>-1709.22460471473</v>
      </c>
      <c r="AA37" s="37" t="n">
        <f aca="false">AA35-AA36-AA$22</f>
        <v>-6332.60866575596</v>
      </c>
      <c r="AB37" s="37" t="n">
        <f aca="false">AB35-AB36-AB$22</f>
        <v>-3854.27387248458</v>
      </c>
      <c r="AC37" s="37" t="n">
        <f aca="false">AC35-AC36-AC$22</f>
        <v>-1422.34814593441</v>
      </c>
      <c r="AD37" s="37" t="n">
        <f aca="false">AD35-AD36-AD$22</f>
        <v>-20315.5780115431</v>
      </c>
      <c r="AE37" s="37" t="n">
        <f aca="false">AE35-AE36-AE$22</f>
        <v>-865.490350247761</v>
      </c>
      <c r="AF37" s="37" t="n">
        <f aca="false">AF35-AF36-AF$22</f>
        <v>1735.12178059499</v>
      </c>
      <c r="AG37" s="37" t="n">
        <f aca="false">AG35-AG36-AG$22</f>
        <v>-2249.16481725348</v>
      </c>
      <c r="AH37" s="37" t="n">
        <f aca="false">AH35-AH36-AH$22</f>
        <v>2363.65835571838</v>
      </c>
      <c r="AI37" s="37" t="n">
        <f aca="false">AI35-AI36-AI$22</f>
        <v>5124.11890807631</v>
      </c>
      <c r="AJ37" s="37" t="n">
        <f aca="false">AJ35-AJ36-AJ$22</f>
        <v>4417.70737778062</v>
      </c>
      <c r="AK37" s="37" t="n">
        <f aca="false">AK35-AK36-AK$22</f>
        <v>11487.4725275279</v>
      </c>
      <c r="AL37" s="37" t="n">
        <f aca="false">AL35-AL36-AL$22</f>
        <v>14500.1857281201</v>
      </c>
      <c r="AM37" s="37" t="n">
        <f aca="false">AM35-AM36-AM$22</f>
        <v>-4997.59134363235</v>
      </c>
      <c r="AN37" s="37" t="n">
        <f aca="false">AN35-AN36-AN$22</f>
        <v>1971.80729570752</v>
      </c>
      <c r="AO37" s="37" t="n">
        <f aca="false">AO35-AO36-AO$22</f>
        <v>-4721.36561256881</v>
      </c>
      <c r="AP37" s="37" t="n">
        <f aca="false">AP35-AP36-AP$22</f>
        <v>8524.18751003918</v>
      </c>
      <c r="AQ37" s="37" t="n">
        <f aca="false">AQ35-AQ36-AQ$22</f>
        <v>11709.7346183518</v>
      </c>
      <c r="AR37" s="37" t="n">
        <f aca="false">AR35-AR36-AR$22</f>
        <v>14836.5147735985</v>
      </c>
      <c r="AS37" s="37" t="n">
        <f aca="false">AS35-AS36-AS$22</f>
        <v>11041.380108447</v>
      </c>
      <c r="AT37" s="37" t="n">
        <f aca="false">AT35-AT36-AT$22</f>
        <v>15854.2315034924</v>
      </c>
      <c r="AU37" s="37" t="n">
        <f aca="false">AU35-AU36-AU$22</f>
        <v>811.866785708728</v>
      </c>
      <c r="AV37" s="37" t="n">
        <f aca="false">AV35-AV36-AV$22</f>
        <v>21715.4163693555</v>
      </c>
      <c r="AW37" s="37" t="n">
        <f aca="false">AW35-AW36-AW$22</f>
        <v>24565.9851498133</v>
      </c>
      <c r="AX37" s="37" t="n">
        <f aca="false">AX35-AX36-AX$22</f>
        <v>27364.6531268135</v>
      </c>
      <c r="AY37" s="37" t="n">
        <f aca="false">AY35-AY36-AY$22</f>
        <v>10820.418774363</v>
      </c>
      <c r="AZ37" s="37" t="n">
        <f aca="false">AZ35-AZ36-AZ$22</f>
        <v>18080.5954252742</v>
      </c>
      <c r="BA37" s="37" t="n">
        <f aca="false">BA35-BA36-BA$22</f>
        <v>21673.4712755641</v>
      </c>
      <c r="BB37" s="37" t="n">
        <f aca="false">BB35-BB36-BB$22</f>
        <v>7200.4288945169</v>
      </c>
      <c r="BC37" s="37" t="n">
        <f aca="false">BC35-BC36-BC$22</f>
        <v>28662.8195398102</v>
      </c>
      <c r="BD37" s="37" t="n">
        <f aca="false">BD35-BD36-BD$22</f>
        <v>32061.9639243167</v>
      </c>
      <c r="BE37" s="37" t="n">
        <f aca="false">BE35-BE36-BE$22</f>
        <v>35399.1529629851</v>
      </c>
      <c r="BF37" s="37" t="n">
        <f aca="false">BF35-BF36-BF$22</f>
        <v>38675.648500337</v>
      </c>
      <c r="BG37" s="37" t="n">
        <f aca="false">BG35-BG36-BG$22</f>
        <v>41892.6840191095</v>
      </c>
      <c r="BH37" s="37" t="n">
        <f aca="false">BH35-BH36-BH$22</f>
        <v>40051.4653305503</v>
      </c>
      <c r="BI37" s="37" t="n">
        <f aca="false">BI35-BI36-BI$22</f>
        <v>48153.1712468642</v>
      </c>
      <c r="BJ37" s="37" t="n">
        <f aca="false">BJ35-BJ36-BJ$22</f>
        <v>51198.9542362925</v>
      </c>
    </row>
    <row r="38" customFormat="false" ht="15" hidden="false" customHeight="false" outlineLevel="0" collapsed="false">
      <c r="B38" s="5" t="s">
        <v>401</v>
      </c>
      <c r="C38" s="37" t="n">
        <f aca="false">0+C37-C$23-C$24</f>
        <v>-16372.9003775307</v>
      </c>
      <c r="D38" s="37" t="n">
        <f aca="false">C38+D37-D$23-D$24</f>
        <v>-22631.4104111878</v>
      </c>
      <c r="E38" s="37" t="n">
        <f aca="false">D38+E37-E$23-E$24</f>
        <v>-29381.5386048548</v>
      </c>
      <c r="F38" s="37" t="n">
        <f aca="false">E38+F37-F$23-F$24</f>
        <v>-43566.6901256817</v>
      </c>
      <c r="G38" s="37" t="n">
        <f aca="false">F38+G37-G$23-G$24</f>
        <v>-48130.3211560636</v>
      </c>
      <c r="H38" s="37" t="n">
        <f aca="false">G38+H37-H$23-H$24</f>
        <v>-52084.2955767371</v>
      </c>
      <c r="I38" s="37" t="n">
        <f aca="false">H38+I37-I$23-I$24</f>
        <v>-61415.7494564848</v>
      </c>
      <c r="J38" s="37" t="n">
        <f aca="false">I38+J37-J$23-J$24</f>
        <v>-68035.7483064631</v>
      </c>
      <c r="K38" s="37" t="n">
        <f aca="false">J38+K37-K$23-K$24</f>
        <v>-73761.6465929125</v>
      </c>
      <c r="L38" s="37" t="n">
        <f aca="false">K38+L37-L$23-L$24</f>
        <v>-88779.9549856653</v>
      </c>
      <c r="M38" s="37" t="n">
        <f aca="false">L38+M37-M$23-M$24</f>
        <v>-98313.0003023365</v>
      </c>
      <c r="N38" s="37" t="n">
        <f aca="false">M38+N37-N$23-N$24</f>
        <v>-106683.287643773</v>
      </c>
      <c r="O38" s="37" t="n">
        <f aca="false">N38+O37-O$23-O$24</f>
        <v>-128869.039313107</v>
      </c>
      <c r="P38" s="37" t="n">
        <f aca="false">O38+P37-P$23-P$24</f>
        <v>-145942.452266826</v>
      </c>
      <c r="Q38" s="37" t="n">
        <f aca="false">P38+Q37-Q$23-Q$24</f>
        <v>-168532.186000759</v>
      </c>
      <c r="R38" s="37" t="n">
        <f aca="false">Q38+R37-R$23-R$24</f>
        <v>-182065.77620767</v>
      </c>
      <c r="S38" s="37" t="n">
        <f aca="false">R38+S37-S$23-S$24</f>
        <v>-193749.291517309</v>
      </c>
      <c r="T38" s="37" t="n">
        <f aca="false">S38+T37-T$23-T$24</f>
        <v>-203617.709605143</v>
      </c>
      <c r="U38" s="37" t="n">
        <f aca="false">T38+U37-U$23-U$24</f>
        <v>-211104.752414035</v>
      </c>
      <c r="V38" s="37" t="n">
        <f aca="false">U38+V37-V$23-V$24</f>
        <v>-216422.545923822</v>
      </c>
      <c r="W38" s="37" t="n">
        <f aca="false">V38+W37-W$23-W$24</f>
        <v>-233611.999214546</v>
      </c>
      <c r="X38" s="37" t="n">
        <f aca="false">W38+X37-X$23-X$24</f>
        <v>-245433.402569614</v>
      </c>
      <c r="Y38" s="37" t="n">
        <f aca="false">X38+Y37-Y$23-Y$24</f>
        <v>-249983.810055706</v>
      </c>
      <c r="Z38" s="37" t="n">
        <f aca="false">Y38+Z37-Z$23-Z$24</f>
        <v>-252109.701327087</v>
      </c>
      <c r="AA38" s="37" t="n">
        <f aca="false">Z38+AA37-AA$23-AA$24</f>
        <v>-260161.059992843</v>
      </c>
      <c r="AB38" s="37" t="n">
        <f aca="false">AA38+AB37-AB$23-AB$24</f>
        <v>-265729.74358755</v>
      </c>
      <c r="AC38" s="37" t="n">
        <f aca="false">AB38+AC37-AC$23-AC$24</f>
        <v>-268862.161177929</v>
      </c>
      <c r="AD38" s="37" t="n">
        <f aca="false">AC38+AD37-AD$23-AD$24</f>
        <v>-290883.468356139</v>
      </c>
      <c r="AE38" s="37" t="n">
        <f aca="false">AD38+AE37-AE$23-AE$24</f>
        <v>-293450.347595275</v>
      </c>
      <c r="AF38" s="37" t="n">
        <f aca="false">AE38+AF37-AF$23-AF$24</f>
        <v>-293412.274425791</v>
      </c>
      <c r="AG38" s="37" t="n">
        <f aca="false">AF38+AG37-AG$23-AG$24</f>
        <v>-297354.147576378</v>
      </c>
      <c r="AH38" s="37" t="n">
        <f aca="false">AG38+AH37-AH$23-AH$24</f>
        <v>-296678.857276215</v>
      </c>
      <c r="AI38" s="37" t="n">
        <f aca="false">AH38+AI37-AI$23-AI$24</f>
        <v>-293238.766145917</v>
      </c>
      <c r="AJ38" s="37" t="n">
        <f aca="false">AI38+AJ37-AJ$23-AJ$24</f>
        <v>-290500.746268136</v>
      </c>
      <c r="AK38" s="37" t="n">
        <f aca="false">AJ38+AK37-AK$23-AK$24</f>
        <v>-280688.62096283</v>
      </c>
      <c r="AL38" s="37" t="n">
        <f aca="false">AK38+AL37-AL$23-AL$24</f>
        <v>-267859.442179155</v>
      </c>
      <c r="AM38" s="37" t="n">
        <f aca="false">AL38+AM37-AM$23-AM$24</f>
        <v>-274523.700189454</v>
      </c>
      <c r="AN38" s="37" t="n">
        <f aca="false">AM38+AN37-AN$23-AN$24</f>
        <v>-274214.219282635</v>
      </c>
      <c r="AO38" s="37" t="n">
        <f aca="false">AN38+AO37-AO$23-AO$24</f>
        <v>-280593.571006315</v>
      </c>
      <c r="AP38" s="37" t="n">
        <f aca="false">AO38+AP37-AP$23-AP$24</f>
        <v>-273723.029329609</v>
      </c>
      <c r="AQ38" s="37" t="n">
        <f aca="false">AP38+AQ37-AQ$23-AQ$24</f>
        <v>-263662.600266813</v>
      </c>
      <c r="AR38" s="37" t="n">
        <f aca="false">AQ38+AR37-AR$23-AR$24</f>
        <v>-250471.050770992</v>
      </c>
      <c r="AS38" s="37" t="n">
        <f aca="false">AR38+AS37-AS$23-AS$24</f>
        <v>-241070.295662545</v>
      </c>
      <c r="AT38" s="37" t="n">
        <f aca="false">AS38+AT37-AT$23-AT$24</f>
        <v>-226852.348881275</v>
      </c>
      <c r="AU38" s="37" t="n">
        <f aca="false">AT38+AU37-AU$23-AU$24</f>
        <v>-227672.426540011</v>
      </c>
      <c r="AV38" s="37" t="n">
        <f aca="false">AU38+AV37-AV$23-AV$24</f>
        <v>-207584.614337322</v>
      </c>
      <c r="AW38" s="37" t="n">
        <f aca="false">AV38+AW37-AW$23-AW$24</f>
        <v>-184641.893076397</v>
      </c>
      <c r="AX38" s="37" t="n">
        <f aca="false">AW38+AX37-AX$23-AX$24</f>
        <v>-158896.163560695</v>
      </c>
      <c r="AY38" s="37" t="n">
        <f aca="false">AX38+AY37-AY$23-AY$24</f>
        <v>-149690.328119665</v>
      </c>
      <c r="AZ38" s="37" t="n">
        <f aca="false">AY38+AZ37-AZ$23-AZ$24</f>
        <v>-133219.975749947</v>
      </c>
      <c r="BA38" s="37" t="n">
        <f aca="false">AZ38+BA37-BA$23-BA$24</f>
        <v>-113152.40725216</v>
      </c>
      <c r="BB38" s="37" t="n">
        <f aca="false">BA38+BB37-BB$23-BB$24</f>
        <v>-107553.540857644</v>
      </c>
      <c r="BC38" s="37" t="n">
        <f aca="false">BB38+BC37-BC$23-BC$24</f>
        <v>-80487.9435400557</v>
      </c>
      <c r="BD38" s="37" t="n">
        <f aca="false">BC38+BD37-BD$23-BD$24</f>
        <v>-50018.8615601834</v>
      </c>
      <c r="BE38" s="37" t="n">
        <f aca="false">BD38+BE37-BE$23-BE$24</f>
        <v>-16208.250263865</v>
      </c>
      <c r="BF38" s="37" t="n">
        <f aca="false">BE38+BF37-BF$23-BF$24</f>
        <v>20883.1968475831</v>
      </c>
      <c r="BG38" s="37" t="n">
        <f aca="false">BF38+BG37-BG$23-BG$24</f>
        <v>61196.0197555815</v>
      </c>
      <c r="BH38" s="37" t="n">
        <f aca="false">BG38+BH37-BH$23-BH$24</f>
        <v>99671.9642527985</v>
      </c>
      <c r="BI38" s="37" t="n">
        <f aca="false">BH38+BI37-BI$23-BI$24</f>
        <v>146253.954944107</v>
      </c>
      <c r="BJ38" s="37" t="n">
        <f aca="false">BI38+BJ37-BJ$23-BJ$24</f>
        <v>195886.068902622</v>
      </c>
    </row>
    <row r="39" customFormat="false" ht="15" hidden="false" customHeight="false" outlineLevel="0" collapsed="false">
      <c r="B39" s="5" t="s">
        <v>402</v>
      </c>
      <c r="C39" s="38" t="n">
        <f aca="false">IF(C37&gt;=0,C$19,999)</f>
        <v>999</v>
      </c>
      <c r="D39" s="38" t="n">
        <f aca="false">IF(D37&gt;=0,D$19,999)</f>
        <v>999</v>
      </c>
      <c r="E39" s="38" t="n">
        <f aca="false">IF(E37&gt;=0,E$19,999)</f>
        <v>999</v>
      </c>
      <c r="F39" s="38" t="n">
        <f aca="false">IF(F37&gt;=0,F$19,999)</f>
        <v>999</v>
      </c>
      <c r="G39" s="38" t="n">
        <f aca="false">IF(G37&gt;=0,G$19,999)</f>
        <v>999</v>
      </c>
      <c r="H39" s="38" t="n">
        <f aca="false">IF(H37&gt;=0,H$19,999)</f>
        <v>999</v>
      </c>
      <c r="I39" s="38" t="n">
        <f aca="false">IF(I37&gt;=0,I$19,999)</f>
        <v>999</v>
      </c>
      <c r="J39" s="38" t="n">
        <f aca="false">IF(J37&gt;=0,J$19,999)</f>
        <v>999</v>
      </c>
      <c r="K39" s="38" t="n">
        <f aca="false">IF(K37&gt;=0,K$19,999)</f>
        <v>999</v>
      </c>
      <c r="L39" s="38" t="n">
        <f aca="false">IF(L37&gt;=0,L$19,999)</f>
        <v>999</v>
      </c>
      <c r="M39" s="38" t="n">
        <f aca="false">IF(M37&gt;=0,M$19,999)</f>
        <v>999</v>
      </c>
      <c r="N39" s="38" t="n">
        <f aca="false">IF(N37&gt;=0,N$19,999)</f>
        <v>999</v>
      </c>
      <c r="O39" s="38" t="n">
        <f aca="false">IF(O37&gt;=0,O$19,999)</f>
        <v>999</v>
      </c>
      <c r="P39" s="38" t="n">
        <f aca="false">IF(P37&gt;=0,P$19,999)</f>
        <v>999</v>
      </c>
      <c r="Q39" s="38" t="n">
        <f aca="false">IF(Q37&gt;=0,Q$19,999)</f>
        <v>999</v>
      </c>
      <c r="R39" s="38" t="n">
        <f aca="false">IF(R37&gt;=0,R$19,999)</f>
        <v>999</v>
      </c>
      <c r="S39" s="38" t="n">
        <f aca="false">IF(S37&gt;=0,S$19,999)</f>
        <v>999</v>
      </c>
      <c r="T39" s="38" t="n">
        <f aca="false">IF(T37&gt;=0,T$19,999)</f>
        <v>999</v>
      </c>
      <c r="U39" s="38" t="n">
        <f aca="false">IF(U37&gt;=0,U$19,999)</f>
        <v>999</v>
      </c>
      <c r="V39" s="38" t="n">
        <f aca="false">IF(V37&gt;=0,V$19,999)</f>
        <v>999</v>
      </c>
      <c r="W39" s="38" t="n">
        <f aca="false">IF(W37&gt;=0,W$19,999)</f>
        <v>999</v>
      </c>
      <c r="X39" s="38" t="n">
        <f aca="false">IF(X37&gt;=0,X$19,999)</f>
        <v>999</v>
      </c>
      <c r="Y39" s="38" t="n">
        <f aca="false">IF(Y37&gt;=0,Y$19,999)</f>
        <v>999</v>
      </c>
      <c r="Z39" s="38" t="n">
        <f aca="false">IF(Z37&gt;=0,Z$19,999)</f>
        <v>999</v>
      </c>
      <c r="AA39" s="38" t="n">
        <f aca="false">IF(AA37&gt;=0,AA$19,999)</f>
        <v>999</v>
      </c>
      <c r="AB39" s="38" t="n">
        <f aca="false">IF(AB37&gt;=0,AB$19,999)</f>
        <v>999</v>
      </c>
      <c r="AC39" s="38" t="n">
        <f aca="false">IF(AC37&gt;=0,AC$19,999)</f>
        <v>999</v>
      </c>
      <c r="AD39" s="38" t="n">
        <f aca="false">IF(AD37&gt;=0,AD$19,999)</f>
        <v>999</v>
      </c>
      <c r="AE39" s="38" t="n">
        <f aca="false">IF(AE37&gt;=0,AE$19,999)</f>
        <v>999</v>
      </c>
      <c r="AF39" s="38" t="n">
        <f aca="false">IF(AF37&gt;=0,AF$19,999)</f>
        <v>30</v>
      </c>
      <c r="AG39" s="38" t="n">
        <f aca="false">IF(AG37&gt;=0,AG$19,999)</f>
        <v>999</v>
      </c>
      <c r="AH39" s="38" t="n">
        <f aca="false">IF(AH37&gt;=0,AH$19,999)</f>
        <v>32</v>
      </c>
      <c r="AI39" s="38" t="n">
        <f aca="false">IF(AI37&gt;=0,AI$19,999)</f>
        <v>33</v>
      </c>
      <c r="AJ39" s="38" t="n">
        <f aca="false">IF(AJ37&gt;=0,AJ$19,999)</f>
        <v>34</v>
      </c>
      <c r="AK39" s="38" t="n">
        <f aca="false">IF(AK37&gt;=0,AK$19,999)</f>
        <v>35</v>
      </c>
      <c r="AL39" s="38" t="n">
        <f aca="false">IF(AL37&gt;=0,AL$19,999)</f>
        <v>36</v>
      </c>
      <c r="AM39" s="38" t="n">
        <f aca="false">IF(AM37&gt;=0,AM$19,999)</f>
        <v>999</v>
      </c>
      <c r="AN39" s="38" t="n">
        <f aca="false">IF(AN37&gt;=0,AN$19,999)</f>
        <v>38</v>
      </c>
      <c r="AO39" s="38" t="n">
        <f aca="false">IF(AO37&gt;=0,AO$19,999)</f>
        <v>999</v>
      </c>
      <c r="AP39" s="38" t="n">
        <f aca="false">IF(AP37&gt;=0,AP$19,999)</f>
        <v>40</v>
      </c>
      <c r="AQ39" s="38" t="n">
        <f aca="false">IF(AQ37&gt;=0,AQ$19,999)</f>
        <v>41</v>
      </c>
      <c r="AR39" s="38" t="n">
        <f aca="false">IF(AR37&gt;=0,AR$19,999)</f>
        <v>42</v>
      </c>
      <c r="AS39" s="38" t="n">
        <f aca="false">IF(AS37&gt;=0,AS$19,999)</f>
        <v>43</v>
      </c>
      <c r="AT39" s="38" t="n">
        <f aca="false">IF(AT37&gt;=0,AT$19,999)</f>
        <v>44</v>
      </c>
      <c r="AU39" s="38" t="n">
        <f aca="false">IF(AU37&gt;=0,AU$19,999)</f>
        <v>45</v>
      </c>
      <c r="AV39" s="38" t="n">
        <f aca="false">IF(AV37&gt;=0,AV$19,999)</f>
        <v>46</v>
      </c>
      <c r="AW39" s="38" t="n">
        <f aca="false">IF(AW37&gt;=0,AW$19,999)</f>
        <v>47</v>
      </c>
      <c r="AX39" s="38" t="n">
        <f aca="false">IF(AX37&gt;=0,AX$19,999)</f>
        <v>48</v>
      </c>
      <c r="AY39" s="38" t="n">
        <f aca="false">IF(AY37&gt;=0,AY$19,999)</f>
        <v>49</v>
      </c>
      <c r="AZ39" s="38" t="n">
        <f aca="false">IF(AZ37&gt;=0,AZ$19,999)</f>
        <v>50</v>
      </c>
      <c r="BA39" s="38" t="n">
        <f aca="false">IF(BA37&gt;=0,BA$19,999)</f>
        <v>51</v>
      </c>
      <c r="BB39" s="38" t="n">
        <f aca="false">IF(BB37&gt;=0,BB$19,999)</f>
        <v>52</v>
      </c>
      <c r="BC39" s="38" t="n">
        <f aca="false">IF(BC37&gt;=0,BC$19,999)</f>
        <v>53</v>
      </c>
      <c r="BD39" s="38" t="n">
        <f aca="false">IF(BD37&gt;=0,BD$19,999)</f>
        <v>54</v>
      </c>
      <c r="BE39" s="38" t="n">
        <f aca="false">IF(BE37&gt;=0,BE$19,999)</f>
        <v>55</v>
      </c>
      <c r="BF39" s="38" t="n">
        <f aca="false">IF(BF37&gt;=0,BF$19,999)</f>
        <v>56</v>
      </c>
      <c r="BG39" s="38" t="n">
        <f aca="false">IF(BG37&gt;=0,BG$19,999)</f>
        <v>57</v>
      </c>
      <c r="BH39" s="38" t="n">
        <f aca="false">IF(BH37&gt;=0,BH$19,999)</f>
        <v>58</v>
      </c>
      <c r="BI39" s="38" t="n">
        <f aca="false">IF(BI37&gt;=0,BI$19,999)</f>
        <v>59</v>
      </c>
      <c r="BJ39" s="38" t="n">
        <f aca="false">IF(BJ37&gt;=0,BJ$19,999)</f>
        <v>60</v>
      </c>
    </row>
    <row r="40" customFormat="false" ht="15" hidden="false" customHeight="false" outlineLevel="0" collapsed="false">
      <c r="B40" s="19" t="str">
        <f aca="false">"Szenario "&amp;A6&amp;": "&amp;B6</f>
        <v>Szenario 2: Churn +50 %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</row>
    <row r="41" customFormat="false" ht="15" hidden="false" customHeight="false" outlineLevel="0" collapsed="false">
      <c r="B41" s="5" t="s">
        <v>396</v>
      </c>
      <c r="C41" s="41" t="n">
        <f aca="false">Annahmen!$B$7*Annahmen!$B$19*(1-Annahmen!$B$31*$C$6)+C$21*$E$6*Annahmen!$B$19</f>
        <v>3.8875</v>
      </c>
      <c r="D41" s="41" t="n">
        <f aca="false">C41*(1-Annahmen!$B$31*$C$6)+D$21*$E$6*Annahmen!$B$19</f>
        <v>5.2125625</v>
      </c>
      <c r="E41" s="41" t="n">
        <f aca="false">D41*(1-Annahmen!$B$31*$C$6)+E$21*$E$6*Annahmen!$B$19</f>
        <v>6.4779971875</v>
      </c>
      <c r="F41" s="41" t="n">
        <f aca="false">E41*(1-Annahmen!$B$31*$C$6)+F$21*$E$6*Annahmen!$B$19</f>
        <v>9.1864873140625</v>
      </c>
      <c r="G41" s="41" t="n">
        <f aca="false">F41*(1-Annahmen!$B$31*$C$6)+G$21*$E$6*Annahmen!$B$19</f>
        <v>11.7730953849297</v>
      </c>
      <c r="H41" s="41" t="n">
        <f aca="false">G41*(1-Annahmen!$B$31*$C$6)+H$21*$E$6*Annahmen!$B$19</f>
        <v>14.2433060926079</v>
      </c>
      <c r="I41" s="41" t="n">
        <f aca="false">H41*(1-Annahmen!$B$31*$C$6)+I$21*$E$6*Annahmen!$B$19</f>
        <v>18.1023573184405</v>
      </c>
      <c r="J41" s="41" t="n">
        <f aca="false">I41*(1-Annahmen!$B$31*$C$6)+J$21*$E$6*Annahmen!$B$19</f>
        <v>21.7877512391107</v>
      </c>
      <c r="K41" s="41" t="n">
        <f aca="false">J41*(1-Annahmen!$B$31*$C$6)+K$21*$E$6*Annahmen!$B$19</f>
        <v>25.3073024333507</v>
      </c>
      <c r="L41" s="41" t="n">
        <f aca="false">K41*(1-Annahmen!$B$31*$C$6)+L$21*$E$6*Annahmen!$B$19</f>
        <v>30.1684738238499</v>
      </c>
      <c r="M41" s="41" t="n">
        <f aca="false">L41*(1-Annahmen!$B$31*$C$6)+M$21*$E$6*Annahmen!$B$19</f>
        <v>34.8108925017767</v>
      </c>
      <c r="N41" s="41" t="n">
        <f aca="false">M41*(1-Annahmen!$B$31*$C$6)+N$21*$E$6*Annahmen!$B$19</f>
        <v>39.2444023391967</v>
      </c>
      <c r="O41" s="41" t="n">
        <f aca="false">N41*(1-Annahmen!$B$31*$C$6)+O$21*$E$6*Annahmen!$B$19</f>
        <v>45.4784042339329</v>
      </c>
      <c r="P41" s="41" t="n">
        <f aca="false">O41*(1-Annahmen!$B$31*$C$6)+P$21*$E$6*Annahmen!$B$19</f>
        <v>51.4318760434059</v>
      </c>
      <c r="Q41" s="41" t="n">
        <f aca="false">P41*(1-Annahmen!$B$31*$C$6)+Q$21*$E$6*Annahmen!$B$19</f>
        <v>57.1174416214526</v>
      </c>
      <c r="R41" s="41" t="n">
        <f aca="false">Q41*(1-Annahmen!$B$31*$C$6)+R$21*$E$6*Annahmen!$B$19</f>
        <v>64.5471567484873</v>
      </c>
      <c r="S41" s="41" t="n">
        <f aca="false">R41*(1-Annahmen!$B$31*$C$6)+S$21*$E$6*Annahmen!$B$19</f>
        <v>71.6425346948053</v>
      </c>
      <c r="T41" s="41" t="n">
        <f aca="false">S41*(1-Annahmen!$B$31*$C$6)+T$21*$E$6*Annahmen!$B$19</f>
        <v>78.4186206335391</v>
      </c>
      <c r="U41" s="41" t="n">
        <f aca="false">T41*(1-Annahmen!$B$31*$C$6)+U$21*$E$6*Annahmen!$B$19</f>
        <v>86.8897827050298</v>
      </c>
      <c r="V41" s="41" t="n">
        <f aca="false">U41*(1-Annahmen!$B$31*$C$6)+V$21*$E$6*Annahmen!$B$19</f>
        <v>94.9797424833035</v>
      </c>
      <c r="W41" s="41" t="n">
        <f aca="false">V41*(1-Annahmen!$B$31*$C$6)+W$21*$E$6*Annahmen!$B$19</f>
        <v>102.705654071555</v>
      </c>
      <c r="X41" s="41" t="n">
        <f aca="false">W41*(1-Annahmen!$B$31*$C$6)+X$21*$E$6*Annahmen!$B$19</f>
        <v>112.083899638335</v>
      </c>
      <c r="Y41" s="41" t="n">
        <f aca="false">X41*(1-Annahmen!$B$31*$C$6)+Y$21*$E$6*Annahmen!$B$19</f>
        <v>121.04012415461</v>
      </c>
      <c r="Z41" s="41" t="n">
        <f aca="false">Y41*(1-Annahmen!$B$31*$C$6)+Z$21*$E$6*Annahmen!$B$19</f>
        <v>129.593318567652</v>
      </c>
      <c r="AA41" s="41" t="n">
        <f aca="false">Z41*(1-Annahmen!$B$31*$C$6)+AA$21*$E$6*Annahmen!$B$19</f>
        <v>138.761619232108</v>
      </c>
      <c r="AB41" s="41" t="n">
        <f aca="false">AA41*(1-Annahmen!$B$31*$C$6)+AB$21*$E$6*Annahmen!$B$19</f>
        <v>147.517346366663</v>
      </c>
      <c r="AC41" s="41" t="n">
        <f aca="false">AB41*(1-Annahmen!$B$31*$C$6)+AC$21*$E$6*Annahmen!$B$19</f>
        <v>155.879065780163</v>
      </c>
      <c r="AD41" s="41" t="n">
        <f aca="false">AC41*(1-Annahmen!$B$31*$C$6)+AD$21*$E$6*Annahmen!$B$19</f>
        <v>165.364507820056</v>
      </c>
      <c r="AE41" s="41" t="n">
        <f aca="false">AD41*(1-Annahmen!$B$31*$C$6)+AE$21*$E$6*Annahmen!$B$19</f>
        <v>174.423104968153</v>
      </c>
      <c r="AF41" s="41" t="n">
        <f aca="false">AE41*(1-Annahmen!$B$31*$C$6)+AF$21*$E$6*Annahmen!$B$19</f>
        <v>183.074065244587</v>
      </c>
      <c r="AG41" s="41" t="n">
        <f aca="false">AF41*(1-Annahmen!$B$31*$C$6)+AG$21*$E$6*Annahmen!$B$19</f>
        <v>192.83573230858</v>
      </c>
      <c r="AH41" s="41" t="n">
        <f aca="false">AG41*(1-Annahmen!$B$31*$C$6)+AH$21*$E$6*Annahmen!$B$19</f>
        <v>202.158124354694</v>
      </c>
      <c r="AI41" s="41" t="n">
        <f aca="false">AH41*(1-Annahmen!$B$31*$C$6)+AI$21*$E$6*Annahmen!$B$19</f>
        <v>211.061008758733</v>
      </c>
      <c r="AJ41" s="41" t="n">
        <f aca="false">AI41*(1-Annahmen!$B$31*$C$6)+AJ$21*$E$6*Annahmen!$B$19</f>
        <v>221.56326336459</v>
      </c>
      <c r="AK41" s="41" t="n">
        <f aca="false">AJ41*(1-Annahmen!$B$31*$C$6)+AK$21*$E$6*Annahmen!$B$19</f>
        <v>231.592916513183</v>
      </c>
      <c r="AL41" s="41" t="n">
        <f aca="false">AK41*(1-Annahmen!$B$31*$C$6)+AL$21*$E$6*Annahmen!$B$19</f>
        <v>241.17123527009</v>
      </c>
      <c r="AM41" s="41" t="n">
        <f aca="false">AL41*(1-Annahmen!$B$31*$C$6)+AM$21*$E$6*Annahmen!$B$19</f>
        <v>252.818529682936</v>
      </c>
      <c r="AN41" s="41" t="n">
        <f aca="false">AM41*(1-Annahmen!$B$31*$C$6)+AN$21*$E$6*Annahmen!$B$19</f>
        <v>263.941695847204</v>
      </c>
      <c r="AO41" s="41" t="n">
        <f aca="false">AN41*(1-Annahmen!$B$31*$C$6)+AO$21*$E$6*Annahmen!$B$19</f>
        <v>274.56431953408</v>
      </c>
      <c r="AP41" s="41" t="n">
        <f aca="false">AO41*(1-Annahmen!$B$31*$C$6)+AP$21*$E$6*Annahmen!$B$19</f>
        <v>284.708925155046</v>
      </c>
      <c r="AQ41" s="41" t="n">
        <f aca="false">AP41*(1-Annahmen!$B$31*$C$6)+AQ$21*$E$6*Annahmen!$B$19</f>
        <v>294.397023523069</v>
      </c>
      <c r="AR41" s="41" t="n">
        <f aca="false">AQ41*(1-Annahmen!$B$31*$C$6)+AR$21*$E$6*Annahmen!$B$19</f>
        <v>303.649157464531</v>
      </c>
      <c r="AS41" s="41" t="n">
        <f aca="false">AR41*(1-Annahmen!$B$31*$C$6)+AS$21*$E$6*Annahmen!$B$19</f>
        <v>312.484945378627</v>
      </c>
      <c r="AT41" s="41" t="n">
        <f aca="false">AS41*(1-Annahmen!$B$31*$C$6)+AT$21*$E$6*Annahmen!$B$19</f>
        <v>320.923122836589</v>
      </c>
      <c r="AU41" s="41" t="n">
        <f aca="false">AT41*(1-Annahmen!$B$31*$C$6)+AU$21*$E$6*Annahmen!$B$19</f>
        <v>328.981582308942</v>
      </c>
      <c r="AV41" s="41" t="n">
        <f aca="false">AU41*(1-Annahmen!$B$31*$C$6)+AV$21*$E$6*Annahmen!$B$19</f>
        <v>336.67741110504</v>
      </c>
      <c r="AW41" s="41" t="n">
        <f aca="false">AV41*(1-Annahmen!$B$31*$C$6)+AW$21*$E$6*Annahmen!$B$19</f>
        <v>344.026927605313</v>
      </c>
      <c r="AX41" s="41" t="n">
        <f aca="false">AW41*(1-Annahmen!$B$31*$C$6)+AX$21*$E$6*Annahmen!$B$19</f>
        <v>351.045715863074</v>
      </c>
      <c r="AY41" s="41" t="n">
        <f aca="false">AX41*(1-Annahmen!$B$31*$C$6)+AY$21*$E$6*Annahmen!$B$19</f>
        <v>362.748658649235</v>
      </c>
      <c r="AZ41" s="41" t="n">
        <f aca="false">AY41*(1-Annahmen!$B$31*$C$6)+AZ$21*$E$6*Annahmen!$B$19</f>
        <v>373.92496901002</v>
      </c>
      <c r="BA41" s="41" t="n">
        <f aca="false">AZ41*(1-Annahmen!$B$31*$C$6)+BA$21*$E$6*Annahmen!$B$19</f>
        <v>384.598345404569</v>
      </c>
      <c r="BB41" s="41" t="n">
        <f aca="false">BA41*(1-Annahmen!$B$31*$C$6)+BB$21*$E$6*Annahmen!$B$19</f>
        <v>394.791419861363</v>
      </c>
      <c r="BC41" s="41" t="n">
        <f aca="false">BB41*(1-Annahmen!$B$31*$C$6)+BC$21*$E$6*Annahmen!$B$19</f>
        <v>404.525805967602</v>
      </c>
      <c r="BD41" s="41" t="n">
        <f aca="false">BC41*(1-Annahmen!$B$31*$C$6)+BD$21*$E$6*Annahmen!$B$19</f>
        <v>413.82214469906</v>
      </c>
      <c r="BE41" s="41" t="n">
        <f aca="false">BD41*(1-Annahmen!$B$31*$C$6)+BE$21*$E$6*Annahmen!$B$19</f>
        <v>422.700148187602</v>
      </c>
      <c r="BF41" s="41" t="n">
        <f aca="false">BE41*(1-Annahmen!$B$31*$C$6)+BF$21*$E$6*Annahmen!$B$19</f>
        <v>431.17864151916</v>
      </c>
      <c r="BG41" s="41" t="n">
        <f aca="false">BF41*(1-Annahmen!$B$31*$C$6)+BG$21*$E$6*Annahmen!$B$19</f>
        <v>439.275602650798</v>
      </c>
      <c r="BH41" s="41" t="n">
        <f aca="false">BG41*(1-Annahmen!$B$31*$C$6)+BH$21*$E$6*Annahmen!$B$19</f>
        <v>447.008200531512</v>
      </c>
      <c r="BI41" s="41" t="n">
        <f aca="false">BH41*(1-Annahmen!$B$31*$C$6)+BI$21*$E$6*Annahmen!$B$19</f>
        <v>454.392831507594</v>
      </c>
      <c r="BJ41" s="41" t="n">
        <f aca="false">BI41*(1-Annahmen!$B$31*$C$6)+BJ$21*$E$6*Annahmen!$B$19</f>
        <v>461.445154089752</v>
      </c>
    </row>
    <row r="42" customFormat="false" ht="15" hidden="false" customHeight="false" outlineLevel="0" collapsed="false">
      <c r="B42" s="5" t="s">
        <v>397</v>
      </c>
      <c r="C42" s="41" t="n">
        <f aca="false">Annahmen!$B$7*Annahmen!$B$20*(1-Annahmen!$B$32*$C$6)+C$21*$E$6*Annahmen!$B$20</f>
        <v>2.983</v>
      </c>
      <c r="D42" s="41" t="n">
        <f aca="false">C42*(1-Annahmen!$B$32*$C$6)+D$21*$E$6*Annahmen!$B$20</f>
        <v>4.03351</v>
      </c>
      <c r="E42" s="41" t="n">
        <f aca="false">D42*(1-Annahmen!$B$32*$C$6)+E$21*$E$6*Annahmen!$B$20</f>
        <v>5.0525047</v>
      </c>
      <c r="F42" s="41" t="n">
        <f aca="false">E42*(1-Annahmen!$B$32*$C$6)+F$21*$E$6*Annahmen!$B$20</f>
        <v>7.180929559</v>
      </c>
      <c r="G42" s="41" t="n">
        <f aca="false">F42*(1-Annahmen!$B$32*$C$6)+G$21*$E$6*Annahmen!$B$20</f>
        <v>9.24550167223</v>
      </c>
      <c r="H42" s="41" t="n">
        <f aca="false">G42*(1-Annahmen!$B$32*$C$6)+H$21*$E$6*Annahmen!$B$20</f>
        <v>11.2481366220631</v>
      </c>
      <c r="I42" s="41" t="n">
        <f aca="false">H42*(1-Annahmen!$B$32*$C$6)+I$21*$E$6*Annahmen!$B$20</f>
        <v>14.3306925234012</v>
      </c>
      <c r="J42" s="41" t="n">
        <f aca="false">I42*(1-Annahmen!$B$32*$C$6)+J$21*$E$6*Annahmen!$B$20</f>
        <v>17.3207717476992</v>
      </c>
      <c r="K42" s="41" t="n">
        <f aca="false">J42*(1-Annahmen!$B$32*$C$6)+K$21*$E$6*Annahmen!$B$20</f>
        <v>20.2211485952682</v>
      </c>
      <c r="L42" s="41" t="n">
        <f aca="false">K42*(1-Annahmen!$B$32*$C$6)+L$21*$E$6*Annahmen!$B$20</f>
        <v>24.1745141374102</v>
      </c>
      <c r="M42" s="41" t="n">
        <f aca="false">L42*(1-Annahmen!$B$32*$C$6)+M$21*$E$6*Annahmen!$B$20</f>
        <v>28.0092787132878</v>
      </c>
      <c r="N42" s="41" t="n">
        <f aca="false">M42*(1-Annahmen!$B$32*$C$6)+N$21*$E$6*Annahmen!$B$20</f>
        <v>31.7290003518892</v>
      </c>
      <c r="O42" s="41" t="n">
        <f aca="false">N42*(1-Annahmen!$B$32*$C$6)+O$21*$E$6*Annahmen!$B$20</f>
        <v>36.8571303413325</v>
      </c>
      <c r="P42" s="41" t="n">
        <f aca="false">O42*(1-Annahmen!$B$32*$C$6)+P$21*$E$6*Annahmen!$B$20</f>
        <v>41.8314164310926</v>
      </c>
      <c r="Q42" s="41" t="n">
        <f aca="false">P42*(1-Annahmen!$B$32*$C$6)+Q$21*$E$6*Annahmen!$B$20</f>
        <v>46.6564739381598</v>
      </c>
      <c r="R42" s="41" t="n">
        <f aca="false">Q42*(1-Annahmen!$B$32*$C$6)+R$21*$E$6*Annahmen!$B$20</f>
        <v>52.856779720015</v>
      </c>
      <c r="S42" s="41" t="n">
        <f aca="false">R42*(1-Annahmen!$B$32*$C$6)+S$21*$E$6*Annahmen!$B$20</f>
        <v>58.8710763284145</v>
      </c>
      <c r="T42" s="41" t="n">
        <f aca="false">S42*(1-Annahmen!$B$32*$C$6)+T$21*$E$6*Annahmen!$B$20</f>
        <v>64.7049440385621</v>
      </c>
      <c r="U42" s="41" t="n">
        <f aca="false">T42*(1-Annahmen!$B$32*$C$6)+U$21*$E$6*Annahmen!$B$20</f>
        <v>71.8837957174052</v>
      </c>
      <c r="V42" s="41" t="n">
        <f aca="false">U42*(1-Annahmen!$B$32*$C$6)+V$21*$E$6*Annahmen!$B$20</f>
        <v>78.8472818458831</v>
      </c>
      <c r="W42" s="41" t="n">
        <f aca="false">V42*(1-Annahmen!$B$32*$C$6)+W$21*$E$6*Annahmen!$B$20</f>
        <v>85.6018633905066</v>
      </c>
      <c r="X42" s="41" t="n">
        <f aca="false">W42*(1-Annahmen!$B$32*$C$6)+X$21*$E$6*Annahmen!$B$20</f>
        <v>93.6738074887914</v>
      </c>
      <c r="Y42" s="41" t="n">
        <f aca="false">X42*(1-Annahmen!$B$32*$C$6)+Y$21*$E$6*Annahmen!$B$20</f>
        <v>101.503593264128</v>
      </c>
      <c r="Z42" s="41" t="n">
        <f aca="false">Y42*(1-Annahmen!$B$32*$C$6)+Z$21*$E$6*Annahmen!$B$20</f>
        <v>109.098485466204</v>
      </c>
      <c r="AA42" s="41" t="n">
        <f aca="false">Z42*(1-Annahmen!$B$32*$C$6)+AA$21*$E$6*Annahmen!$B$20</f>
        <v>117.225530902218</v>
      </c>
      <c r="AB42" s="41" t="n">
        <f aca="false">AA42*(1-Annahmen!$B$32*$C$6)+AB$21*$E$6*Annahmen!$B$20</f>
        <v>125.108764975151</v>
      </c>
      <c r="AC42" s="41" t="n">
        <f aca="false">AB42*(1-Annahmen!$B$32*$C$6)+AC$21*$E$6*Annahmen!$B$20</f>
        <v>132.755502025897</v>
      </c>
      <c r="AD42" s="41" t="n">
        <f aca="false">AC42*(1-Annahmen!$B$32*$C$6)+AD$21*$E$6*Annahmen!$B$20</f>
        <v>141.31283696512</v>
      </c>
      <c r="AE42" s="41" t="n">
        <f aca="false">AD42*(1-Annahmen!$B$32*$C$6)+AE$21*$E$6*Annahmen!$B$20</f>
        <v>149.613451856166</v>
      </c>
      <c r="AF42" s="41" t="n">
        <f aca="false">AE42*(1-Annahmen!$B$32*$C$6)+AF$21*$E$6*Annahmen!$B$20</f>
        <v>157.665048300481</v>
      </c>
      <c r="AG42" s="41" t="n">
        <f aca="false">AF42*(1-Annahmen!$B$32*$C$6)+AG$21*$E$6*Annahmen!$B$20</f>
        <v>166.615096851467</v>
      </c>
      <c r="AH42" s="41" t="n">
        <f aca="false">AG42*(1-Annahmen!$B$32*$C$6)+AH$21*$E$6*Annahmen!$B$20</f>
        <v>175.296643945923</v>
      </c>
      <c r="AI42" s="41" t="n">
        <f aca="false">AH42*(1-Annahmen!$B$32*$C$6)+AI$21*$E$6*Annahmen!$B$20</f>
        <v>183.717744627545</v>
      </c>
      <c r="AJ42" s="41" t="n">
        <f aca="false">AI42*(1-Annahmen!$B$32*$C$6)+AJ$21*$E$6*Annahmen!$B$20</f>
        <v>193.406212288719</v>
      </c>
      <c r="AK42" s="41" t="n">
        <f aca="false">AJ42*(1-Annahmen!$B$32*$C$6)+AK$21*$E$6*Annahmen!$B$20</f>
        <v>202.804025920057</v>
      </c>
      <c r="AL42" s="41" t="n">
        <f aca="false">AK42*(1-Annahmen!$B$32*$C$6)+AL$21*$E$6*Annahmen!$B$20</f>
        <v>211.919905142455</v>
      </c>
      <c r="AM42" s="41" t="n">
        <f aca="false">AL42*(1-Annahmen!$B$32*$C$6)+AM$21*$E$6*Annahmen!$B$20</f>
        <v>222.662307988182</v>
      </c>
      <c r="AN42" s="41" t="n">
        <f aca="false">AM42*(1-Annahmen!$B$32*$C$6)+AN$21*$E$6*Annahmen!$B$20</f>
        <v>233.082438748536</v>
      </c>
      <c r="AO42" s="41" t="n">
        <f aca="false">AN42*(1-Annahmen!$B$32*$C$6)+AO$21*$E$6*Annahmen!$B$20</f>
        <v>243.18996558608</v>
      </c>
      <c r="AP42" s="41" t="n">
        <f aca="false">AO42*(1-Annahmen!$B$32*$C$6)+AP$21*$E$6*Annahmen!$B$20</f>
        <v>252.994266618498</v>
      </c>
      <c r="AQ42" s="41" t="n">
        <f aca="false">AP42*(1-Annahmen!$B$32*$C$6)+AQ$21*$E$6*Annahmen!$B$20</f>
        <v>262.504438619943</v>
      </c>
      <c r="AR42" s="41" t="n">
        <f aca="false">AQ42*(1-Annahmen!$B$32*$C$6)+AR$21*$E$6*Annahmen!$B$20</f>
        <v>271.729305461345</v>
      </c>
      <c r="AS42" s="41" t="n">
        <f aca="false">AR42*(1-Annahmen!$B$32*$C$6)+AS$21*$E$6*Annahmen!$B$20</f>
        <v>280.677426297504</v>
      </c>
      <c r="AT42" s="41" t="n">
        <f aca="false">AS42*(1-Annahmen!$B$32*$C$6)+AT$21*$E$6*Annahmen!$B$20</f>
        <v>289.357103508579</v>
      </c>
      <c r="AU42" s="41" t="n">
        <f aca="false">AT42*(1-Annahmen!$B$32*$C$6)+AU$21*$E$6*Annahmen!$B$20</f>
        <v>297.776390403322</v>
      </c>
      <c r="AV42" s="41" t="n">
        <f aca="false">AU42*(1-Annahmen!$B$32*$C$6)+AV$21*$E$6*Annahmen!$B$20</f>
        <v>305.943098691222</v>
      </c>
      <c r="AW42" s="41" t="n">
        <f aca="false">AV42*(1-Annahmen!$B$32*$C$6)+AW$21*$E$6*Annahmen!$B$20</f>
        <v>313.864805730485</v>
      </c>
      <c r="AX42" s="41" t="n">
        <f aca="false">AW42*(1-Annahmen!$B$32*$C$6)+AX$21*$E$6*Annahmen!$B$20</f>
        <v>321.548861558571</v>
      </c>
      <c r="AY42" s="41" t="n">
        <f aca="false">AX42*(1-Annahmen!$B$32*$C$6)+AY$21*$E$6*Annahmen!$B$20</f>
        <v>332.802395711814</v>
      </c>
      <c r="AZ42" s="41" t="n">
        <f aca="false">AY42*(1-Annahmen!$B$32*$C$6)+AZ$21*$E$6*Annahmen!$B$20</f>
        <v>343.718323840459</v>
      </c>
      <c r="BA42" s="41" t="n">
        <f aca="false">AZ42*(1-Annahmen!$B$32*$C$6)+BA$21*$E$6*Annahmen!$B$20</f>
        <v>354.306774125245</v>
      </c>
      <c r="BB42" s="41" t="n">
        <f aca="false">BA42*(1-Annahmen!$B$32*$C$6)+BB$21*$E$6*Annahmen!$B$20</f>
        <v>364.577570901488</v>
      </c>
      <c r="BC42" s="41" t="n">
        <f aca="false">BB42*(1-Annahmen!$B$32*$C$6)+BC$21*$E$6*Annahmen!$B$20</f>
        <v>374.540243774443</v>
      </c>
      <c r="BD42" s="41" t="n">
        <f aca="false">BC42*(1-Annahmen!$B$32*$C$6)+BD$21*$E$6*Annahmen!$B$20</f>
        <v>384.20403646121</v>
      </c>
      <c r="BE42" s="41" t="n">
        <f aca="false">BD42*(1-Annahmen!$B$32*$C$6)+BE$21*$E$6*Annahmen!$B$20</f>
        <v>393.577915367374</v>
      </c>
      <c r="BF42" s="41" t="n">
        <f aca="false">BE42*(1-Annahmen!$B$32*$C$6)+BF$21*$E$6*Annahmen!$B$20</f>
        <v>402.670577906352</v>
      </c>
      <c r="BG42" s="41" t="n">
        <f aca="false">BF42*(1-Annahmen!$B$32*$C$6)+BG$21*$E$6*Annahmen!$B$20</f>
        <v>411.490460569162</v>
      </c>
      <c r="BH42" s="41" t="n">
        <f aca="false">BG42*(1-Annahmen!$B$32*$C$6)+BH$21*$E$6*Annahmen!$B$20</f>
        <v>420.045746752087</v>
      </c>
      <c r="BI42" s="41" t="n">
        <f aca="false">BH42*(1-Annahmen!$B$32*$C$6)+BI$21*$E$6*Annahmen!$B$20</f>
        <v>428.344374349524</v>
      </c>
      <c r="BJ42" s="41" t="n">
        <f aca="false">BI42*(1-Annahmen!$B$32*$C$6)+BJ$21*$E$6*Annahmen!$B$20</f>
        <v>436.394043119039</v>
      </c>
    </row>
    <row r="43" customFormat="false" ht="15" hidden="false" customHeight="false" outlineLevel="0" collapsed="false">
      <c r="B43" s="5" t="s">
        <v>398</v>
      </c>
      <c r="C43" s="41" t="n">
        <f aca="false">Annahmen!$B$7*Annahmen!$B$21*(1-Annahmen!$B$33*$C$6)+C$21*$E$6*Annahmen!$B$21</f>
        <v>0.9492</v>
      </c>
      <c r="D43" s="41" t="n">
        <f aca="false">C43*(1-Annahmen!$B$33*$C$6)+D$21*$E$6*Annahmen!$B$21</f>
        <v>1.2921144</v>
      </c>
      <c r="E43" s="41" t="n">
        <f aca="false">D43*(1-Annahmen!$B$33*$C$6)+E$21*$E$6*Annahmen!$B$21</f>
        <v>1.6288563408</v>
      </c>
      <c r="F43" s="41" t="n">
        <f aca="false">E43*(1-Annahmen!$B$33*$C$6)+F$21*$E$6*Annahmen!$B$21</f>
        <v>2.3195369266656</v>
      </c>
      <c r="G43" s="41" t="n">
        <f aca="false">F43*(1-Annahmen!$B$33*$C$6)+G$21*$E$6*Annahmen!$B$21</f>
        <v>2.99778526198562</v>
      </c>
      <c r="H43" s="41" t="n">
        <f aca="false">G43*(1-Annahmen!$B$33*$C$6)+H$21*$E$6*Annahmen!$B$21</f>
        <v>3.66382512726988</v>
      </c>
      <c r="I43" s="41" t="n">
        <f aca="false">H43*(1-Annahmen!$B$33*$C$6)+I$21*$E$6*Annahmen!$B$21</f>
        <v>4.67787627497902</v>
      </c>
      <c r="J43" s="41" t="n">
        <f aca="false">I43*(1-Annahmen!$B$33*$C$6)+J$21*$E$6*Annahmen!$B$21</f>
        <v>5.6736745020294</v>
      </c>
      <c r="K43" s="41" t="n">
        <f aca="false">J43*(1-Annahmen!$B$33*$C$6)+K$21*$E$6*Annahmen!$B$21</f>
        <v>6.65154836099287</v>
      </c>
      <c r="L43" s="41" t="n">
        <f aca="false">K43*(1-Annahmen!$B$33*$C$6)+L$21*$E$6*Annahmen!$B$21</f>
        <v>7.971820490495</v>
      </c>
      <c r="M43" s="41" t="n">
        <f aca="false">L43*(1-Annahmen!$B$33*$C$6)+M$21*$E$6*Annahmen!$B$21</f>
        <v>9.26832772166609</v>
      </c>
      <c r="N43" s="41" t="n">
        <f aca="false">M43*(1-Annahmen!$B$33*$C$6)+N$21*$E$6*Annahmen!$B$21</f>
        <v>10.5414978226761</v>
      </c>
      <c r="O43" s="41" t="n">
        <f aca="false">N43*(1-Annahmen!$B$33*$C$6)+O$21*$E$6*Annahmen!$B$21</f>
        <v>12.2717508618679</v>
      </c>
      <c r="P43" s="41" t="n">
        <f aca="false">O43*(1-Annahmen!$B$33*$C$6)+P$21*$E$6*Annahmen!$B$21</f>
        <v>13.9708593463543</v>
      </c>
      <c r="Q43" s="41" t="n">
        <f aca="false">P43*(1-Annahmen!$B$33*$C$6)+Q$21*$E$6*Annahmen!$B$21</f>
        <v>15.6393838781199</v>
      </c>
      <c r="R43" s="41" t="n">
        <f aca="false">Q43*(1-Annahmen!$B$33*$C$6)+R$21*$E$6*Annahmen!$B$21</f>
        <v>17.7578749683138</v>
      </c>
      <c r="S43" s="41" t="n">
        <f aca="false">R43*(1-Annahmen!$B$33*$C$6)+S$21*$E$6*Annahmen!$B$21</f>
        <v>19.8382332188841</v>
      </c>
      <c r="T43" s="41" t="n">
        <f aca="false">S43*(1-Annahmen!$B$33*$C$6)+T$21*$E$6*Annahmen!$B$21</f>
        <v>21.8811450209442</v>
      </c>
      <c r="U43" s="41" t="n">
        <f aca="false">T43*(1-Annahmen!$B$33*$C$6)+U$21*$E$6*Annahmen!$B$21</f>
        <v>24.3672844105672</v>
      </c>
      <c r="V43" s="41" t="n">
        <f aca="false">U43*(1-Annahmen!$B$33*$C$6)+V$21*$E$6*Annahmen!$B$21</f>
        <v>26.808673291177</v>
      </c>
      <c r="W43" s="41" t="n">
        <f aca="false">V43*(1-Annahmen!$B$33*$C$6)+W$21*$E$6*Annahmen!$B$21</f>
        <v>29.2061171719358</v>
      </c>
      <c r="X43" s="41" t="n">
        <f aca="false">W43*(1-Annahmen!$B$33*$C$6)+X$21*$E$6*Annahmen!$B$21</f>
        <v>32.040407062841</v>
      </c>
      <c r="Y43" s="41" t="n">
        <f aca="false">X43*(1-Annahmen!$B$33*$C$6)+Y$21*$E$6*Annahmen!$B$21</f>
        <v>34.8236797357098</v>
      </c>
      <c r="Z43" s="41" t="n">
        <f aca="false">Y43*(1-Annahmen!$B$33*$C$6)+Z$21*$E$6*Annahmen!$B$21</f>
        <v>37.556853500467</v>
      </c>
      <c r="AA43" s="41" t="n">
        <f aca="false">Z43*(1-Annahmen!$B$33*$C$6)+AA$21*$E$6*Annahmen!$B$21</f>
        <v>40.4808301374586</v>
      </c>
      <c r="AB43" s="41" t="n">
        <f aca="false">AA43*(1-Annahmen!$B$33*$C$6)+AB$21*$E$6*Annahmen!$B$21</f>
        <v>43.3521751949844</v>
      </c>
      <c r="AC43" s="41" t="n">
        <f aca="false">AB43*(1-Annahmen!$B$33*$C$6)+AC$21*$E$6*Annahmen!$B$21</f>
        <v>46.1718360414747</v>
      </c>
      <c r="AD43" s="41" t="n">
        <f aca="false">AC43*(1-Annahmen!$B$33*$C$6)+AD$21*$E$6*Annahmen!$B$21</f>
        <v>49.3007429927281</v>
      </c>
      <c r="AE43" s="41" t="n">
        <f aca="false">AD43*(1-Annahmen!$B$33*$C$6)+AE$21*$E$6*Annahmen!$B$21</f>
        <v>52.373329618859</v>
      </c>
      <c r="AF43" s="41" t="n">
        <f aca="false">AE43*(1-Annahmen!$B$33*$C$6)+AF$21*$E$6*Annahmen!$B$21</f>
        <v>55.3906096857196</v>
      </c>
      <c r="AG43" s="41" t="n">
        <f aca="false">AF43*(1-Annahmen!$B$33*$C$6)+AG$21*$E$6*Annahmen!$B$21</f>
        <v>58.7135787113766</v>
      </c>
      <c r="AH43" s="41" t="n">
        <f aca="false">AG43*(1-Annahmen!$B$33*$C$6)+AH$21*$E$6*Annahmen!$B$21</f>
        <v>61.9767342945718</v>
      </c>
      <c r="AI43" s="41" t="n">
        <f aca="false">AH43*(1-Annahmen!$B$33*$C$6)+AI$21*$E$6*Annahmen!$B$21</f>
        <v>65.1811530772695</v>
      </c>
      <c r="AJ43" s="41" t="n">
        <f aca="false">AI43*(1-Annahmen!$B$33*$C$6)+AJ$21*$E$6*Annahmen!$B$21</f>
        <v>68.8078923218787</v>
      </c>
      <c r="AK43" s="41" t="n">
        <f aca="false">AJ43*(1-Annahmen!$B$33*$C$6)+AK$21*$E$6*Annahmen!$B$21</f>
        <v>72.3693502600848</v>
      </c>
      <c r="AL43" s="41" t="n">
        <f aca="false">AK43*(1-Annahmen!$B$33*$C$6)+AL$21*$E$6*Annahmen!$B$21</f>
        <v>75.8667019554033</v>
      </c>
      <c r="AM43" s="41" t="n">
        <f aca="false">AL43*(1-Annahmen!$B$33*$C$6)+AM$21*$E$6*Annahmen!$B$21</f>
        <v>79.9011013202061</v>
      </c>
      <c r="AN43" s="41" t="n">
        <f aca="false">AM43*(1-Annahmen!$B$33*$C$6)+AN$21*$E$6*Annahmen!$B$21</f>
        <v>83.8628814964423</v>
      </c>
      <c r="AO43" s="41" t="n">
        <f aca="false">AN43*(1-Annahmen!$B$33*$C$6)+AO$21*$E$6*Annahmen!$B$21</f>
        <v>87.7533496295064</v>
      </c>
      <c r="AP43" s="41" t="n">
        <f aca="false">AO43*(1-Annahmen!$B$33*$C$6)+AP$21*$E$6*Annahmen!$B$21</f>
        <v>91.5737893361753</v>
      </c>
      <c r="AQ43" s="41" t="n">
        <f aca="false">AP43*(1-Annahmen!$B$33*$C$6)+AQ$21*$E$6*Annahmen!$B$21</f>
        <v>95.3254611281241</v>
      </c>
      <c r="AR43" s="41" t="n">
        <f aca="false">AQ43*(1-Annahmen!$B$33*$C$6)+AR$21*$E$6*Annahmen!$B$21</f>
        <v>99.0096028278179</v>
      </c>
      <c r="AS43" s="41" t="n">
        <f aca="false">AR43*(1-Annahmen!$B$33*$C$6)+AS$21*$E$6*Annahmen!$B$21</f>
        <v>102.627429976917</v>
      </c>
      <c r="AT43" s="41" t="n">
        <f aca="false">AS43*(1-Annahmen!$B$33*$C$6)+AT$21*$E$6*Annahmen!$B$21</f>
        <v>106.180136237333</v>
      </c>
      <c r="AU43" s="41" t="n">
        <f aca="false">AT43*(1-Annahmen!$B$33*$C$6)+AU$21*$E$6*Annahmen!$B$21</f>
        <v>109.668893785061</v>
      </c>
      <c r="AV43" s="41" t="n">
        <f aca="false">AU43*(1-Annahmen!$B$33*$C$6)+AV$21*$E$6*Annahmen!$B$21</f>
        <v>113.09485369693</v>
      </c>
      <c r="AW43" s="41" t="n">
        <f aca="false">AV43*(1-Annahmen!$B$33*$C$6)+AW$21*$E$6*Annahmen!$B$21</f>
        <v>116.459146330385</v>
      </c>
      <c r="AX43" s="41" t="n">
        <f aca="false">AW43*(1-Annahmen!$B$33*$C$6)+AX$21*$E$6*Annahmen!$B$21</f>
        <v>119.762881696438</v>
      </c>
      <c r="AY43" s="41" t="n">
        <f aca="false">AX43*(1-Annahmen!$B$33*$C$6)+AY$21*$E$6*Annahmen!$B$21</f>
        <v>124.207149825902</v>
      </c>
      <c r="AZ43" s="41" t="n">
        <f aca="false">AY43*(1-Annahmen!$B$33*$C$6)+AZ$21*$E$6*Annahmen!$B$21</f>
        <v>128.571421129036</v>
      </c>
      <c r="BA43" s="41" t="n">
        <f aca="false">AZ43*(1-Annahmen!$B$33*$C$6)+BA$21*$E$6*Annahmen!$B$21</f>
        <v>132.857135548713</v>
      </c>
      <c r="BB43" s="41" t="n">
        <f aca="false">BA43*(1-Annahmen!$B$33*$C$6)+BB$21*$E$6*Annahmen!$B$21</f>
        <v>137.065707108836</v>
      </c>
      <c r="BC43" s="41" t="n">
        <f aca="false">BB43*(1-Annahmen!$B$33*$C$6)+BC$21*$E$6*Annahmen!$B$21</f>
        <v>141.198524380877</v>
      </c>
      <c r="BD43" s="41" t="n">
        <f aca="false">BC43*(1-Annahmen!$B$33*$C$6)+BD$21*$E$6*Annahmen!$B$21</f>
        <v>145.256950942021</v>
      </c>
      <c r="BE43" s="41" t="n">
        <f aca="false">BD43*(1-Annahmen!$B$33*$C$6)+BE$21*$E$6*Annahmen!$B$21</f>
        <v>149.242325825065</v>
      </c>
      <c r="BF43" s="41" t="n">
        <f aca="false">BE43*(1-Annahmen!$B$33*$C$6)+BF$21*$E$6*Annahmen!$B$21</f>
        <v>153.155963960214</v>
      </c>
      <c r="BG43" s="41" t="n">
        <f aca="false">BF43*(1-Annahmen!$B$33*$C$6)+BG$21*$E$6*Annahmen!$B$21</f>
        <v>156.99915660893</v>
      </c>
      <c r="BH43" s="41" t="n">
        <f aca="false">BG43*(1-Annahmen!$B$33*$C$6)+BH$21*$E$6*Annahmen!$B$21</f>
        <v>160.773171789969</v>
      </c>
      <c r="BI43" s="41" t="n">
        <f aca="false">BH43*(1-Annahmen!$B$33*$C$6)+BI$21*$E$6*Annahmen!$B$21</f>
        <v>164.47925469775</v>
      </c>
      <c r="BJ43" s="41" t="n">
        <f aca="false">BI43*(1-Annahmen!$B$33*$C$6)+BJ$21*$E$6*Annahmen!$B$21</f>
        <v>168.11862811319</v>
      </c>
    </row>
    <row r="44" customFormat="false" ht="15" hidden="false" customHeight="false" outlineLevel="0" collapsed="false">
      <c r="B44" s="5" t="s">
        <v>399</v>
      </c>
      <c r="C44" s="41" t="n">
        <f aca="false">Annahmen!$B$7*Annahmen!$B$21*Annahmen!$B$24*(1-Annahmen!$B$33*$C$6)+C$21*$E$6*Annahmen!$B$21*Annahmen!$B$24</f>
        <v>0.18984</v>
      </c>
      <c r="D44" s="41" t="n">
        <f aca="false">C44*(1-Annahmen!$B$33*$C$6)+D$21*$E$6*Annahmen!$B$21*Annahmen!$B$24</f>
        <v>0.25842288</v>
      </c>
      <c r="E44" s="41" t="n">
        <f aca="false">D44*(1-Annahmen!$B$33*$C$6)+E$21*$E$6*Annahmen!$B$21*Annahmen!$B$24</f>
        <v>0.32577126816</v>
      </c>
      <c r="F44" s="41" t="n">
        <f aca="false">E44*(1-Annahmen!$B$33*$C$6)+F$21*$E$6*Annahmen!$B$21*Annahmen!$B$24</f>
        <v>0.46390738533312</v>
      </c>
      <c r="G44" s="41" t="n">
        <f aca="false">F44*(1-Annahmen!$B$33*$C$6)+G$21*$E$6*Annahmen!$B$21*Annahmen!$B$24</f>
        <v>0.599557052397124</v>
      </c>
      <c r="H44" s="41" t="n">
        <f aca="false">G44*(1-Annahmen!$B$33*$C$6)+H$21*$E$6*Annahmen!$B$21*Annahmen!$B$24</f>
        <v>0.732765025453976</v>
      </c>
      <c r="I44" s="41" t="n">
        <f aca="false">H44*(1-Annahmen!$B$33*$C$6)+I$21*$E$6*Annahmen!$B$21*Annahmen!$B$24</f>
        <v>0.935575254995804</v>
      </c>
      <c r="J44" s="41" t="n">
        <f aca="false">I44*(1-Annahmen!$B$33*$C$6)+J$21*$E$6*Annahmen!$B$21*Annahmen!$B$24</f>
        <v>1.13473490040588</v>
      </c>
      <c r="K44" s="41" t="n">
        <f aca="false">J44*(1-Annahmen!$B$33*$C$6)+K$21*$E$6*Annahmen!$B$21*Annahmen!$B$24</f>
        <v>1.33030967219857</v>
      </c>
      <c r="L44" s="41" t="n">
        <f aca="false">K44*(1-Annahmen!$B$33*$C$6)+L$21*$E$6*Annahmen!$B$21*Annahmen!$B$24</f>
        <v>1.594364098099</v>
      </c>
      <c r="M44" s="41" t="n">
        <f aca="false">L44*(1-Annahmen!$B$33*$C$6)+M$21*$E$6*Annahmen!$B$21*Annahmen!$B$24</f>
        <v>1.85366554433322</v>
      </c>
      <c r="N44" s="41" t="n">
        <f aca="false">M44*(1-Annahmen!$B$33*$C$6)+N$21*$E$6*Annahmen!$B$21*Annahmen!$B$24</f>
        <v>2.10829956453522</v>
      </c>
      <c r="O44" s="41" t="n">
        <f aca="false">N44*(1-Annahmen!$B$33*$C$6)+O$21*$E$6*Annahmen!$B$21*Annahmen!$B$24</f>
        <v>2.45435017237359</v>
      </c>
      <c r="P44" s="41" t="n">
        <f aca="false">O44*(1-Annahmen!$B$33*$C$6)+P$21*$E$6*Annahmen!$B$21*Annahmen!$B$24</f>
        <v>2.79417186927086</v>
      </c>
      <c r="Q44" s="41" t="n">
        <f aca="false">P44*(1-Annahmen!$B$33*$C$6)+Q$21*$E$6*Annahmen!$B$21*Annahmen!$B$24</f>
        <v>3.12787677562398</v>
      </c>
      <c r="R44" s="41" t="n">
        <f aca="false">Q44*(1-Annahmen!$B$33*$C$6)+R$21*$E$6*Annahmen!$B$21*Annahmen!$B$24</f>
        <v>3.55157499366275</v>
      </c>
      <c r="S44" s="41" t="n">
        <f aca="false">R44*(1-Annahmen!$B$33*$C$6)+S$21*$E$6*Annahmen!$B$21*Annahmen!$B$24</f>
        <v>3.96764664377682</v>
      </c>
      <c r="T44" s="41" t="n">
        <f aca="false">S44*(1-Annahmen!$B$33*$C$6)+T$21*$E$6*Annahmen!$B$21*Annahmen!$B$24</f>
        <v>4.37622900418884</v>
      </c>
      <c r="U44" s="41" t="n">
        <f aca="false">T44*(1-Annahmen!$B$33*$C$6)+U$21*$E$6*Annahmen!$B$21*Annahmen!$B$24</f>
        <v>4.87345688211344</v>
      </c>
      <c r="V44" s="41" t="n">
        <f aca="false">U44*(1-Annahmen!$B$33*$C$6)+V$21*$E$6*Annahmen!$B$21*Annahmen!$B$24</f>
        <v>5.3617346582354</v>
      </c>
      <c r="W44" s="41" t="n">
        <f aca="false">V44*(1-Annahmen!$B$33*$C$6)+W$21*$E$6*Annahmen!$B$21*Annahmen!$B$24</f>
        <v>5.84122343438716</v>
      </c>
      <c r="X44" s="41" t="n">
        <f aca="false">W44*(1-Annahmen!$B$33*$C$6)+X$21*$E$6*Annahmen!$B$21*Annahmen!$B$24</f>
        <v>6.40808141256819</v>
      </c>
      <c r="Y44" s="41" t="n">
        <f aca="false">X44*(1-Annahmen!$B$33*$C$6)+Y$21*$E$6*Annahmen!$B$21*Annahmen!$B$24</f>
        <v>6.96473594714196</v>
      </c>
      <c r="Z44" s="41" t="n">
        <f aca="false">Y44*(1-Annahmen!$B$33*$C$6)+Z$21*$E$6*Annahmen!$B$21*Annahmen!$B$24</f>
        <v>7.51137070009341</v>
      </c>
      <c r="AA44" s="41" t="n">
        <f aca="false">Z44*(1-Annahmen!$B$33*$C$6)+AA$21*$E$6*Annahmen!$B$21*Annahmen!$B$24</f>
        <v>8.09616602749173</v>
      </c>
      <c r="AB44" s="41" t="n">
        <f aca="false">AA44*(1-Annahmen!$B$33*$C$6)+AB$21*$E$6*Annahmen!$B$21*Annahmen!$B$24</f>
        <v>8.67043503899688</v>
      </c>
      <c r="AC44" s="41" t="n">
        <f aca="false">AB44*(1-Annahmen!$B$33*$C$6)+AC$21*$E$6*Annahmen!$B$21*Annahmen!$B$24</f>
        <v>9.23436720829493</v>
      </c>
      <c r="AD44" s="41" t="n">
        <f aca="false">AC44*(1-Annahmen!$B$33*$C$6)+AD$21*$E$6*Annahmen!$B$21*Annahmen!$B$24</f>
        <v>9.86014859854562</v>
      </c>
      <c r="AE44" s="41" t="n">
        <f aca="false">AD44*(1-Annahmen!$B$33*$C$6)+AE$21*$E$6*Annahmen!$B$21*Annahmen!$B$24</f>
        <v>10.4746659237718</v>
      </c>
      <c r="AF44" s="41" t="n">
        <f aca="false">AE44*(1-Annahmen!$B$33*$C$6)+AF$21*$E$6*Annahmen!$B$21*Annahmen!$B$24</f>
        <v>11.0781219371439</v>
      </c>
      <c r="AG44" s="41" t="n">
        <f aca="false">AF44*(1-Annahmen!$B$33*$C$6)+AG$21*$E$6*Annahmen!$B$21*Annahmen!$B$24</f>
        <v>11.7427157422753</v>
      </c>
      <c r="AH44" s="41" t="n">
        <f aca="false">AG44*(1-Annahmen!$B$33*$C$6)+AH$21*$E$6*Annahmen!$B$21*Annahmen!$B$24</f>
        <v>12.3953468589144</v>
      </c>
      <c r="AI44" s="41" t="n">
        <f aca="false">AH44*(1-Annahmen!$B$33*$C$6)+AI$21*$E$6*Annahmen!$B$21*Annahmen!$B$24</f>
        <v>13.0362306154539</v>
      </c>
      <c r="AJ44" s="41" t="n">
        <f aca="false">AI44*(1-Annahmen!$B$33*$C$6)+AJ$21*$E$6*Annahmen!$B$21*Annahmen!$B$24</f>
        <v>13.7615784643757</v>
      </c>
      <c r="AK44" s="41" t="n">
        <f aca="false">AJ44*(1-Annahmen!$B$33*$C$6)+AK$21*$E$6*Annahmen!$B$21*Annahmen!$B$24</f>
        <v>14.473870052017</v>
      </c>
      <c r="AL44" s="41" t="n">
        <f aca="false">AK44*(1-Annahmen!$B$33*$C$6)+AL$21*$E$6*Annahmen!$B$21*Annahmen!$B$24</f>
        <v>15.1733403910807</v>
      </c>
      <c r="AM44" s="41" t="n">
        <f aca="false">AL44*(1-Annahmen!$B$33*$C$6)+AM$21*$E$6*Annahmen!$B$21*Annahmen!$B$24</f>
        <v>15.9802202640412</v>
      </c>
      <c r="AN44" s="41" t="n">
        <f aca="false">AM44*(1-Annahmen!$B$33*$C$6)+AN$21*$E$6*Annahmen!$B$21*Annahmen!$B$24</f>
        <v>16.7725762992885</v>
      </c>
      <c r="AO44" s="41" t="n">
        <f aca="false">AN44*(1-Annahmen!$B$33*$C$6)+AO$21*$E$6*Annahmen!$B$21*Annahmen!$B$24</f>
        <v>17.5506699259013</v>
      </c>
      <c r="AP44" s="41" t="n">
        <f aca="false">AO44*(1-Annahmen!$B$33*$C$6)+AP$21*$E$6*Annahmen!$B$21*Annahmen!$B$24</f>
        <v>18.3147578672351</v>
      </c>
      <c r="AQ44" s="41" t="n">
        <f aca="false">AP44*(1-Annahmen!$B$33*$C$6)+AQ$21*$E$6*Annahmen!$B$21*Annahmen!$B$24</f>
        <v>19.0650922256248</v>
      </c>
      <c r="AR44" s="41" t="n">
        <f aca="false">AQ44*(1-Annahmen!$B$33*$C$6)+AR$21*$E$6*Annahmen!$B$21*Annahmen!$B$24</f>
        <v>19.8019205655636</v>
      </c>
      <c r="AS44" s="41" t="n">
        <f aca="false">AR44*(1-Annahmen!$B$33*$C$6)+AS$21*$E$6*Annahmen!$B$21*Annahmen!$B$24</f>
        <v>20.5254859953834</v>
      </c>
      <c r="AT44" s="41" t="n">
        <f aca="false">AS44*(1-Annahmen!$B$33*$C$6)+AT$21*$E$6*Annahmen!$B$21*Annahmen!$B$24</f>
        <v>21.2360272474665</v>
      </c>
      <c r="AU44" s="41" t="n">
        <f aca="false">AT44*(1-Annahmen!$B$33*$C$6)+AU$21*$E$6*Annahmen!$B$21*Annahmen!$B$24</f>
        <v>21.9337787570121</v>
      </c>
      <c r="AV44" s="41" t="n">
        <f aca="false">AU44*(1-Annahmen!$B$33*$C$6)+AV$21*$E$6*Annahmen!$B$21*Annahmen!$B$24</f>
        <v>22.6189707393859</v>
      </c>
      <c r="AW44" s="41" t="n">
        <f aca="false">AV44*(1-Annahmen!$B$33*$C$6)+AW$21*$E$6*Annahmen!$B$21*Annahmen!$B$24</f>
        <v>23.291829266077</v>
      </c>
      <c r="AX44" s="41" t="n">
        <f aca="false">AW44*(1-Annahmen!$B$33*$C$6)+AX$21*$E$6*Annahmen!$B$21*Annahmen!$B$24</f>
        <v>23.9525763392876</v>
      </c>
      <c r="AY44" s="41" t="n">
        <f aca="false">AX44*(1-Annahmen!$B$33*$C$6)+AY$21*$E$6*Annahmen!$B$21*Annahmen!$B$24</f>
        <v>24.8414299651804</v>
      </c>
      <c r="AZ44" s="41" t="n">
        <f aca="false">AY44*(1-Annahmen!$B$33*$C$6)+AZ$21*$E$6*Annahmen!$B$21*Annahmen!$B$24</f>
        <v>25.7142842258071</v>
      </c>
      <c r="BA44" s="41" t="n">
        <f aca="false">AZ44*(1-Annahmen!$B$33*$C$6)+BA$21*$E$6*Annahmen!$B$21*Annahmen!$B$24</f>
        <v>26.5714271097426</v>
      </c>
      <c r="BB44" s="41" t="n">
        <f aca="false">BA44*(1-Annahmen!$B$33*$C$6)+BB$21*$E$6*Annahmen!$B$21*Annahmen!$B$24</f>
        <v>27.4131414217672</v>
      </c>
      <c r="BC44" s="41" t="n">
        <f aca="false">BB44*(1-Annahmen!$B$33*$C$6)+BC$21*$E$6*Annahmen!$B$21*Annahmen!$B$24</f>
        <v>28.2397048761754</v>
      </c>
      <c r="BD44" s="41" t="n">
        <f aca="false">BC44*(1-Annahmen!$B$33*$C$6)+BD$21*$E$6*Annahmen!$B$21*Annahmen!$B$24</f>
        <v>29.0513901884043</v>
      </c>
      <c r="BE44" s="41" t="n">
        <f aca="false">BD44*(1-Annahmen!$B$33*$C$6)+BE$21*$E$6*Annahmen!$B$21*Annahmen!$B$24</f>
        <v>29.848465165013</v>
      </c>
      <c r="BF44" s="41" t="n">
        <f aca="false">BE44*(1-Annahmen!$B$33*$C$6)+BF$21*$E$6*Annahmen!$B$21*Annahmen!$B$24</f>
        <v>30.6311927920428</v>
      </c>
      <c r="BG44" s="41" t="n">
        <f aca="false">BF44*(1-Annahmen!$B$33*$C$6)+BG$21*$E$6*Annahmen!$B$21*Annahmen!$B$24</f>
        <v>31.399831321786</v>
      </c>
      <c r="BH44" s="41" t="n">
        <f aca="false">BG44*(1-Annahmen!$B$33*$C$6)+BH$21*$E$6*Annahmen!$B$21*Annahmen!$B$24</f>
        <v>32.1546343579938</v>
      </c>
      <c r="BI44" s="41" t="n">
        <f aca="false">BH44*(1-Annahmen!$B$33*$C$6)+BI$21*$E$6*Annahmen!$B$21*Annahmen!$B$24</f>
        <v>32.89585093955</v>
      </c>
      <c r="BJ44" s="41" t="n">
        <f aca="false">BI44*(1-Annahmen!$B$33*$C$6)+BJ$21*$E$6*Annahmen!$B$21*Annahmen!$B$24</f>
        <v>33.6237256226381</v>
      </c>
    </row>
    <row r="45" customFormat="false" ht="15" hidden="false" customHeight="false" outlineLevel="0" collapsed="false">
      <c r="B45" s="5" t="s">
        <v>223</v>
      </c>
      <c r="C45" s="38" t="n">
        <f aca="false">C41+C42+C43</f>
        <v>7.8197</v>
      </c>
      <c r="D45" s="38" t="n">
        <f aca="false">D41+D42+D43</f>
        <v>10.5381869</v>
      </c>
      <c r="E45" s="38" t="n">
        <f aca="false">E41+E42+E43</f>
        <v>13.1593582283</v>
      </c>
      <c r="F45" s="38" t="n">
        <f aca="false">F41+F42+F43</f>
        <v>18.6869537997281</v>
      </c>
      <c r="G45" s="38" t="n">
        <f aca="false">G41+G42+G43</f>
        <v>24.0163823191453</v>
      </c>
      <c r="H45" s="38" t="n">
        <f aca="false">H41+H42+H43</f>
        <v>29.1552678419408</v>
      </c>
      <c r="I45" s="38" t="n">
        <f aca="false">I41+I42+I43</f>
        <v>37.1109261168207</v>
      </c>
      <c r="J45" s="38" t="n">
        <f aca="false">J41+J42+J43</f>
        <v>44.7821974888392</v>
      </c>
      <c r="K45" s="38" t="n">
        <f aca="false">K41+K42+K43</f>
        <v>52.1799993896118</v>
      </c>
      <c r="L45" s="38" t="n">
        <f aca="false">L41+L42+L43</f>
        <v>62.3148084517551</v>
      </c>
      <c r="M45" s="38" t="n">
        <f aca="false">M41+M42+M43</f>
        <v>72.0884989367306</v>
      </c>
      <c r="N45" s="38" t="n">
        <f aca="false">N41+N42+N43</f>
        <v>81.514900513762</v>
      </c>
      <c r="O45" s="38" t="n">
        <f aca="false">O41+O42+O43</f>
        <v>94.6072854371333</v>
      </c>
      <c r="P45" s="38" t="n">
        <f aca="false">P41+P42+P43</f>
        <v>107.234151820853</v>
      </c>
      <c r="Q45" s="38" t="n">
        <f aca="false">Q41+Q42+Q43</f>
        <v>119.413299437732</v>
      </c>
      <c r="R45" s="38" t="n">
        <f aca="false">R41+R42+R43</f>
        <v>135.161811436816</v>
      </c>
      <c r="S45" s="38" t="n">
        <f aca="false">S41+S42+S43</f>
        <v>150.351844242104</v>
      </c>
      <c r="T45" s="38" t="n">
        <f aca="false">T41+T42+T43</f>
        <v>165.004709693045</v>
      </c>
      <c r="U45" s="38" t="n">
        <f aca="false">U41+U42+U43</f>
        <v>183.140862833002</v>
      </c>
      <c r="V45" s="38" t="n">
        <f aca="false">V41+V42+V43</f>
        <v>200.635697620364</v>
      </c>
      <c r="W45" s="38" t="n">
        <f aca="false">W41+W42+W43</f>
        <v>217.513634633997</v>
      </c>
      <c r="X45" s="38" t="n">
        <f aca="false">X41+X42+X43</f>
        <v>237.798114189967</v>
      </c>
      <c r="Y45" s="38" t="n">
        <f aca="false">Y41+Y42+Y43</f>
        <v>257.367397154447</v>
      </c>
      <c r="Z45" s="38" t="n">
        <f aca="false">Z41+Z42+Z43</f>
        <v>276.248657534323</v>
      </c>
      <c r="AA45" s="38" t="n">
        <f aca="false">AA41+AA42+AA43</f>
        <v>296.467980271784</v>
      </c>
      <c r="AB45" s="38" t="n">
        <f aca="false">AB41+AB42+AB43</f>
        <v>315.978286536799</v>
      </c>
      <c r="AC45" s="38" t="n">
        <f aca="false">AC41+AC42+AC43</f>
        <v>334.806403847535</v>
      </c>
      <c r="AD45" s="38" t="n">
        <f aca="false">AD41+AD42+AD43</f>
        <v>355.978087777904</v>
      </c>
      <c r="AE45" s="38" t="n">
        <f aca="false">AE41+AE42+AE43</f>
        <v>376.409886443179</v>
      </c>
      <c r="AF45" s="38" t="n">
        <f aca="false">AF41+AF42+AF43</f>
        <v>396.129723230787</v>
      </c>
      <c r="AG45" s="38" t="n">
        <f aca="false">AG41+AG42+AG43</f>
        <v>418.164407871423</v>
      </c>
      <c r="AH45" s="38" t="n">
        <f aca="false">AH41+AH42+AH43</f>
        <v>439.431502595189</v>
      </c>
      <c r="AI45" s="38" t="n">
        <f aca="false">AI41+AI42+AI43</f>
        <v>459.959906463547</v>
      </c>
      <c r="AJ45" s="38" t="n">
        <f aca="false">AJ41+AJ42+AJ43</f>
        <v>483.777367975187</v>
      </c>
      <c r="AK45" s="38" t="n">
        <f aca="false">AK41+AK42+AK43</f>
        <v>506.766292693325</v>
      </c>
      <c r="AL45" s="38" t="n">
        <f aca="false">AL41+AL42+AL43</f>
        <v>528.957842367949</v>
      </c>
      <c r="AM45" s="38" t="n">
        <f aca="false">AM41+AM42+AM43</f>
        <v>555.381938991324</v>
      </c>
      <c r="AN45" s="38" t="n">
        <f aca="false">AN41+AN42+AN43</f>
        <v>580.887016092182</v>
      </c>
      <c r="AO45" s="38" t="n">
        <f aca="false">AO41+AO42+AO43</f>
        <v>605.507634749666</v>
      </c>
      <c r="AP45" s="38" t="n">
        <f aca="false">AP41+AP42+AP43</f>
        <v>629.276981109719</v>
      </c>
      <c r="AQ45" s="38" t="n">
        <f aca="false">AQ41+AQ42+AQ43</f>
        <v>652.226923271136</v>
      </c>
      <c r="AR45" s="38" t="n">
        <f aca="false">AR41+AR42+AR43</f>
        <v>674.388065753693</v>
      </c>
      <c r="AS45" s="38" t="n">
        <f aca="false">AS41+AS42+AS43</f>
        <v>695.789801653048</v>
      </c>
      <c r="AT45" s="38" t="n">
        <f aca="false">AT41+AT42+AT43</f>
        <v>716.4603625825</v>
      </c>
      <c r="AU45" s="38" t="n">
        <f aca="false">AU41+AU42+AU43</f>
        <v>736.426866497325</v>
      </c>
      <c r="AV45" s="38" t="n">
        <f aca="false">AV41+AV42+AV43</f>
        <v>755.715363493191</v>
      </c>
      <c r="AW45" s="38" t="n">
        <f aca="false">AW41+AW42+AW43</f>
        <v>774.350879666183</v>
      </c>
      <c r="AX45" s="38" t="n">
        <f aca="false">AX41+AX42+AX43</f>
        <v>792.357459118083</v>
      </c>
      <c r="AY45" s="38" t="n">
        <f aca="false">AY41+AY42+AY43</f>
        <v>819.758204186951</v>
      </c>
      <c r="AZ45" s="38" t="n">
        <f aca="false">AZ41+AZ42+AZ43</f>
        <v>846.214713979515</v>
      </c>
      <c r="BA45" s="38" t="n">
        <f aca="false">BA41+BA42+BA43</f>
        <v>871.762255078528</v>
      </c>
      <c r="BB45" s="38" t="n">
        <f aca="false">BB41+BB42+BB43</f>
        <v>896.434697871688</v>
      </c>
      <c r="BC45" s="38" t="n">
        <f aca="false">BC41+BC42+BC43</f>
        <v>920.264574122923</v>
      </c>
      <c r="BD45" s="38" t="n">
        <f aca="false">BD41+BD42+BD43</f>
        <v>943.283132102291</v>
      </c>
      <c r="BE45" s="38" t="n">
        <f aca="false">BE41+BE42+BE43</f>
        <v>965.520389380041</v>
      </c>
      <c r="BF45" s="38" t="n">
        <f aca="false">BF41+BF42+BF43</f>
        <v>987.005183385727</v>
      </c>
      <c r="BG45" s="38" t="n">
        <f aca="false">BG41+BG42+BG43</f>
        <v>1007.76521982889</v>
      </c>
      <c r="BH45" s="38" t="n">
        <f aca="false">BH41+BH42+BH43</f>
        <v>1027.82711907357</v>
      </c>
      <c r="BI45" s="38" t="n">
        <f aca="false">BI41+BI42+BI43</f>
        <v>1047.21646055487</v>
      </c>
      <c r="BJ45" s="38" t="n">
        <f aca="false">BJ41+BJ42+BJ43</f>
        <v>1065.95782532198</v>
      </c>
    </row>
    <row r="46" customFormat="false" ht="15" hidden="false" customHeight="false" outlineLevel="0" collapsed="false">
      <c r="B46" s="5" t="s">
        <v>400</v>
      </c>
      <c r="C46" s="37" t="n">
        <f aca="false">(C41*Annahmen!$B$10+C42*(Annahmen!$B$11+Annahmen!$B$13*Annahmen!$B$22)+C43*(Annahmen!$B$12+Annahmen!$B$14*Annahmen!$B$23)+C44*Annahmen!$B$16)*$D$6</f>
        <v>937.69696</v>
      </c>
      <c r="D46" s="37" t="n">
        <f aca="false">(D41*Annahmen!$B$10+D42*(Annahmen!$B$11+Annahmen!$B$13*Annahmen!$B$22)+D43*(Annahmen!$B$12+Annahmen!$B$14*Annahmen!$B$23)+D44*Annahmen!$B$16)*$D$6</f>
        <v>1268.77971022</v>
      </c>
      <c r="E46" s="37" t="n">
        <f aca="false">(E41*Annahmen!$B$10+E42*(Annahmen!$B$11+Annahmen!$B$13*Annahmen!$B$22)+E43*(Annahmen!$B$12+Annahmen!$B$14*Annahmen!$B$23)+E44*Annahmen!$B$16)*$D$6</f>
        <v>1590.39135950854</v>
      </c>
      <c r="F46" s="37" t="n">
        <f aca="false">(F41*Annahmen!$B$10+F42*(Annahmen!$B$11+Annahmen!$B$13*Annahmen!$B$22)+F43*(Annahmen!$B$12+Annahmen!$B$14*Annahmen!$B$23)+F44*Annahmen!$B$16)*$D$6</f>
        <v>2260.93203189052</v>
      </c>
      <c r="G46" s="37" t="n">
        <f aca="false">(G41*Annahmen!$B$10+G42*(Annahmen!$B$11+Annahmen!$B$13*Annahmen!$B$22)+G43*(Annahmen!$B$12+Annahmen!$B$14*Annahmen!$B$23)+G44*Annahmen!$B$16)*$D$6</f>
        <v>2912.25665651822</v>
      </c>
      <c r="H46" s="37" t="n">
        <f aca="false">(H41*Annahmen!$B$10+H42*(Annahmen!$B$11+Annahmen!$B$13*Annahmen!$B$22)+H43*(Annahmen!$B$12+Annahmen!$B$14*Annahmen!$B$23)+H44*Annahmen!$B$16)*$D$6</f>
        <v>3544.97926170732</v>
      </c>
      <c r="I46" s="37" t="n">
        <f aca="false">(I41*Annahmen!$B$10+I42*(Annahmen!$B$11+Annahmen!$B$13*Annahmen!$B$22)+I43*(Annahmen!$B$12+Annahmen!$B$14*Annahmen!$B$23)+I44*Annahmen!$B$16)*$D$6</f>
        <v>4517.79036033074</v>
      </c>
      <c r="J46" s="37" t="n">
        <f aca="false">(J41*Annahmen!$B$10+J42*(Annahmen!$B$11+Annahmen!$B$13*Annahmen!$B$22)+J43*(Annahmen!$B$12+Annahmen!$B$14*Annahmen!$B$23)+J44*Annahmen!$B$16)*$D$6</f>
        <v>5462.82513582831</v>
      </c>
      <c r="K46" s="37" t="n">
        <f aca="false">(K41*Annahmen!$B$10+K42*(Annahmen!$B$11+Annahmen!$B$13*Annahmen!$B$22)+K43*(Annahmen!$B$12+Annahmen!$B$14*Annahmen!$B$23)+K44*Annahmen!$B$16)*$D$6</f>
        <v>6380.96811658841</v>
      </c>
      <c r="L46" s="37" t="n">
        <f aca="false">(L41*Annahmen!$B$10+L42*(Annahmen!$B$11+Annahmen!$B$13*Annahmen!$B$22)+L43*(Annahmen!$B$12+Annahmen!$B$14*Annahmen!$B$23)+L44*Annahmen!$B$16)*$D$6</f>
        <v>7631.17092662202</v>
      </c>
      <c r="M46" s="37" t="n">
        <f aca="false">(M41*Annahmen!$B$10+M42*(Annahmen!$B$11+Annahmen!$B$13*Annahmen!$B$22)+M43*(Annahmen!$B$12+Annahmen!$B$14*Annahmen!$B$23)+M44*Annahmen!$B$16)*$D$6</f>
        <v>8845.82082240784</v>
      </c>
      <c r="N46" s="37" t="n">
        <f aca="false">(N41*Annahmen!$B$10+N42*(Annahmen!$B$11+Annahmen!$B$13*Annahmen!$B$22)+N43*(Annahmen!$B$12+Annahmen!$B$14*Annahmen!$B$23)+N44*Annahmen!$B$16)*$D$6</f>
        <v>10026.0457042586</v>
      </c>
      <c r="O46" s="37" t="n">
        <f aca="false">(O41*Annahmen!$B$10+O42*(Annahmen!$B$11+Annahmen!$B$13*Annahmen!$B$22)+O43*(Annahmen!$B$12+Annahmen!$B$14*Annahmen!$B$23)+O44*Annahmen!$B$16)*$D$6</f>
        <v>11650.3981906981</v>
      </c>
      <c r="P46" s="37" t="n">
        <f aca="false">(P41*Annahmen!$B$10+P42*(Annahmen!$B$11+Annahmen!$B$13*Annahmen!$B$22)+P43*(Annahmen!$B$12+Annahmen!$B$14*Annahmen!$B$23)+P44*Annahmen!$B$16)*$D$6</f>
        <v>13228.6802582727</v>
      </c>
      <c r="Q46" s="37" t="n">
        <f aca="false">(Q41*Annahmen!$B$10+Q42*(Annahmen!$B$11+Annahmen!$B$13*Annahmen!$B$22)+Q43*(Annahmen!$B$12+Annahmen!$B$14*Annahmen!$B$23)+Q44*Annahmen!$B$16)*$D$6</f>
        <v>14762.3498505127</v>
      </c>
      <c r="R46" s="37" t="n">
        <f aca="false">(R41*Annahmen!$B$10+R42*(Annahmen!$B$11+Annahmen!$B$13*Annahmen!$B$22)+R43*(Annahmen!$B$12+Annahmen!$B$14*Annahmen!$B$23)+R44*Annahmen!$B$16)*$D$6</f>
        <v>16730.2782405658</v>
      </c>
      <c r="S46" s="37" t="n">
        <f aca="false">(S41*Annahmen!$B$10+S42*(Annahmen!$B$11+Annahmen!$B$13*Annahmen!$B$22)+S43*(Annahmen!$B$12+Annahmen!$B$14*Annahmen!$B$23)+S44*Annahmen!$B$16)*$D$6</f>
        <v>18642.5750946061</v>
      </c>
      <c r="T46" s="37" t="n">
        <f aca="false">(T41*Annahmen!$B$10+T42*(Annahmen!$B$11+Annahmen!$B$13*Annahmen!$B$22)+T43*(Annahmen!$B$12+Annahmen!$B$14*Annahmen!$B$23)+T44*Annahmen!$B$16)*$D$6</f>
        <v>20500.9954877282</v>
      </c>
      <c r="U46" s="37" t="n">
        <f aca="false">(U41*Annahmen!$B$10+U42*(Annahmen!$B$11+Annahmen!$B$13*Annahmen!$B$22)+U43*(Annahmen!$B$12+Annahmen!$B$14*Annahmen!$B$23)+U44*Annahmen!$B$16)*$D$6</f>
        <v>22784.6976575303</v>
      </c>
      <c r="V46" s="37" t="n">
        <f aca="false">(V41*Annahmen!$B$10+V42*(Annahmen!$B$11+Annahmen!$B$13*Annahmen!$B$22)+V43*(Annahmen!$B$12+Annahmen!$B$14*Annahmen!$B$23)+V44*Annahmen!$B$16)*$D$6</f>
        <v>25004.0684431451</v>
      </c>
      <c r="W46" s="37" t="n">
        <f aca="false">(W41*Annahmen!$B$10+W42*(Annahmen!$B$11+Annahmen!$B$13*Annahmen!$B$22)+W43*(Annahmen!$B$12+Annahmen!$B$14*Annahmen!$B$23)+W44*Annahmen!$B$16)*$D$6</f>
        <v>27161.1306620531</v>
      </c>
      <c r="X46" s="37" t="n">
        <f aca="false">(X41*Annahmen!$B$10+X42*(Annahmen!$B$11+Annahmen!$B$13*Annahmen!$B$22)+X43*(Annahmen!$B$12+Annahmen!$B$14*Annahmen!$B$23)+X44*Annahmen!$B$16)*$D$6</f>
        <v>29735.3012104837</v>
      </c>
      <c r="Y46" s="37" t="n">
        <f aca="false">(Y41*Annahmen!$B$10+Y42*(Annahmen!$B$11+Annahmen!$B$13*Annahmen!$B$22)+Y43*(Annahmen!$B$12+Annahmen!$B$14*Annahmen!$B$23)+Y44*Annahmen!$B$16)*$D$6</f>
        <v>32237.2168357373</v>
      </c>
      <c r="Z46" s="37" t="n">
        <f aca="false">(Z41*Annahmen!$B$10+Z42*(Annahmen!$B$11+Annahmen!$B$13*Annahmen!$B$22)+Z43*(Annahmen!$B$12+Annahmen!$B$14*Annahmen!$B$23)+Z44*Annahmen!$B$16)*$D$6</f>
        <v>34669.1418333133</v>
      </c>
      <c r="AA46" s="37" t="n">
        <f aca="false">(AA41*Annahmen!$B$10+AA42*(Annahmen!$B$11+Annahmen!$B$13*Annahmen!$B$22)+AA43*(Annahmen!$B$12+Annahmen!$B$14*Annahmen!$B$23)+AA44*Annahmen!$B$16)*$D$6</f>
        <v>37271.9944551782</v>
      </c>
      <c r="AB46" s="37" t="n">
        <f aca="false">(AB41*Annahmen!$B$10+AB42*(Annahmen!$B$11+Annahmen!$B$13*Annahmen!$B$22)+AB43*(Annahmen!$B$12+Annahmen!$B$14*Annahmen!$B$23)+AB44*Annahmen!$B$16)*$D$6</f>
        <v>39802.2613940106</v>
      </c>
      <c r="AC46" s="37" t="n">
        <f aca="false">(AC41*Annahmen!$B$10+AC42*(Annahmen!$B$11+Annahmen!$B$13*Annahmen!$B$22)+AC43*(Annahmen!$B$12+Annahmen!$B$14*Annahmen!$B$23)+AC44*Annahmen!$B$16)*$D$6</f>
        <v>42262.2031671069</v>
      </c>
      <c r="AD46" s="37" t="n">
        <f aca="false">(AD41*Annahmen!$B$10+AD42*(Annahmen!$B$11+Annahmen!$B$13*Annahmen!$B$22)+AD43*(Annahmen!$B$12+Annahmen!$B$14*Annahmen!$B$23)+AD44*Annahmen!$B$16)*$D$6</f>
        <v>45012.1007956805</v>
      </c>
      <c r="AE46" s="37" t="n">
        <f aca="false">(AE41*Annahmen!$B$10+AE42*(Annahmen!$B$11+Annahmen!$B$13*Annahmen!$B$22)+AE43*(Annahmen!$B$12+Annahmen!$B$14*Annahmen!$B$23)+AE44*Annahmen!$B$16)*$D$6</f>
        <v>47685.6260484327</v>
      </c>
      <c r="AF46" s="37" t="n">
        <f aca="false">(AF41*Annahmen!$B$10+AF42*(Annahmen!$B$11+Annahmen!$B$13*Annahmen!$B$22)+AF43*(Annahmen!$B$12+Annahmen!$B$14*Annahmen!$B$23)+AF44*Annahmen!$B$16)*$D$6</f>
        <v>50285.1480932808</v>
      </c>
      <c r="AG46" s="37" t="n">
        <f aca="false">(AG41*Annahmen!$B$10+AG42*(Annahmen!$B$11+Annahmen!$B$13*Annahmen!$B$22)+AG43*(Annahmen!$B$12+Annahmen!$B$14*Annahmen!$B$23)+AG44*Annahmen!$B$16)*$D$6</f>
        <v>53171.0531484282</v>
      </c>
      <c r="AH46" s="37" t="n">
        <f aca="false">(AH41*Annahmen!$B$10+AH42*(Annahmen!$B$11+Annahmen!$B$13*Annahmen!$B$22)+AH43*(Annahmen!$B$12+Annahmen!$B$14*Annahmen!$B$23)+AH44*Annahmen!$B$16)*$D$6</f>
        <v>55977.1148457829</v>
      </c>
      <c r="AI46" s="37" t="n">
        <f aca="false">(AI41*Annahmen!$B$10+AI42*(Annahmen!$B$11+Annahmen!$B$13*Annahmen!$B$22)+AI43*(Annahmen!$B$12+Annahmen!$B$14*Annahmen!$B$23)+AI44*Annahmen!$B$16)*$D$6</f>
        <v>58705.800998072</v>
      </c>
      <c r="AJ46" s="37" t="n">
        <f aca="false">(AJ41*Annahmen!$B$10+AJ42*(Annahmen!$B$11+Annahmen!$B$13*Annahmen!$B$22)+AJ43*(Annahmen!$B$12+Annahmen!$B$14*Annahmen!$B$23)+AJ44*Annahmen!$B$16)*$D$6</f>
        <v>61836.9593610124</v>
      </c>
      <c r="AK46" s="37" t="n">
        <f aca="false">(AK41*Annahmen!$B$10+AK42*(Annahmen!$B$11+Annahmen!$B$13*Annahmen!$B$22)+AK43*(Annahmen!$B$12+Annahmen!$B$14*Annahmen!$B$23)+AK44*Annahmen!$B$16)*$D$6</f>
        <v>64881.6438957115</v>
      </c>
      <c r="AL46" s="37" t="n">
        <f aca="false">(AL41*Annahmen!$B$10+AL42*(Annahmen!$B$11+Annahmen!$B$13*Annahmen!$B$22)+AL43*(Annahmen!$B$12+Annahmen!$B$14*Annahmen!$B$23)+AL44*Annahmen!$B$16)*$D$6</f>
        <v>67842.5229376516</v>
      </c>
      <c r="AM46" s="37" t="n">
        <f aca="false">(AM41*Annahmen!$B$10+AM42*(Annahmen!$B$11+Annahmen!$B$13*Annahmen!$B$22)+AM43*(Annahmen!$B$12+Annahmen!$B$14*Annahmen!$B$23)+AM44*Annahmen!$B$16)*$D$6</f>
        <v>71319.0040593031</v>
      </c>
      <c r="AN46" s="37" t="n">
        <f aca="false">(AN41*Annahmen!$B$10+AN42*(Annahmen!$B$11+Annahmen!$B$13*Annahmen!$B$22)+AN43*(Annahmen!$B$12+Annahmen!$B$14*Annahmen!$B$23)+AN44*Annahmen!$B$16)*$D$6</f>
        <v>74699.5163678929</v>
      </c>
      <c r="AO46" s="37" t="n">
        <f aca="false">(AO41*Annahmen!$B$10+AO42*(Annahmen!$B$11+Annahmen!$B$13*Annahmen!$B$22)+AO43*(Annahmen!$B$12+Annahmen!$B$14*Annahmen!$B$23)+AO44*Annahmen!$B$16)*$D$6</f>
        <v>77987.0202071999</v>
      </c>
      <c r="AP46" s="37" t="n">
        <f aca="false">(AP41*Annahmen!$B$10+AP42*(Annahmen!$B$11+Annahmen!$B$13*Annahmen!$B$22)+AP43*(Annahmen!$B$12+Annahmen!$B$14*Annahmen!$B$23)+AP44*Annahmen!$B$16)*$D$6</f>
        <v>81184.3752463356</v>
      </c>
      <c r="AQ46" s="37" t="n">
        <f aca="false">(AQ41*Annahmen!$B$10+AQ42*(Annahmen!$B$11+Annahmen!$B$13*Annahmen!$B$22)+AQ43*(Annahmen!$B$12+Annahmen!$B$14*Annahmen!$B$23)+AQ44*Annahmen!$B$16)*$D$6</f>
        <v>84294.3441816021</v>
      </c>
      <c r="AR46" s="37" t="n">
        <f aca="false">(AR41*Annahmen!$B$10+AR42*(Annahmen!$B$11+Annahmen!$B$13*Annahmen!$B$22)+AR43*(Annahmen!$B$12+Annahmen!$B$14*Annahmen!$B$23)+AR44*Annahmen!$B$16)*$D$6</f>
        <v>87319.5962939624</v>
      </c>
      <c r="AS46" s="37" t="n">
        <f aca="false">(AS41*Annahmen!$B$10+AS42*(Annahmen!$B$11+Annahmen!$B$13*Annahmen!$B$22)+AS43*(Annahmen!$B$12+Annahmen!$B$14*Annahmen!$B$23)+AS44*Annahmen!$B$16)*$D$6</f>
        <v>90262.7108680033</v>
      </c>
      <c r="AT46" s="37" t="n">
        <f aca="false">(AT41*Annahmen!$B$10+AT42*(Annahmen!$B$11+Annahmen!$B$13*Annahmen!$B$22)+AT43*(Annahmen!$B$12+Annahmen!$B$14*Annahmen!$B$23)+AT44*Annahmen!$B$16)*$D$6</f>
        <v>93126.1804780212</v>
      </c>
      <c r="AU46" s="37" t="n">
        <f aca="false">(AU41*Annahmen!$B$10+AU42*(Annahmen!$B$11+Annahmen!$B$13*Annahmen!$B$22)+AU43*(Annahmen!$B$12+Annahmen!$B$14*Annahmen!$B$23)+AU44*Annahmen!$B$16)*$D$6</f>
        <v>95912.4141466307</v>
      </c>
      <c r="AV46" s="37" t="n">
        <f aca="false">(AV41*Annahmen!$B$10+AV42*(Annahmen!$B$11+Annahmen!$B$13*Annahmen!$B$22)+AV43*(Annahmen!$B$12+Annahmen!$B$14*Annahmen!$B$23)+AV44*Annahmen!$B$16)*$D$6</f>
        <v>98623.7403810615</v>
      </c>
      <c r="AW46" s="37" t="n">
        <f aca="false">(AW41*Annahmen!$B$10+AW42*(Annahmen!$B$11+Annahmen!$B$13*Annahmen!$B$22)+AW43*(Annahmen!$B$12+Annahmen!$B$14*Annahmen!$B$23)+AW44*Annahmen!$B$16)*$D$6</f>
        <v>101262.410092101</v>
      </c>
      <c r="AX46" s="37" t="n">
        <f aca="false">(AX41*Annahmen!$B$10+AX42*(Annahmen!$B$11+Annahmen!$B$13*Annahmen!$B$22)+AX43*(Annahmen!$B$12+Annahmen!$B$14*Annahmen!$B$23)+AX44*Annahmen!$B$16)*$D$6</f>
        <v>103830.599400429</v>
      </c>
      <c r="AY46" s="37" t="n">
        <f aca="false">(AY41*Annahmen!$B$10+AY42*(Annahmen!$B$11+Annahmen!$B$13*Annahmen!$B$22)+AY43*(Annahmen!$B$12+Annahmen!$B$14*Annahmen!$B$23)+AY44*Annahmen!$B$16)*$D$6</f>
        <v>107524.072334885</v>
      </c>
      <c r="AZ46" s="37" t="n">
        <f aca="false">(AZ41*Annahmen!$B$10+AZ42*(Annahmen!$B$11+Annahmen!$B$13*Annahmen!$B$22)+AZ43*(Annahmen!$B$12+Annahmen!$B$14*Annahmen!$B$23)+AZ44*Annahmen!$B$16)*$D$6</f>
        <v>111116.741347043</v>
      </c>
      <c r="BA46" s="37" t="n">
        <f aca="false">(BA41*Annahmen!$B$10+BA42*(Annahmen!$B$11+Annahmen!$B$13*Annahmen!$B$22)+BA43*(Annahmen!$B$12+Annahmen!$B$14*Annahmen!$B$23)+BA44*Annahmen!$B$16)*$D$6</f>
        <v>114611.682794687</v>
      </c>
      <c r="BB46" s="37" t="n">
        <f aca="false">(BB41*Annahmen!$B$10+BB42*(Annahmen!$B$11+Annahmen!$B$13*Annahmen!$B$22)+BB43*(Annahmen!$B$12+Annahmen!$B$14*Annahmen!$B$23)+BB44*Annahmen!$B$16)*$D$6</f>
        <v>118011.869353526</v>
      </c>
      <c r="BC46" s="37" t="n">
        <f aca="false">(BC41*Annahmen!$B$10+BC42*(Annahmen!$B$11+Annahmen!$B$13*Annahmen!$B$22)+BC43*(Annahmen!$B$12+Annahmen!$B$14*Annahmen!$B$23)+BC44*Annahmen!$B$16)*$D$6</f>
        <v>121320.173802997</v>
      </c>
      <c r="BD46" s="37" t="n">
        <f aca="false">(BD41*Annahmen!$B$10+BD42*(Annahmen!$B$11+Annahmen!$B$13*Annahmen!$B$22)+BD43*(Annahmen!$B$12+Annahmen!$B$14*Annahmen!$B$23)+BD44*Annahmen!$B$16)*$D$6</f>
        <v>124539.37266517</v>
      </c>
      <c r="BE46" s="37" t="n">
        <f aca="false">(BE41*Annahmen!$B$10+BE42*(Annahmen!$B$11+Annahmen!$B$13*Annahmen!$B$22)+BE43*(Annahmen!$B$12+Annahmen!$B$14*Annahmen!$B$23)+BE44*Annahmen!$B$16)*$D$6</f>
        <v>127672.149702724</v>
      </c>
      <c r="BF46" s="37" t="n">
        <f aca="false">(BF41*Annahmen!$B$10+BF42*(Annahmen!$B$11+Annahmen!$B$13*Annahmen!$B$22)+BF43*(Annahmen!$B$12+Annahmen!$B$14*Annahmen!$B$23)+BF44*Annahmen!$B$16)*$D$6</f>
        <v>130721.099281698</v>
      </c>
      <c r="BG46" s="37" t="n">
        <f aca="false">(BG41*Annahmen!$B$10+BG42*(Annahmen!$B$11+Annahmen!$B$13*Annahmen!$B$22)+BG43*(Annahmen!$B$12+Annahmen!$B$14*Annahmen!$B$23)+BG44*Annahmen!$B$16)*$D$6</f>
        <v>133688.729604482</v>
      </c>
      <c r="BH46" s="37" t="n">
        <f aca="false">(BH41*Annahmen!$B$10+BH42*(Annahmen!$B$11+Annahmen!$B$13*Annahmen!$B$22)+BH43*(Annahmen!$B$12+Annahmen!$B$14*Annahmen!$B$23)+BH44*Annahmen!$B$16)*$D$6</f>
        <v>136577.465818302</v>
      </c>
      <c r="BI46" s="37" t="n">
        <f aca="false">(BI41*Annahmen!$B$10+BI42*(Annahmen!$B$11+Annahmen!$B$13*Annahmen!$B$22)+BI43*(Annahmen!$B$12+Annahmen!$B$14*Annahmen!$B$23)+BI44*Annahmen!$B$16)*$D$6</f>
        <v>139389.653004206</v>
      </c>
      <c r="BJ46" s="37" t="n">
        <f aca="false">(BJ41*Annahmen!$B$10+BJ42*(Annahmen!$B$11+Annahmen!$B$13*Annahmen!$B$22)+BJ43*(Annahmen!$B$12+Annahmen!$B$14*Annahmen!$B$23)+BJ44*Annahmen!$B$16)*$D$6</f>
        <v>142127.559051385</v>
      </c>
    </row>
    <row r="47" customFormat="false" ht="15" hidden="false" customHeight="false" outlineLevel="0" collapsed="false">
      <c r="B47" s="5" t="s">
        <v>228</v>
      </c>
      <c r="C47" s="37" t="n">
        <f aca="false">C46*(1-Annahmen!$B$27)+C$21*$E$6*Annahmen!$B$21*Annahmen!$B$24*Annahmen!$B$15*$D$6</f>
        <v>1034.092112</v>
      </c>
      <c r="D47" s="37" t="n">
        <f aca="false">D46*(1-Annahmen!$B$27)+D$21*$E$6*Annahmen!$B$21*Annahmen!$B$24*Annahmen!$B$15*$D$6</f>
        <v>1348.620724709</v>
      </c>
      <c r="E47" s="37" t="n">
        <f aca="false">E46*(1-Annahmen!$B$27)+E$21*$E$6*Annahmen!$B$21*Annahmen!$B$24*Annahmen!$B$15*$D$6</f>
        <v>1654.15179153311</v>
      </c>
      <c r="F47" s="37" t="n">
        <f aca="false">F46*(1-Annahmen!$B$27)+F$21*$E$6*Annahmen!$B$21*Annahmen!$B$24*Annahmen!$B$15*$D$6</f>
        <v>2434.445430296</v>
      </c>
      <c r="G47" s="37" t="n">
        <f aca="false">G46*(1-Annahmen!$B$27)+G$21*$E$6*Annahmen!$B$21*Annahmen!$B$24*Annahmen!$B$15*$D$6</f>
        <v>3053.20382369231</v>
      </c>
      <c r="H47" s="37" t="n">
        <f aca="false">H46*(1-Annahmen!$B$27)+H$21*$E$6*Annahmen!$B$21*Annahmen!$B$24*Annahmen!$B$15*$D$6</f>
        <v>3654.29029862195</v>
      </c>
      <c r="I47" s="37" t="n">
        <f aca="false">I46*(1-Annahmen!$B$27)+I$21*$E$6*Annahmen!$B$21*Annahmen!$B$24*Annahmen!$B$15*$D$6</f>
        <v>4721.7408423142</v>
      </c>
      <c r="J47" s="37" t="n">
        <f aca="false">J46*(1-Annahmen!$B$27)+J$21*$E$6*Annahmen!$B$21*Annahmen!$B$24*Annahmen!$B$15*$D$6</f>
        <v>5619.5238790369</v>
      </c>
      <c r="K47" s="37" t="n">
        <f aca="false">K46*(1-Annahmen!$B$27)+K$21*$E$6*Annahmen!$B$21*Annahmen!$B$24*Annahmen!$B$15*$D$6</f>
        <v>6491.75971075899</v>
      </c>
      <c r="L47" s="37" t="n">
        <f aca="false">L46*(1-Annahmen!$B$27)+L$21*$E$6*Annahmen!$B$21*Annahmen!$B$24*Annahmen!$B$15*$D$6</f>
        <v>7822.73238029092</v>
      </c>
      <c r="M47" s="37" t="n">
        <f aca="false">M46*(1-Annahmen!$B$27)+M$21*$E$6*Annahmen!$B$21*Annahmen!$B$24*Annahmen!$B$15*$D$6</f>
        <v>8976.64978128745</v>
      </c>
      <c r="N47" s="37" t="n">
        <f aca="false">N46*(1-Annahmen!$B$27)+N$21*$E$6*Annahmen!$B$21*Annahmen!$B$24*Annahmen!$B$15*$D$6</f>
        <v>10097.8634190457</v>
      </c>
      <c r="O47" s="37" t="n">
        <f aca="false">O46*(1-Annahmen!$B$27)+O$21*$E$6*Annahmen!$B$21*Annahmen!$B$24*Annahmen!$B$15*$D$6</f>
        <v>11832.0382811632</v>
      </c>
      <c r="P47" s="37" t="n">
        <f aca="false">P46*(1-Annahmen!$B$27)+P$21*$E$6*Annahmen!$B$21*Annahmen!$B$24*Annahmen!$B$15*$D$6</f>
        <v>13331.406245359</v>
      </c>
      <c r="Q47" s="37" t="n">
        <f aca="false">Q46*(1-Annahmen!$B$27)+Q$21*$E$6*Annahmen!$B$21*Annahmen!$B$24*Annahmen!$B$15*$D$6</f>
        <v>14788.3923579871</v>
      </c>
      <c r="R47" s="37" t="n">
        <f aca="false">R46*(1-Annahmen!$B$27)+R$21*$E$6*Annahmen!$B$21*Annahmen!$B$24*Annahmen!$B$15*$D$6</f>
        <v>16848.9643285375</v>
      </c>
      <c r="S47" s="37" t="n">
        <f aca="false">S46*(1-Annahmen!$B$27)+S$21*$E$6*Annahmen!$B$21*Annahmen!$B$24*Annahmen!$B$15*$D$6</f>
        <v>18665.6463398758</v>
      </c>
      <c r="T47" s="37" t="n">
        <f aca="false">T46*(1-Annahmen!$B$27)+T$21*$E$6*Annahmen!$B$21*Annahmen!$B$24*Annahmen!$B$15*$D$6</f>
        <v>20431.1457133418</v>
      </c>
      <c r="U47" s="37" t="n">
        <f aca="false">U46*(1-Annahmen!$B$27)+U$21*$E$6*Annahmen!$B$21*Annahmen!$B$24*Annahmen!$B$15*$D$6</f>
        <v>22791.7027746538</v>
      </c>
      <c r="V47" s="37" t="n">
        <f aca="false">V46*(1-Annahmen!$B$27)+V$21*$E$6*Annahmen!$B$21*Annahmen!$B$24*Annahmen!$B$15*$D$6</f>
        <v>24900.1050209878</v>
      </c>
      <c r="W47" s="37" t="n">
        <f aca="false">W46*(1-Annahmen!$B$27)+W$21*$E$6*Annahmen!$B$21*Annahmen!$B$24*Annahmen!$B$15*$D$6</f>
        <v>26949.3141289504</v>
      </c>
      <c r="X47" s="37" t="n">
        <f aca="false">X46*(1-Annahmen!$B$27)+X$21*$E$6*Annahmen!$B$21*Annahmen!$B$24*Annahmen!$B$15*$D$6</f>
        <v>29585.8161499595</v>
      </c>
      <c r="Y47" s="37" t="n">
        <f aca="false">Y46*(1-Annahmen!$B$27)+Y$21*$E$6*Annahmen!$B$21*Annahmen!$B$24*Annahmen!$B$15*$D$6</f>
        <v>31962.6359939504</v>
      </c>
      <c r="Z47" s="37" t="n">
        <f aca="false">Z46*(1-Annahmen!$B$27)+Z$21*$E$6*Annahmen!$B$21*Annahmen!$B$24*Annahmen!$B$15*$D$6</f>
        <v>34272.9647416476</v>
      </c>
      <c r="AA47" s="37" t="n">
        <f aca="false">AA46*(1-Annahmen!$B$27)+AA$21*$E$6*Annahmen!$B$21*Annahmen!$B$24*Annahmen!$B$15*$D$6</f>
        <v>36841.1947324193</v>
      </c>
      <c r="AB47" s="37" t="n">
        <f aca="false">AB46*(1-Annahmen!$B$27)+AB$21*$E$6*Annahmen!$B$21*Annahmen!$B$24*Annahmen!$B$15*$D$6</f>
        <v>39244.9483243101</v>
      </c>
      <c r="AC47" s="37" t="n">
        <f aca="false">AC46*(1-Annahmen!$B$27)+AC$21*$E$6*Annahmen!$B$21*Annahmen!$B$24*Annahmen!$B$15*$D$6</f>
        <v>41581.8930087516</v>
      </c>
      <c r="AD47" s="37" t="n">
        <f aca="false">AD46*(1-Annahmen!$B$27)+AD$21*$E$6*Annahmen!$B$21*Annahmen!$B$24*Annahmen!$B$15*$D$6</f>
        <v>44337.5757558965</v>
      </c>
      <c r="AE47" s="37" t="n">
        <f aca="false">AE46*(1-Annahmen!$B$27)+AE$21*$E$6*Annahmen!$B$21*Annahmen!$B$24*Annahmen!$B$15*$D$6</f>
        <v>46877.4247460111</v>
      </c>
      <c r="AF47" s="37" t="n">
        <f aca="false">AF46*(1-Annahmen!$B$27)+AF$21*$E$6*Annahmen!$B$21*Annahmen!$B$24*Annahmen!$B$15*$D$6</f>
        <v>49346.9706886168</v>
      </c>
      <c r="AG47" s="37" t="n">
        <f aca="false">AG46*(1-Annahmen!$B$27)+AG$21*$E$6*Annahmen!$B$21*Annahmen!$B$24*Annahmen!$B$15*$D$6</f>
        <v>52231.8604910068</v>
      </c>
      <c r="AH47" s="37" t="n">
        <f aca="false">AH46*(1-Annahmen!$B$27)+AH$21*$E$6*Annahmen!$B$21*Annahmen!$B$24*Annahmen!$B$15*$D$6</f>
        <v>54897.6191034937</v>
      </c>
      <c r="AI47" s="37" t="n">
        <f aca="false">AI46*(1-Annahmen!$B$27)+AI$21*$E$6*Annahmen!$B$21*Annahmen!$B$24*Annahmen!$B$15*$D$6</f>
        <v>57489.8709481684</v>
      </c>
      <c r="AJ47" s="37" t="n">
        <f aca="false">AJ46*(1-Annahmen!$B$27)+AJ$21*$E$6*Annahmen!$B$21*Annahmen!$B$24*Annahmen!$B$15*$D$6</f>
        <v>60655.5113929618</v>
      </c>
      <c r="AK47" s="37" t="n">
        <f aca="false">AK46*(1-Annahmen!$B$27)+AK$21*$E$6*Annahmen!$B$21*Annahmen!$B$24*Annahmen!$B$15*$D$6</f>
        <v>63547.961700926</v>
      </c>
      <c r="AL47" s="37" t="n">
        <f aca="false">AL46*(1-Annahmen!$B$27)+AL$21*$E$6*Annahmen!$B$21*Annahmen!$B$24*Annahmen!$B$15*$D$6</f>
        <v>66360.796790769</v>
      </c>
      <c r="AM47" s="37" t="n">
        <f aca="false">AM46*(1-Annahmen!$B$27)+AM$21*$E$6*Annahmen!$B$21*Annahmen!$B$24*Annahmen!$B$15*$D$6</f>
        <v>69902.2538563379</v>
      </c>
      <c r="AN47" s="37" t="n">
        <f aca="false">AN46*(1-Annahmen!$B$27)+AN$21*$E$6*Annahmen!$B$21*Annahmen!$B$24*Annahmen!$B$15*$D$6</f>
        <v>73113.7405494982</v>
      </c>
      <c r="AO47" s="37" t="n">
        <f aca="false">AO46*(1-Annahmen!$B$27)+AO$21*$E$6*Annahmen!$B$21*Annahmen!$B$24*Annahmen!$B$15*$D$6</f>
        <v>76236.8691968399</v>
      </c>
      <c r="AP47" s="37" t="n">
        <f aca="false">AP46*(1-Annahmen!$B$27)+AP$21*$E$6*Annahmen!$B$21*Annahmen!$B$24*Annahmen!$B$15*$D$6</f>
        <v>79274.3564840188</v>
      </c>
      <c r="AQ47" s="37" t="n">
        <f aca="false">AQ46*(1-Annahmen!$B$27)+AQ$21*$E$6*Annahmen!$B$21*Annahmen!$B$24*Annahmen!$B$15*$D$6</f>
        <v>82228.826972522</v>
      </c>
      <c r="AR47" s="37" t="n">
        <f aca="false">AR46*(1-Annahmen!$B$27)+AR$21*$E$6*Annahmen!$B$21*Annahmen!$B$24*Annahmen!$B$15*$D$6</f>
        <v>85102.8164792643</v>
      </c>
      <c r="AS47" s="37" t="n">
        <f aca="false">AS46*(1-Annahmen!$B$27)+AS$21*$E$6*Annahmen!$B$21*Annahmen!$B$24*Annahmen!$B$15*$D$6</f>
        <v>87898.7753246031</v>
      </c>
      <c r="AT47" s="37" t="n">
        <f aca="false">AT46*(1-Annahmen!$B$27)+AT$21*$E$6*Annahmen!$B$21*Annahmen!$B$24*Annahmen!$B$15*$D$6</f>
        <v>90619.0714541202</v>
      </c>
      <c r="AU47" s="37" t="n">
        <f aca="false">AU46*(1-Annahmen!$B$27)+AU$21*$E$6*Annahmen!$B$21*Annahmen!$B$24*Annahmen!$B$15*$D$6</f>
        <v>93265.9934392991</v>
      </c>
      <c r="AV47" s="37" t="n">
        <f aca="false">AV46*(1-Annahmen!$B$27)+AV$21*$E$6*Annahmen!$B$21*Annahmen!$B$24*Annahmen!$B$15*$D$6</f>
        <v>95841.7533620084</v>
      </c>
      <c r="AW47" s="37" t="n">
        <f aca="false">AW46*(1-Annahmen!$B$27)+AW$21*$E$6*Annahmen!$B$21*Annahmen!$B$24*Annahmen!$B$15*$D$6</f>
        <v>98348.4895874962</v>
      </c>
      <c r="AX47" s="37" t="n">
        <f aca="false">AX46*(1-Annahmen!$B$27)+AX$21*$E$6*Annahmen!$B$21*Annahmen!$B$24*Annahmen!$B$15*$D$6</f>
        <v>100788.269430407</v>
      </c>
      <c r="AY47" s="37" t="n">
        <f aca="false">AY46*(1-Annahmen!$B$27)+AY$21*$E$6*Annahmen!$B$21*Annahmen!$B$24*Annahmen!$B$15*$D$6</f>
        <v>104774.668718141</v>
      </c>
      <c r="AZ47" s="37" t="n">
        <f aca="false">AZ46*(1-Annahmen!$B$27)+AZ$21*$E$6*Annahmen!$B$21*Annahmen!$B$24*Annahmen!$B$15*$D$6</f>
        <v>108187.704279691</v>
      </c>
      <c r="BA47" s="37" t="n">
        <f aca="false">BA46*(1-Annahmen!$B$27)+BA$21*$E$6*Annahmen!$B$21*Annahmen!$B$24*Annahmen!$B$15*$D$6</f>
        <v>111507.898654952</v>
      </c>
      <c r="BB47" s="37" t="n">
        <f aca="false">BB46*(1-Annahmen!$B$27)+BB$21*$E$6*Annahmen!$B$21*Annahmen!$B$24*Annahmen!$B$15*$D$6</f>
        <v>114738.07588585</v>
      </c>
      <c r="BC47" s="37" t="n">
        <f aca="false">BC46*(1-Annahmen!$B$27)+BC$21*$E$6*Annahmen!$B$21*Annahmen!$B$24*Annahmen!$B$15*$D$6</f>
        <v>117880.965112847</v>
      </c>
      <c r="BD47" s="37" t="n">
        <f aca="false">BD46*(1-Annahmen!$B$27)+BD$21*$E$6*Annahmen!$B$21*Annahmen!$B$24*Annahmen!$B$15*$D$6</f>
        <v>120939.204031911</v>
      </c>
      <c r="BE47" s="37" t="n">
        <f aca="false">BE46*(1-Annahmen!$B$27)+BE$21*$E$6*Annahmen!$B$21*Annahmen!$B$24*Annahmen!$B$15*$D$6</f>
        <v>123915.342217588</v>
      </c>
      <c r="BF47" s="37" t="n">
        <f aca="false">BF46*(1-Annahmen!$B$27)+BF$21*$E$6*Annahmen!$B$21*Annahmen!$B$24*Annahmen!$B$15*$D$6</f>
        <v>126811.844317613</v>
      </c>
      <c r="BG47" s="37" t="n">
        <f aca="false">BG46*(1-Annahmen!$B$27)+BG$21*$E$6*Annahmen!$B$21*Annahmen!$B$24*Annahmen!$B$15*$D$6</f>
        <v>129631.093124258</v>
      </c>
      <c r="BH47" s="37" t="n">
        <f aca="false">BH46*(1-Annahmen!$B$27)+BH$21*$E$6*Annahmen!$B$21*Annahmen!$B$24*Annahmen!$B$15*$D$6</f>
        <v>132375.392527386</v>
      </c>
      <c r="BI47" s="37" t="n">
        <f aca="false">BI46*(1-Annahmen!$B$27)+BI$21*$E$6*Annahmen!$B$21*Annahmen!$B$24*Annahmen!$B$15*$D$6</f>
        <v>135046.970353996</v>
      </c>
      <c r="BJ47" s="37" t="n">
        <f aca="false">BJ46*(1-Annahmen!$B$27)+BJ$21*$E$6*Annahmen!$B$21*Annahmen!$B$24*Annahmen!$B$15*$D$6</f>
        <v>137647.981098815</v>
      </c>
    </row>
    <row r="48" customFormat="false" ht="15" hidden="false" customHeight="false" outlineLevel="0" collapsed="false">
      <c r="B48" s="5" t="s">
        <v>239</v>
      </c>
      <c r="C48" s="37" t="n">
        <f aca="false">C41*Annahmen!$B$52+C42*Annahmen!$B$53+C43*Annahmen!$B$54+C47*Annahmen!$B$55+C45*Annahmen!$B$56+C47*INDEX(Annahmen!$B$58:$F$58,1,C$20)*Annahmen!$B$57+C$21*$E$6*Annahmen!$B$21*Annahmen!$B$24*Annahmen!$B$59</f>
        <v>35.631631896</v>
      </c>
      <c r="D48" s="37" t="n">
        <f aca="false">D41*Annahmen!$B$52+D42*Annahmen!$B$53+D43*Annahmen!$B$54+D47*Annahmen!$B$55+D45*Annahmen!$B$56+D47*INDEX(Annahmen!$B$58:$F$58,1,D$20)*Annahmen!$B$57+D$21*$E$6*Annahmen!$B$21*Annahmen!$B$24*Annahmen!$B$59</f>
        <v>43.974973212672</v>
      </c>
      <c r="E48" s="37" t="n">
        <f aca="false">E41*Annahmen!$B$52+E42*Annahmen!$B$53+E43*Annahmen!$B$54+E47*Annahmen!$B$55+E45*Annahmen!$B$56+E47*INDEX(Annahmen!$B$58:$F$58,1,E$20)*Annahmen!$B$57+E$21*$E$6*Annahmen!$B$21*Annahmen!$B$24*Annahmen!$B$59</f>
        <v>52.0706785661699</v>
      </c>
      <c r="F48" s="37" t="n">
        <f aca="false">F41*Annahmen!$B$52+F42*Annahmen!$B$53+F43*Annahmen!$B$54+F47*Annahmen!$B$55+F45*Annahmen!$B$56+F47*INDEX(Annahmen!$B$58:$F$58,1,F$20)*Annahmen!$B$57+F$21*$E$6*Annahmen!$B$21*Annahmen!$B$24*Annahmen!$B$59</f>
        <v>80.9247308748508</v>
      </c>
      <c r="G48" s="37" t="n">
        <f aca="false">G41*Annahmen!$B$52+G42*Annahmen!$B$53+G43*Annahmen!$B$54+G47*Annahmen!$B$55+G45*Annahmen!$B$56+G47*INDEX(Annahmen!$B$58:$F$58,1,G$20)*Annahmen!$B$57+G$21*$E$6*Annahmen!$B$21*Annahmen!$B$24*Annahmen!$B$59</f>
        <v>97.3297703635712</v>
      </c>
      <c r="H48" s="37" t="n">
        <f aca="false">H41*Annahmen!$B$52+H42*Annahmen!$B$53+H43*Annahmen!$B$54+H47*Annahmen!$B$55+H45*Annahmen!$B$56+H47*INDEX(Annahmen!$B$58:$F$58,1,H$20)*Annahmen!$B$57+H$21*$E$6*Annahmen!$B$21*Annahmen!$B$24*Annahmen!$B$59</f>
        <v>113.248709888217</v>
      </c>
      <c r="I48" s="37" t="n">
        <f aca="false">I41*Annahmen!$B$52+I42*Annahmen!$B$53+I43*Annahmen!$B$54+I47*Annahmen!$B$55+I45*Annahmen!$B$56+I47*INDEX(Annahmen!$B$58:$F$58,1,I$20)*Annahmen!$B$57+I$21*$E$6*Annahmen!$B$21*Annahmen!$B$24*Annahmen!$B$59</f>
        <v>149.695403155851</v>
      </c>
      <c r="J48" s="37" t="n">
        <f aca="false">J41*Annahmen!$B$52+J42*Annahmen!$B$53+J43*Annahmen!$B$54+J47*Annahmen!$B$55+J45*Annahmen!$B$56+J47*INDEX(Annahmen!$B$58:$F$58,1,J$20)*Annahmen!$B$57+J$21*$E$6*Annahmen!$B$21*Annahmen!$B$24*Annahmen!$B$59</f>
        <v>173.470077150223</v>
      </c>
      <c r="K48" s="37" t="n">
        <f aca="false">K41*Annahmen!$B$52+K42*Annahmen!$B$53+K43*Annahmen!$B$54+K47*Annahmen!$B$55+K45*Annahmen!$B$56+K47*INDEX(Annahmen!$B$58:$F$58,1,K$20)*Annahmen!$B$57+K$21*$E$6*Annahmen!$B$21*Annahmen!$B$24*Annahmen!$B$59</f>
        <v>196.542958414617</v>
      </c>
      <c r="L48" s="37" t="n">
        <f aca="false">L41*Annahmen!$B$52+L42*Annahmen!$B$53+L43*Annahmen!$B$54+L47*Annahmen!$B$55+L45*Annahmen!$B$56+L47*INDEX(Annahmen!$B$58:$F$58,1,L$20)*Annahmen!$B$57+L$21*$E$6*Annahmen!$B$21*Annahmen!$B$24*Annahmen!$B$59</f>
        <v>239.934951786817</v>
      </c>
      <c r="M48" s="37" t="n">
        <f aca="false">M41*Annahmen!$B$52+M42*Annahmen!$B$53+M43*Annahmen!$B$54+M47*Annahmen!$B$55+M45*Annahmen!$B$56+M47*INDEX(Annahmen!$B$58:$F$58,1,M$20)*Annahmen!$B$57+M$21*$E$6*Annahmen!$B$21*Annahmen!$B$24*Annahmen!$B$59</f>
        <v>270.453082914483</v>
      </c>
      <c r="N48" s="37" t="n">
        <f aca="false">N41*Annahmen!$B$52+N42*Annahmen!$B$53+N43*Annahmen!$B$54+N47*Annahmen!$B$55+N45*Annahmen!$B$56+N47*INDEX(Annahmen!$B$58:$F$58,1,N$20)*Annahmen!$B$57+N$21*$E$6*Annahmen!$B$21*Annahmen!$B$24*Annahmen!$B$59</f>
        <v>300.074134220698</v>
      </c>
      <c r="O48" s="37" t="n">
        <f aca="false">O41*Annahmen!$B$52+O42*Annahmen!$B$53+O43*Annahmen!$B$54+O47*Annahmen!$B$55+O45*Annahmen!$B$56+O47*INDEX(Annahmen!$B$58:$F$58,1,O$20)*Annahmen!$B$57+O$21*$E$6*Annahmen!$B$21*Annahmen!$B$24*Annahmen!$B$59</f>
        <v>652.625551560534</v>
      </c>
      <c r="P48" s="37" t="n">
        <f aca="false">P41*Annahmen!$B$52+P42*Annahmen!$B$53+P43*Annahmen!$B$54+P47*Annahmen!$B$55+P45*Annahmen!$B$56+P47*INDEX(Annahmen!$B$58:$F$58,1,P$20)*Annahmen!$B$57+P$21*$E$6*Annahmen!$B$21*Annahmen!$B$24*Annahmen!$B$59</f>
        <v>729.730989662828</v>
      </c>
      <c r="Q48" s="37" t="n">
        <f aca="false">Q41*Annahmen!$B$52+Q42*Annahmen!$B$53+Q43*Annahmen!$B$54+Q47*Annahmen!$B$55+Q45*Annahmen!$B$56+Q47*INDEX(Annahmen!$B$58:$F$58,1,Q$20)*Annahmen!$B$57+Q$21*$E$6*Annahmen!$B$21*Annahmen!$B$24*Annahmen!$B$59</f>
        <v>804.615423180861</v>
      </c>
      <c r="R48" s="37" t="n">
        <f aca="false">R41*Annahmen!$B$52+R42*Annahmen!$B$53+R43*Annahmen!$B$54+R47*Annahmen!$B$55+R45*Annahmen!$B$56+R47*INDEX(Annahmen!$B$58:$F$58,1,R$20)*Annahmen!$B$57+R$21*$E$6*Annahmen!$B$21*Annahmen!$B$24*Annahmen!$B$59</f>
        <v>921.463116525012</v>
      </c>
      <c r="S48" s="37" t="n">
        <f aca="false">S41*Annahmen!$B$52+S42*Annahmen!$B$53+S43*Annahmen!$B$54+S47*Annahmen!$B$55+S45*Annahmen!$B$56+S47*INDEX(Annahmen!$B$58:$F$58,1,S$20)*Annahmen!$B$57+S$21*$E$6*Annahmen!$B$21*Annahmen!$B$24*Annahmen!$B$59</f>
        <v>1014.83682120773</v>
      </c>
      <c r="T48" s="37" t="n">
        <f aca="false">T41*Annahmen!$B$52+T42*Annahmen!$B$53+T43*Annahmen!$B$54+T47*Annahmen!$B$55+T45*Annahmen!$B$56+T47*INDEX(Annahmen!$B$58:$F$58,1,T$20)*Annahmen!$B$57+T$21*$E$6*Annahmen!$B$21*Annahmen!$B$24*Annahmen!$B$59</f>
        <v>1105.52996662152</v>
      </c>
      <c r="U48" s="37" t="n">
        <f aca="false">U41*Annahmen!$B$52+U42*Annahmen!$B$53+U43*Annahmen!$B$54+U47*Annahmen!$B$55+U45*Annahmen!$B$56+U47*INDEX(Annahmen!$B$58:$F$58,1,U$20)*Annahmen!$B$57+U$21*$E$6*Annahmen!$B$21*Annahmen!$B$24*Annahmen!$B$59</f>
        <v>1237.7413332068</v>
      </c>
      <c r="V48" s="37" t="n">
        <f aca="false">V41*Annahmen!$B$52+V42*Annahmen!$B$53+V43*Annahmen!$B$54+V47*Annahmen!$B$55+V45*Annahmen!$B$56+V47*INDEX(Annahmen!$B$58:$F$58,1,V$20)*Annahmen!$B$57+V$21*$E$6*Annahmen!$B$21*Annahmen!$B$24*Annahmen!$B$59</f>
        <v>1346.04768399402</v>
      </c>
      <c r="W48" s="37" t="n">
        <f aca="false">W41*Annahmen!$B$52+W42*Annahmen!$B$53+W43*Annahmen!$B$54+W47*Annahmen!$B$55+W45*Annahmen!$B$56+W47*INDEX(Annahmen!$B$58:$F$58,1,W$20)*Annahmen!$B$57+W$21*$E$6*Annahmen!$B$21*Annahmen!$B$24*Annahmen!$B$59</f>
        <v>1451.2559742752</v>
      </c>
      <c r="X48" s="37" t="n">
        <f aca="false">X41*Annahmen!$B$52+X42*Annahmen!$B$53+X43*Annahmen!$B$54+X47*Annahmen!$B$55+X45*Annahmen!$B$56+X47*INDEX(Annahmen!$B$58:$F$58,1,X$20)*Annahmen!$B$57+X$21*$E$6*Annahmen!$B$21*Annahmen!$B$24*Annahmen!$B$59</f>
        <v>1597.57804291761</v>
      </c>
      <c r="Y48" s="37" t="n">
        <f aca="false">Y41*Annahmen!$B$52+Y42*Annahmen!$B$53+Y43*Annahmen!$B$54+Y47*Annahmen!$B$55+Y45*Annahmen!$B$56+Y47*INDEX(Annahmen!$B$58:$F$58,1,Y$20)*Annahmen!$B$57+Y$21*$E$6*Annahmen!$B$21*Annahmen!$B$24*Annahmen!$B$59</f>
        <v>1719.60326133491</v>
      </c>
      <c r="Z48" s="37" t="n">
        <f aca="false">Z41*Annahmen!$B$52+Z42*Annahmen!$B$53+Z43*Annahmen!$B$54+Z47*Annahmen!$B$55+Z45*Annahmen!$B$56+Z47*INDEX(Annahmen!$B$58:$F$58,1,Z$20)*Annahmen!$B$57+Z$21*$E$6*Annahmen!$B$21*Annahmen!$B$24*Annahmen!$B$59</f>
        <v>1838.15075990025</v>
      </c>
      <c r="AA48" s="37" t="n">
        <f aca="false">AA41*Annahmen!$B$52+AA42*Annahmen!$B$53+AA43*Annahmen!$B$54+AA47*Annahmen!$B$55+AA45*Annahmen!$B$56+AA47*INDEX(Annahmen!$B$58:$F$58,1,AA$20)*Annahmen!$B$57+AA$21*$E$6*Annahmen!$B$21*Annahmen!$B$24*Annahmen!$B$59</f>
        <v>2896.41759545286</v>
      </c>
      <c r="AB48" s="37" t="n">
        <f aca="false">AB41*Annahmen!$B$52+AB42*Annahmen!$B$53+AB43*Annahmen!$B$54+AB47*Annahmen!$B$55+AB45*Annahmen!$B$56+AB47*INDEX(Annahmen!$B$58:$F$58,1,AB$20)*Annahmen!$B$57+AB$21*$E$6*Annahmen!$B$21*Annahmen!$B$24*Annahmen!$B$59</f>
        <v>3079.79168611642</v>
      </c>
      <c r="AC48" s="37" t="n">
        <f aca="false">AC41*Annahmen!$B$52+AC42*Annahmen!$B$53+AC43*Annahmen!$B$54+AC47*Annahmen!$B$55+AC45*Annahmen!$B$56+AC47*INDEX(Annahmen!$B$58:$F$58,1,AC$20)*Annahmen!$B$57+AC$21*$E$6*Annahmen!$B$21*Annahmen!$B$24*Annahmen!$B$59</f>
        <v>3258.00547273753</v>
      </c>
      <c r="AD48" s="37" t="n">
        <f aca="false">AD41*Annahmen!$B$52+AD42*Annahmen!$B$53+AD43*Annahmen!$B$54+AD47*Annahmen!$B$55+AD45*Annahmen!$B$56+AD47*INDEX(Annahmen!$B$58:$F$58,1,AD$20)*Annahmen!$B$57+AD$21*$E$6*Annahmen!$B$21*Annahmen!$B$24*Annahmen!$B$59</f>
        <v>3476.39271971419</v>
      </c>
      <c r="AE48" s="37" t="n">
        <f aca="false">AE41*Annahmen!$B$52+AE42*Annahmen!$B$53+AE43*Annahmen!$B$54+AE47*Annahmen!$B$55+AE45*Annahmen!$B$56+AE47*INDEX(Annahmen!$B$58:$F$58,1,AE$20)*Annahmen!$B$57+AE$21*$E$6*Annahmen!$B$21*Annahmen!$B$24*Annahmen!$B$59</f>
        <v>3670.06613130491</v>
      </c>
      <c r="AF48" s="37" t="n">
        <f aca="false">AF41*Annahmen!$B$52+AF42*Annahmen!$B$53+AF43*Annahmen!$B$54+AF47*Annahmen!$B$55+AF45*Annahmen!$B$56+AF47*INDEX(Annahmen!$B$58:$F$58,1,AF$20)*Annahmen!$B$57+AF$21*$E$6*Annahmen!$B$21*Annahmen!$B$24*Annahmen!$B$59</f>
        <v>3858.31210029578</v>
      </c>
      <c r="AG48" s="37" t="n">
        <f aca="false">AG41*Annahmen!$B$52+AG42*Annahmen!$B$53+AG43*Annahmen!$B$54+AG47*Annahmen!$B$55+AG45*Annahmen!$B$56+AG47*INDEX(Annahmen!$B$58:$F$58,1,AG$20)*Annahmen!$B$57+AG$21*$E$6*Annahmen!$B$21*Annahmen!$B$24*Annahmen!$B$59</f>
        <v>4086.47212434007</v>
      </c>
      <c r="AH48" s="37" t="n">
        <f aca="false">AH41*Annahmen!$B$52+AH42*Annahmen!$B$53+AH43*Annahmen!$B$54+AH47*Annahmen!$B$55+AH45*Annahmen!$B$56+AH47*INDEX(Annahmen!$B$58:$F$58,1,AH$20)*Annahmen!$B$57+AH$21*$E$6*Annahmen!$B$21*Annahmen!$B$24*Annahmen!$B$59</f>
        <v>4289.66639275941</v>
      </c>
      <c r="AI48" s="37" t="n">
        <f aca="false">AI41*Annahmen!$B$52+AI42*Annahmen!$B$53+AI43*Annahmen!$B$54+AI47*Annahmen!$B$55+AI45*Annahmen!$B$56+AI47*INDEX(Annahmen!$B$58:$F$58,1,AI$20)*Annahmen!$B$57+AI$21*$E$6*Annahmen!$B$21*Annahmen!$B$24*Annahmen!$B$59</f>
        <v>4487.18854390444</v>
      </c>
      <c r="AJ48" s="37" t="n">
        <f aca="false">AJ41*Annahmen!$B$52+AJ42*Annahmen!$B$53+AJ43*Annahmen!$B$54+AJ47*Annahmen!$B$55+AJ45*Annahmen!$B$56+AJ47*INDEX(Annahmen!$B$58:$F$58,1,AJ$20)*Annahmen!$B$57+AJ$21*$E$6*Annahmen!$B$21*Annahmen!$B$24*Annahmen!$B$59</f>
        <v>4739.4442364616</v>
      </c>
      <c r="AK48" s="37" t="n">
        <f aca="false">AK41*Annahmen!$B$52+AK42*Annahmen!$B$53+AK43*Annahmen!$B$54+AK47*Annahmen!$B$55+AK45*Annahmen!$B$56+AK47*INDEX(Annahmen!$B$58:$F$58,1,AK$20)*Annahmen!$B$57+AK$21*$E$6*Annahmen!$B$21*Annahmen!$B$24*Annahmen!$B$59</f>
        <v>4959.87911744745</v>
      </c>
      <c r="AL48" s="37" t="n">
        <f aca="false">AL41*Annahmen!$B$52+AL42*Annahmen!$B$53+AL43*Annahmen!$B$54+AL47*Annahmen!$B$55+AL45*Annahmen!$B$56+AL47*INDEX(Annahmen!$B$58:$F$58,1,AL$20)*Annahmen!$B$57+AL$21*$E$6*Annahmen!$B$21*Annahmen!$B$24*Annahmen!$B$59</f>
        <v>5174.17176697138</v>
      </c>
      <c r="AM48" s="37" t="n">
        <f aca="false">AM41*Annahmen!$B$52+AM42*Annahmen!$B$53+AM43*Annahmen!$B$54+AM47*Annahmen!$B$55+AM45*Annahmen!$B$56+AM47*INDEX(Annahmen!$B$58:$F$58,1,AM$20)*Annahmen!$B$57+AM$21*$E$6*Annahmen!$B$21*Annahmen!$B$24*Annahmen!$B$59</f>
        <v>6331.57752184253</v>
      </c>
      <c r="AN48" s="37" t="n">
        <f aca="false">AN41*Annahmen!$B$52+AN42*Annahmen!$B$53+AN43*Annahmen!$B$54+AN47*Annahmen!$B$55+AN45*Annahmen!$B$56+AN47*INDEX(Annahmen!$B$58:$F$58,1,AN$20)*Annahmen!$B$57+AN$21*$E$6*Annahmen!$B$21*Annahmen!$B$24*Annahmen!$B$59</f>
        <v>6616.46180602894</v>
      </c>
      <c r="AO48" s="37" t="n">
        <f aca="false">AO41*Annahmen!$B$52+AO42*Annahmen!$B$53+AO43*Annahmen!$B$54+AO47*Annahmen!$B$55+AO45*Annahmen!$B$56+AO47*INDEX(Annahmen!$B$58:$F$58,1,AO$20)*Annahmen!$B$57+AO$21*$E$6*Annahmen!$B$21*Annahmen!$B$24*Annahmen!$B$59</f>
        <v>6893.42508548655</v>
      </c>
      <c r="AP48" s="37" t="n">
        <f aca="false">AP41*Annahmen!$B$52+AP42*Annahmen!$B$53+AP43*Annahmen!$B$54+AP47*Annahmen!$B$55+AP45*Annahmen!$B$56+AP47*INDEX(Annahmen!$B$58:$F$58,1,AP$20)*Annahmen!$B$57+AP$21*$E$6*Annahmen!$B$21*Annahmen!$B$24*Annahmen!$B$59</f>
        <v>7162.71369555364</v>
      </c>
      <c r="AQ48" s="37" t="n">
        <f aca="false">AQ41*Annahmen!$B$52+AQ42*Annahmen!$B$53+AQ43*Annahmen!$B$54+AQ47*Annahmen!$B$55+AQ45*Annahmen!$B$56+AQ47*INDEX(Annahmen!$B$58:$F$58,1,AQ$20)*Annahmen!$B$57+AQ$21*$E$6*Annahmen!$B$21*Annahmen!$B$24*Annahmen!$B$59</f>
        <v>7424.56552640666</v>
      </c>
      <c r="AR48" s="37" t="n">
        <f aca="false">AR41*Annahmen!$B$52+AR42*Annahmen!$B$53+AR43*Annahmen!$B$54+AR47*Annahmen!$B$55+AR45*Annahmen!$B$56+AR47*INDEX(Annahmen!$B$58:$F$58,1,AR$20)*Annahmen!$B$57+AR$21*$E$6*Annahmen!$B$21*Annahmen!$B$24*Annahmen!$B$59</f>
        <v>7679.21033583533</v>
      </c>
      <c r="AS48" s="37" t="n">
        <f aca="false">AS41*Annahmen!$B$52+AS42*Annahmen!$B$53+AS43*Annahmen!$B$54+AS47*Annahmen!$B$55+AS45*Annahmen!$B$56+AS47*INDEX(Annahmen!$B$58:$F$58,1,AS$20)*Annahmen!$B$57+AS$21*$E$6*Annahmen!$B$21*Annahmen!$B$24*Annahmen!$B$59</f>
        <v>7926.87004974558</v>
      </c>
      <c r="AT48" s="37" t="n">
        <f aca="false">AT41*Annahmen!$B$52+AT42*Annahmen!$B$53+AT43*Annahmen!$B$54+AT47*Annahmen!$B$55+AT45*Annahmen!$B$56+AT47*INDEX(Annahmen!$B$58:$F$58,1,AT$20)*Annahmen!$B$57+AT$21*$E$6*Annahmen!$B$21*Annahmen!$B$24*Annahmen!$B$59</f>
        <v>8167.75905089244</v>
      </c>
      <c r="AU48" s="37" t="n">
        <f aca="false">AU41*Annahmen!$B$52+AU42*Annahmen!$B$53+AU43*Annahmen!$B$54+AU47*Annahmen!$B$55+AU45*Annahmen!$B$56+AU47*INDEX(Annahmen!$B$58:$F$58,1,AU$20)*Annahmen!$B$57+AU$21*$E$6*Annahmen!$B$21*Annahmen!$B$24*Annahmen!$B$59</f>
        <v>8402.08445632375</v>
      </c>
      <c r="AV48" s="37" t="n">
        <f aca="false">AV41*Annahmen!$B$52+AV42*Annahmen!$B$53+AV43*Annahmen!$B$54+AV47*Annahmen!$B$55+AV45*Annahmen!$B$56+AV47*INDEX(Annahmen!$B$58:$F$58,1,AV$20)*Annahmen!$B$57+AV$21*$E$6*Annahmen!$B$21*Annahmen!$B$24*Annahmen!$B$59</f>
        <v>8630.04638399533</v>
      </c>
      <c r="AW48" s="37" t="n">
        <f aca="false">AW41*Annahmen!$B$52+AW42*Annahmen!$B$53+AW43*Annahmen!$B$54+AW47*Annahmen!$B$55+AW45*Annahmen!$B$56+AW47*INDEX(Annahmen!$B$58:$F$58,1,AW$20)*Annahmen!$B$57+AW$21*$E$6*Annahmen!$B$21*Annahmen!$B$24*Annahmen!$B$59</f>
        <v>8851.83820899879</v>
      </c>
      <c r="AX48" s="37" t="n">
        <f aca="false">AX41*Annahmen!$B$52+AX42*Annahmen!$B$53+AX43*Annahmen!$B$54+AX47*Annahmen!$B$55+AX45*Annahmen!$B$56+AX47*INDEX(Annahmen!$B$58:$F$58,1,AX$20)*Annahmen!$B$57+AX$21*$E$6*Annahmen!$B$21*Annahmen!$B$24*Annahmen!$B$59</f>
        <v>9067.64680982484</v>
      </c>
      <c r="AY48" s="37" t="n">
        <f aca="false">AY41*Annahmen!$B$52+AY42*Annahmen!$B$53+AY43*Annahmen!$B$54+AY47*Annahmen!$B$55+AY45*Annahmen!$B$56+AY47*INDEX(Annahmen!$B$58:$F$58,1,AY$20)*Annahmen!$B$57+AY$21*$E$6*Annahmen!$B$21*Annahmen!$B$24*Annahmen!$B$59</f>
        <v>10758.0523425437</v>
      </c>
      <c r="AZ48" s="37" t="n">
        <f aca="false">AZ41*Annahmen!$B$52+AZ42*Annahmen!$B$53+AZ43*Annahmen!$B$54+AZ47*Annahmen!$B$55+AZ45*Annahmen!$B$56+AZ47*INDEX(Annahmen!$B$58:$F$58,1,AZ$20)*Annahmen!$B$57+AZ$21*$E$6*Annahmen!$B$21*Annahmen!$B$24*Annahmen!$B$59</f>
        <v>11103.1883336413</v>
      </c>
      <c r="BA48" s="37" t="n">
        <f aca="false">BA41*Annahmen!$B$52+BA42*Annahmen!$B$53+BA43*Annahmen!$B$54+BA47*Annahmen!$B$55+BA45*Annahmen!$B$56+BA47*INDEX(Annahmen!$B$58:$F$58,1,BA$20)*Annahmen!$B$57+BA$21*$E$6*Annahmen!$B$21*Annahmen!$B$24*Annahmen!$B$59</f>
        <v>11438.8502799562</v>
      </c>
      <c r="BB48" s="37" t="n">
        <f aca="false">BB41*Annahmen!$B$52+BB42*Annahmen!$B$53+BB43*Annahmen!$B$54+BB47*Annahmen!$B$55+BB45*Annahmen!$B$56+BB47*INDEX(Annahmen!$B$58:$F$58,1,BB$20)*Annahmen!$B$57+BB$21*$E$6*Annahmen!$B$21*Annahmen!$B$24*Annahmen!$B$59</f>
        <v>11765.3292560169</v>
      </c>
      <c r="BC48" s="37" t="n">
        <f aca="false">BC41*Annahmen!$B$52+BC42*Annahmen!$B$53+BC43*Annahmen!$B$54+BC47*Annahmen!$B$55+BC45*Annahmen!$B$56+BC47*INDEX(Annahmen!$B$58:$F$58,1,BC$20)*Annahmen!$B$57+BC$21*$E$6*Annahmen!$B$21*Annahmen!$B$24*Annahmen!$B$59</f>
        <v>12082.9064595367</v>
      </c>
      <c r="BD48" s="37" t="n">
        <f aca="false">BD41*Annahmen!$B$52+BD42*Annahmen!$B$53+BD43*Annahmen!$B$54+BD47*Annahmen!$B$55+BD45*Annahmen!$B$56+BD47*INDEX(Annahmen!$B$58:$F$58,1,BD$20)*Annahmen!$B$57+BD$21*$E$6*Annahmen!$B$21*Annahmen!$B$24*Annahmen!$B$59</f>
        <v>12391.8535742762</v>
      </c>
      <c r="BE48" s="37" t="n">
        <f aca="false">BE41*Annahmen!$B$52+BE42*Annahmen!$B$53+BE43*Annahmen!$B$54+BE47*Annahmen!$B$55+BE45*Annahmen!$B$56+BE47*INDEX(Annahmen!$B$58:$F$58,1,BE$20)*Annahmen!$B$57+BE$21*$E$6*Annahmen!$B$21*Annahmen!$B$24*Annahmen!$B$59</f>
        <v>12692.4331187529</v>
      </c>
      <c r="BF48" s="37" t="n">
        <f aca="false">BF41*Annahmen!$B$52+BF42*Annahmen!$B$53+BF43*Annahmen!$B$54+BF47*Annahmen!$B$55+BF45*Annahmen!$B$56+BF47*INDEX(Annahmen!$B$58:$F$58,1,BF$20)*Annahmen!$B$57+BF$21*$E$6*Annahmen!$B$21*Annahmen!$B$24*Annahmen!$B$59</f>
        <v>12984.898781376</v>
      </c>
      <c r="BG48" s="37" t="n">
        <f aca="false">BG41*Annahmen!$B$52+BG42*Annahmen!$B$53+BG43*Annahmen!$B$54+BG47*Annahmen!$B$55+BG45*Annahmen!$B$56+BG47*INDEX(Annahmen!$B$58:$F$58,1,BG$20)*Annahmen!$B$57+BG$21*$E$6*Annahmen!$B$21*Annahmen!$B$24*Annahmen!$B$59</f>
        <v>13269.4957425571</v>
      </c>
      <c r="BH48" s="37" t="n">
        <f aca="false">BH41*Annahmen!$B$52+BH42*Annahmen!$B$53+BH43*Annahmen!$B$54+BH47*Annahmen!$B$55+BH45*Annahmen!$B$56+BH47*INDEX(Annahmen!$B$58:$F$58,1,BH$20)*Annahmen!$B$57+BH$21*$E$6*Annahmen!$B$21*Annahmen!$B$24*Annahmen!$B$59</f>
        <v>13546.4609843281</v>
      </c>
      <c r="BI48" s="37" t="n">
        <f aca="false">BI41*Annahmen!$B$52+BI42*Annahmen!$B$53+BI43*Annahmen!$B$54+BI47*Annahmen!$B$55+BI45*Annahmen!$B$56+BI47*INDEX(Annahmen!$B$58:$F$58,1,BI$20)*Annahmen!$B$57+BI$21*$E$6*Annahmen!$B$21*Annahmen!$B$24*Annahmen!$B$59</f>
        <v>13816.0235879697</v>
      </c>
      <c r="BJ48" s="37" t="n">
        <f aca="false">BJ41*Annahmen!$B$52+BJ42*Annahmen!$B$53+BJ43*Annahmen!$B$54+BJ47*Annahmen!$B$55+BJ45*Annahmen!$B$56+BJ47*INDEX(Annahmen!$B$58:$F$58,1,BJ$20)*Annahmen!$B$57+BJ$21*$E$6*Annahmen!$B$21*Annahmen!$B$24*Annahmen!$B$59</f>
        <v>14078.4050201402</v>
      </c>
    </row>
    <row r="49" customFormat="false" ht="15" hidden="false" customHeight="false" outlineLevel="0" collapsed="false">
      <c r="B49" s="5" t="s">
        <v>267</v>
      </c>
      <c r="C49" s="37" t="n">
        <f aca="false">C47-C48-C$22</f>
        <v>-15961.539519896</v>
      </c>
      <c r="D49" s="37" t="n">
        <f aca="false">D47-D48-D$22</f>
        <v>-5855.35424850367</v>
      </c>
      <c r="E49" s="37" t="n">
        <f aca="false">E47-E48-E$22</f>
        <v>-6357.91888703306</v>
      </c>
      <c r="F49" s="37" t="n">
        <f aca="false">F47-F48-F$22</f>
        <v>-13806.4793005789</v>
      </c>
      <c r="G49" s="37" t="n">
        <f aca="false">G47-G48-G$22</f>
        <v>-4204.12594667126</v>
      </c>
      <c r="H49" s="37" t="n">
        <f aca="false">H47-H48-H$22</f>
        <v>-3618.95841126626</v>
      </c>
      <c r="I49" s="37" t="n">
        <f aca="false">I47-I48-I$22</f>
        <v>-9025.95456084165</v>
      </c>
      <c r="J49" s="37" t="n">
        <f aca="false">J47-J48-J$22</f>
        <v>-6351.94619811333</v>
      </c>
      <c r="K49" s="37" t="n">
        <f aca="false">K47-K48-K$22</f>
        <v>-5502.78324765563</v>
      </c>
      <c r="L49" s="37" t="n">
        <f aca="false">L47-L48-L$22</f>
        <v>-14847.2025714959</v>
      </c>
      <c r="M49" s="37" t="n">
        <f aca="false">M47-M48-M$22</f>
        <v>-9423.80330162703</v>
      </c>
      <c r="N49" s="37" t="n">
        <f aca="false">N47-N48-N$22</f>
        <v>-8332.21071517502</v>
      </c>
      <c r="O49" s="37" t="n">
        <f aca="false">O47-O48-O$22</f>
        <v>-22215.8272703973</v>
      </c>
      <c r="P49" s="37" t="n">
        <f aca="false">P47-P48-P$22</f>
        <v>-17193.5647443038</v>
      </c>
      <c r="Q49" s="37" t="n">
        <f aca="false">Q47-Q48-Q$22</f>
        <v>-22811.4630651938</v>
      </c>
      <c r="R49" s="37" t="n">
        <f aca="false">R47-R48-R$22</f>
        <v>-13867.7387879875</v>
      </c>
      <c r="S49" s="37" t="n">
        <f aca="false">S47-S48-S$22</f>
        <v>-12144.430481332</v>
      </c>
      <c r="T49" s="37" t="n">
        <f aca="false">T47-T48-T$22</f>
        <v>-10469.6242532798</v>
      </c>
      <c r="U49" s="37" t="n">
        <f aca="false">U47-U48-U$22</f>
        <v>-8241.27855855298</v>
      </c>
      <c r="V49" s="37" t="n">
        <f aca="false">V47-V48-V$22</f>
        <v>-6241.18266300618</v>
      </c>
      <c r="W49" s="37" t="n">
        <f aca="false">W47-W48-W$22</f>
        <v>-18297.1818453248</v>
      </c>
      <c r="X49" s="37" t="n">
        <f aca="false">X47-X48-X$22</f>
        <v>-13127.7618929581</v>
      </c>
      <c r="Y49" s="37" t="n">
        <f aca="false">Y47-Y48-Y$22</f>
        <v>-6072.96726738451</v>
      </c>
      <c r="Z49" s="37" t="n">
        <f aca="false">Z47-Z48-Z$22</f>
        <v>-3881.18601825262</v>
      </c>
      <c r="AA49" s="37" t="n">
        <f aca="false">AA47-AA48-AA$22</f>
        <v>-8689.00286303354</v>
      </c>
      <c r="AB49" s="37" t="n">
        <f aca="false">AB47-AB48-AB$22</f>
        <v>-6468.62336180633</v>
      </c>
      <c r="AC49" s="37" t="n">
        <f aca="false">AC47-AC48-AC$22</f>
        <v>-4309.89246398593</v>
      </c>
      <c r="AD49" s="37" t="n">
        <f aca="false">AD47-AD48-AD$22</f>
        <v>-23490.6151638177</v>
      </c>
      <c r="AE49" s="37" t="n">
        <f aca="false">AE47-AE48-AE$22</f>
        <v>-4344.43958529383</v>
      </c>
      <c r="AF49" s="37" t="n">
        <f aca="false">AF47-AF48-AF$22</f>
        <v>-2063.13961167898</v>
      </c>
      <c r="AG49" s="37" t="n">
        <f aca="false">AG47-AG48-AG$22</f>
        <v>-6381.1658333333</v>
      </c>
      <c r="AH49" s="37" t="n">
        <f aca="false">AH47-AH48-AH$22</f>
        <v>-2118.60148926569</v>
      </c>
      <c r="AI49" s="37" t="n">
        <f aca="false">AI47-AI48-AI$22</f>
        <v>276.128204264009</v>
      </c>
      <c r="AJ49" s="37" t="n">
        <f aca="false">AJ47-AJ48-AJ$22</f>
        <v>-810.487043499794</v>
      </c>
      <c r="AK49" s="37" t="n">
        <f aca="false">AK47-AK48-AK$22</f>
        <v>5861.52838347851</v>
      </c>
      <c r="AL49" s="37" t="n">
        <f aca="false">AL47-AL48-AL$22</f>
        <v>8460.07082379762</v>
      </c>
      <c r="AM49" s="37" t="n">
        <f aca="false">AM47-AM48-AM$22</f>
        <v>-11379.5913235046</v>
      </c>
      <c r="AN49" s="37" t="n">
        <f aca="false">AN47-AN48-AN$22</f>
        <v>-4852.98891453071</v>
      </c>
      <c r="AO49" s="37" t="n">
        <f aca="false">AO47-AO48-AO$22</f>
        <v>-12006.8235466466</v>
      </c>
      <c r="AP49" s="37" t="n">
        <f aca="false">AP47-AP48-AP$22</f>
        <v>761.375130465181</v>
      </c>
      <c r="AQ49" s="37" t="n">
        <f aca="false">AQ47-AQ48-AQ$22</f>
        <v>3453.99378811532</v>
      </c>
      <c r="AR49" s="37" t="n">
        <f aca="false">AR47-AR48-AR$22</f>
        <v>6073.33848542899</v>
      </c>
      <c r="AS49" s="37" t="n">
        <f aca="false">AS47-AS48-AS$22</f>
        <v>1757.27887085751</v>
      </c>
      <c r="AT49" s="37" t="n">
        <f aca="false">AT47-AT48-AT$22</f>
        <v>6036.68599922773</v>
      </c>
      <c r="AU49" s="37" t="n">
        <f aca="false">AU47-AU48-AU$22</f>
        <v>-9550.7174210246</v>
      </c>
      <c r="AV49" s="37" t="n">
        <f aca="false">AV47-AV48-AV$22</f>
        <v>10797.0805740131</v>
      </c>
      <c r="AW49" s="37" t="n">
        <f aca="false">AW47-AW48-AW$22</f>
        <v>13082.0249744974</v>
      </c>
      <c r="AX49" s="37" t="n">
        <f aca="false">AX47-AX48-AX$22</f>
        <v>15305.9962165825</v>
      </c>
      <c r="AY49" s="37" t="n">
        <f aca="false">AY47-AY48-AY$22</f>
        <v>-1647.68157324275</v>
      </c>
      <c r="AZ49" s="37" t="n">
        <f aca="false">AZ47-AZ48-AZ$22</f>
        <v>5020.21799720931</v>
      </c>
      <c r="BA49" s="37" t="n">
        <f aca="false">BA47-BA48-BA$22</f>
        <v>8004.75042615616</v>
      </c>
      <c r="BB49" s="37" t="n">
        <f aca="false">BB47-BB48-BB$22</f>
        <v>-7091.55131900676</v>
      </c>
      <c r="BC49" s="37" t="n">
        <f aca="false">BC47-BC48-BC$22</f>
        <v>13733.7607044707</v>
      </c>
      <c r="BD49" s="37" t="n">
        <f aca="false">BD47-BD48-BD$22</f>
        <v>16483.0525087951</v>
      </c>
      <c r="BE49" s="37" t="n">
        <f aca="false">BE47-BE48-BE$22</f>
        <v>19158.6111499947</v>
      </c>
      <c r="BF49" s="37" t="n">
        <f aca="false">BF47-BF48-BF$22</f>
        <v>21762.6475873968</v>
      </c>
      <c r="BG49" s="37" t="n">
        <f aca="false">BG47-BG48-BG$22</f>
        <v>24297.2994328607</v>
      </c>
      <c r="BH49" s="37" t="n">
        <f aca="false">BH47-BH48-BH$22</f>
        <v>21764.6335942184</v>
      </c>
      <c r="BI49" s="37" t="n">
        <f aca="false">BI47-BI48-BI$22</f>
        <v>29166.6488171859</v>
      </c>
      <c r="BJ49" s="37" t="n">
        <f aca="false">BJ47-BJ48-BJ$22</f>
        <v>31505.2781298351</v>
      </c>
    </row>
    <row r="50" customFormat="false" ht="15" hidden="false" customHeight="false" outlineLevel="0" collapsed="false">
      <c r="B50" s="5" t="s">
        <v>401</v>
      </c>
      <c r="C50" s="37" t="n">
        <f aca="false">0+C49-C$23-C$24</f>
        <v>-16378.2061865627</v>
      </c>
      <c r="D50" s="37" t="n">
        <f aca="false">C50+D49-D$23-D$24</f>
        <v>-22650.227101733</v>
      </c>
      <c r="E50" s="37" t="n">
        <f aca="false">D50+E49-E$23-E$24</f>
        <v>-29424.8126554327</v>
      </c>
      <c r="F50" s="37" t="n">
        <f aca="false">E50+F49-F$23-F$24</f>
        <v>-43647.9586226783</v>
      </c>
      <c r="G50" s="37" t="n">
        <f aca="false">F50+G49-G$23-G$24</f>
        <v>-48268.7512360162</v>
      </c>
      <c r="H50" s="37" t="n">
        <f aca="false">G50+H49-H$23-H$24</f>
        <v>-52304.3763139491</v>
      </c>
      <c r="I50" s="37" t="n">
        <f aca="false">H50+I49-I$23-I$24</f>
        <v>-61746.9975414574</v>
      </c>
      <c r="J50" s="37" t="n">
        <f aca="false">I50+J49-J$23-J$24</f>
        <v>-68515.6104062374</v>
      </c>
      <c r="K50" s="37" t="n">
        <f aca="false">J50+K49-K$23-K$24</f>
        <v>-74435.0603205597</v>
      </c>
      <c r="L50" s="37" t="n">
        <f aca="false">K50+L49-L$23-L$24</f>
        <v>-89698.9295587223</v>
      </c>
      <c r="M50" s="37" t="n">
        <f aca="false">L50+M49-M$23-M$24</f>
        <v>-99539.399527016</v>
      </c>
      <c r="N50" s="37" t="n">
        <f aca="false">M50+N49-N$23-N$24</f>
        <v>-108288.276908858</v>
      </c>
      <c r="O50" s="37" t="n">
        <f aca="false">N50+O49-O$23-O$24</f>
        <v>-130920.770845922</v>
      </c>
      <c r="P50" s="37" t="n">
        <f aca="false">O50+P49-P$23-P$24</f>
        <v>-148531.002256892</v>
      </c>
      <c r="Q50" s="37" t="n">
        <f aca="false">P50+Q49-Q$23-Q$24</f>
        <v>-171759.131988753</v>
      </c>
      <c r="R50" s="37" t="n">
        <f aca="false">Q50+R49-R$23-R$24</f>
        <v>-186043.537443407</v>
      </c>
      <c r="S50" s="37" t="n">
        <f aca="false">R50+S49-S$23-S$24</f>
        <v>-198604.634591405</v>
      </c>
      <c r="T50" s="37" t="n">
        <f aca="false">S50+T49-T$23-T$24</f>
        <v>-209490.925511352</v>
      </c>
      <c r="U50" s="37" t="n">
        <f aca="false">T50+U49-U$23-U$24</f>
        <v>-218148.870736571</v>
      </c>
      <c r="V50" s="37" t="n">
        <f aca="false">U50+V49-V$23-V$24</f>
        <v>-224806.720066244</v>
      </c>
      <c r="W50" s="37" t="n">
        <f aca="false">V50+W49-W$23-W$24</f>
        <v>-243520.568578236</v>
      </c>
      <c r="X50" s="37" t="n">
        <f aca="false">W50+X49-X$23-X$24</f>
        <v>-257064.99713786</v>
      </c>
      <c r="Y50" s="37" t="n">
        <f aca="false">X50+Y49-Y$23-Y$24</f>
        <v>-263554.631071912</v>
      </c>
      <c r="Z50" s="37" t="n">
        <f aca="false">Y50+Z49-Z$23-Z$24</f>
        <v>-267852.483756831</v>
      </c>
      <c r="AA50" s="37" t="n">
        <f aca="false">Z50+AA49-AA$23-AA$24</f>
        <v>-278260.236619865</v>
      </c>
      <c r="AB50" s="37" t="n">
        <f aca="false">AA50+AB49-AB$23-AB$24</f>
        <v>-286443.269703893</v>
      </c>
      <c r="AC50" s="37" t="n">
        <f aca="false">AB50+AC49-AC$23-AC$24</f>
        <v>-292463.231612323</v>
      </c>
      <c r="AD50" s="37" t="n">
        <f aca="false">AC50+AD49-AD$23-AD$24</f>
        <v>-317659.575942808</v>
      </c>
      <c r="AE50" s="37" t="n">
        <f aca="false">AD50+AE49-AE$23-AE$24</f>
        <v>-323705.40441699</v>
      </c>
      <c r="AF50" s="37" t="n">
        <f aca="false">AE50+AF49-AF$23-AF$24</f>
        <v>-327465.59263978</v>
      </c>
      <c r="AG50" s="37" t="n">
        <f aca="false">AF50+AG49-AG$23-AG$24</f>
        <v>-335539.466806447</v>
      </c>
      <c r="AH50" s="37" t="n">
        <f aca="false">AG50+AH49-AH$23-AH$24</f>
        <v>-339346.436351268</v>
      </c>
      <c r="AI50" s="37" t="n">
        <f aca="false">AH50+AI49-AI$23-AI$24</f>
        <v>-340754.335924782</v>
      </c>
      <c r="AJ50" s="37" t="n">
        <f aca="false">AI50+AJ49-AJ$23-AJ$24</f>
        <v>-343244.510468282</v>
      </c>
      <c r="AK50" s="37" t="n">
        <f aca="false">AJ50+AK49-AK$23-AK$24</f>
        <v>-339058.329307025</v>
      </c>
      <c r="AL50" s="37" t="n">
        <f aca="false">AK50+AL49-AL$23-AL$24</f>
        <v>-332269.265427672</v>
      </c>
      <c r="AM50" s="37" t="n">
        <f aca="false">AL50+AM49-AM$23-AM$24</f>
        <v>-345315.523417844</v>
      </c>
      <c r="AN50" s="37" t="n">
        <f aca="false">AM50+AN49-AN$23-AN$24</f>
        <v>-351830.838721263</v>
      </c>
      <c r="AO50" s="37" t="n">
        <f aca="false">AN50+AO49-AO$23-AO$24</f>
        <v>-365495.648379021</v>
      </c>
      <c r="AP50" s="37" t="n">
        <f aca="false">AO50+AP49-AP$23-AP$24</f>
        <v>-366387.919081889</v>
      </c>
      <c r="AQ50" s="37" t="n">
        <f aca="false">AP50+AQ49-AQ$23-AQ$24</f>
        <v>-364583.230849329</v>
      </c>
      <c r="AR50" s="37" t="n">
        <f aca="false">AQ50+AR49-AR$23-AR$24</f>
        <v>-360154.857641678</v>
      </c>
      <c r="AS50" s="37" t="n">
        <f aca="false">AR50+AS49-AS$23-AS$24</f>
        <v>-360038.20377082</v>
      </c>
      <c r="AT50" s="37" t="n">
        <f aca="false">AS50+AT49-AT$23-AT$24</f>
        <v>-355637.802493815</v>
      </c>
      <c r="AU50" s="37" t="n">
        <f aca="false">AT50+AU49-AU$23-AU$24</f>
        <v>-366820.464359284</v>
      </c>
      <c r="AV50" s="37" t="n">
        <f aca="false">AU50+AV49-AV$23-AV$24</f>
        <v>-357650.987951937</v>
      </c>
      <c r="AW50" s="37" t="n">
        <f aca="false">AV50+AW49-AW$23-AW$24</f>
        <v>-346192.226866329</v>
      </c>
      <c r="AX50" s="37" t="n">
        <f aca="false">AW50+AX49-AX$23-AX$24</f>
        <v>-332505.154260857</v>
      </c>
      <c r="AY50" s="37" t="n">
        <f aca="false">AX50+AY49-AY$23-AY$24</f>
        <v>-335767.419167433</v>
      </c>
      <c r="AZ50" s="37" t="n">
        <f aca="false">AY50+AZ49-AZ$23-AZ$24</f>
        <v>-332357.44422578</v>
      </c>
      <c r="BA50" s="37" t="n">
        <f aca="false">AZ50+BA49-BA$23-BA$24</f>
        <v>-325958.596577401</v>
      </c>
      <c r="BB50" s="37" t="n">
        <f aca="false">BA50+BB49-BB$23-BB$24</f>
        <v>-334651.710396408</v>
      </c>
      <c r="BC50" s="37" t="n">
        <f aca="false">BB50+BC49-BC$23-BC$24</f>
        <v>-322515.17191416</v>
      </c>
      <c r="BD50" s="37" t="n">
        <f aca="false">BC50+BD49-BD$23-BD$24</f>
        <v>-307625.001349809</v>
      </c>
      <c r="BE50" s="37" t="n">
        <f aca="false">BD50+BE49-BE$23-BE$24</f>
        <v>-290054.931866481</v>
      </c>
      <c r="BF50" s="37" t="n">
        <f aca="false">BE50+BF49-BF$23-BF$24</f>
        <v>-269876.485667973</v>
      </c>
      <c r="BG50" s="37" t="n">
        <f aca="false">BF50+BG49-BG$23-BG$24</f>
        <v>-247159.047346223</v>
      </c>
      <c r="BH50" s="37" t="n">
        <f aca="false">BG50+BH49-BH$23-BH$24</f>
        <v>-226969.934585338</v>
      </c>
      <c r="BI50" s="37" t="n">
        <f aca="false">BH50+BI49-BI$23-BI$24</f>
        <v>-199374.466323708</v>
      </c>
      <c r="BJ50" s="37" t="n">
        <f aca="false">BI50+BJ49-BJ$23-BJ$24</f>
        <v>-169436.028471651</v>
      </c>
    </row>
    <row r="51" customFormat="false" ht="15" hidden="false" customHeight="false" outlineLevel="0" collapsed="false">
      <c r="B51" s="5" t="s">
        <v>402</v>
      </c>
      <c r="C51" s="38" t="n">
        <f aca="false">IF(C49&gt;=0,C$19,999)</f>
        <v>999</v>
      </c>
      <c r="D51" s="38" t="n">
        <f aca="false">IF(D49&gt;=0,D$19,999)</f>
        <v>999</v>
      </c>
      <c r="E51" s="38" t="n">
        <f aca="false">IF(E49&gt;=0,E$19,999)</f>
        <v>999</v>
      </c>
      <c r="F51" s="38" t="n">
        <f aca="false">IF(F49&gt;=0,F$19,999)</f>
        <v>999</v>
      </c>
      <c r="G51" s="38" t="n">
        <f aca="false">IF(G49&gt;=0,G$19,999)</f>
        <v>999</v>
      </c>
      <c r="H51" s="38" t="n">
        <f aca="false">IF(H49&gt;=0,H$19,999)</f>
        <v>999</v>
      </c>
      <c r="I51" s="38" t="n">
        <f aca="false">IF(I49&gt;=0,I$19,999)</f>
        <v>999</v>
      </c>
      <c r="J51" s="38" t="n">
        <f aca="false">IF(J49&gt;=0,J$19,999)</f>
        <v>999</v>
      </c>
      <c r="K51" s="38" t="n">
        <f aca="false">IF(K49&gt;=0,K$19,999)</f>
        <v>999</v>
      </c>
      <c r="L51" s="38" t="n">
        <f aca="false">IF(L49&gt;=0,L$19,999)</f>
        <v>999</v>
      </c>
      <c r="M51" s="38" t="n">
        <f aca="false">IF(M49&gt;=0,M$19,999)</f>
        <v>999</v>
      </c>
      <c r="N51" s="38" t="n">
        <f aca="false">IF(N49&gt;=0,N$19,999)</f>
        <v>999</v>
      </c>
      <c r="O51" s="38" t="n">
        <f aca="false">IF(O49&gt;=0,O$19,999)</f>
        <v>999</v>
      </c>
      <c r="P51" s="38" t="n">
        <f aca="false">IF(P49&gt;=0,P$19,999)</f>
        <v>999</v>
      </c>
      <c r="Q51" s="38" t="n">
        <f aca="false">IF(Q49&gt;=0,Q$19,999)</f>
        <v>999</v>
      </c>
      <c r="R51" s="38" t="n">
        <f aca="false">IF(R49&gt;=0,R$19,999)</f>
        <v>999</v>
      </c>
      <c r="S51" s="38" t="n">
        <f aca="false">IF(S49&gt;=0,S$19,999)</f>
        <v>999</v>
      </c>
      <c r="T51" s="38" t="n">
        <f aca="false">IF(T49&gt;=0,T$19,999)</f>
        <v>999</v>
      </c>
      <c r="U51" s="38" t="n">
        <f aca="false">IF(U49&gt;=0,U$19,999)</f>
        <v>999</v>
      </c>
      <c r="V51" s="38" t="n">
        <f aca="false">IF(V49&gt;=0,V$19,999)</f>
        <v>999</v>
      </c>
      <c r="W51" s="38" t="n">
        <f aca="false">IF(W49&gt;=0,W$19,999)</f>
        <v>999</v>
      </c>
      <c r="X51" s="38" t="n">
        <f aca="false">IF(X49&gt;=0,X$19,999)</f>
        <v>999</v>
      </c>
      <c r="Y51" s="38" t="n">
        <f aca="false">IF(Y49&gt;=0,Y$19,999)</f>
        <v>999</v>
      </c>
      <c r="Z51" s="38" t="n">
        <f aca="false">IF(Z49&gt;=0,Z$19,999)</f>
        <v>999</v>
      </c>
      <c r="AA51" s="38" t="n">
        <f aca="false">IF(AA49&gt;=0,AA$19,999)</f>
        <v>999</v>
      </c>
      <c r="AB51" s="38" t="n">
        <f aca="false">IF(AB49&gt;=0,AB$19,999)</f>
        <v>999</v>
      </c>
      <c r="AC51" s="38" t="n">
        <f aca="false">IF(AC49&gt;=0,AC$19,999)</f>
        <v>999</v>
      </c>
      <c r="AD51" s="38" t="n">
        <f aca="false">IF(AD49&gt;=0,AD$19,999)</f>
        <v>999</v>
      </c>
      <c r="AE51" s="38" t="n">
        <f aca="false">IF(AE49&gt;=0,AE$19,999)</f>
        <v>999</v>
      </c>
      <c r="AF51" s="38" t="n">
        <f aca="false">IF(AF49&gt;=0,AF$19,999)</f>
        <v>999</v>
      </c>
      <c r="AG51" s="38" t="n">
        <f aca="false">IF(AG49&gt;=0,AG$19,999)</f>
        <v>999</v>
      </c>
      <c r="AH51" s="38" t="n">
        <f aca="false">IF(AH49&gt;=0,AH$19,999)</f>
        <v>999</v>
      </c>
      <c r="AI51" s="38" t="n">
        <f aca="false">IF(AI49&gt;=0,AI$19,999)</f>
        <v>33</v>
      </c>
      <c r="AJ51" s="38" t="n">
        <f aca="false">IF(AJ49&gt;=0,AJ$19,999)</f>
        <v>999</v>
      </c>
      <c r="AK51" s="38" t="n">
        <f aca="false">IF(AK49&gt;=0,AK$19,999)</f>
        <v>35</v>
      </c>
      <c r="AL51" s="38" t="n">
        <f aca="false">IF(AL49&gt;=0,AL$19,999)</f>
        <v>36</v>
      </c>
      <c r="AM51" s="38" t="n">
        <f aca="false">IF(AM49&gt;=0,AM$19,999)</f>
        <v>999</v>
      </c>
      <c r="AN51" s="38" t="n">
        <f aca="false">IF(AN49&gt;=0,AN$19,999)</f>
        <v>999</v>
      </c>
      <c r="AO51" s="38" t="n">
        <f aca="false">IF(AO49&gt;=0,AO$19,999)</f>
        <v>999</v>
      </c>
      <c r="AP51" s="38" t="n">
        <f aca="false">IF(AP49&gt;=0,AP$19,999)</f>
        <v>40</v>
      </c>
      <c r="AQ51" s="38" t="n">
        <f aca="false">IF(AQ49&gt;=0,AQ$19,999)</f>
        <v>41</v>
      </c>
      <c r="AR51" s="38" t="n">
        <f aca="false">IF(AR49&gt;=0,AR$19,999)</f>
        <v>42</v>
      </c>
      <c r="AS51" s="38" t="n">
        <f aca="false">IF(AS49&gt;=0,AS$19,999)</f>
        <v>43</v>
      </c>
      <c r="AT51" s="38" t="n">
        <f aca="false">IF(AT49&gt;=0,AT$19,999)</f>
        <v>44</v>
      </c>
      <c r="AU51" s="38" t="n">
        <f aca="false">IF(AU49&gt;=0,AU$19,999)</f>
        <v>999</v>
      </c>
      <c r="AV51" s="38" t="n">
        <f aca="false">IF(AV49&gt;=0,AV$19,999)</f>
        <v>46</v>
      </c>
      <c r="AW51" s="38" t="n">
        <f aca="false">IF(AW49&gt;=0,AW$19,999)</f>
        <v>47</v>
      </c>
      <c r="AX51" s="38" t="n">
        <f aca="false">IF(AX49&gt;=0,AX$19,999)</f>
        <v>48</v>
      </c>
      <c r="AY51" s="38" t="n">
        <f aca="false">IF(AY49&gt;=0,AY$19,999)</f>
        <v>999</v>
      </c>
      <c r="AZ51" s="38" t="n">
        <f aca="false">IF(AZ49&gt;=0,AZ$19,999)</f>
        <v>50</v>
      </c>
      <c r="BA51" s="38" t="n">
        <f aca="false">IF(BA49&gt;=0,BA$19,999)</f>
        <v>51</v>
      </c>
      <c r="BB51" s="38" t="n">
        <f aca="false">IF(BB49&gt;=0,BB$19,999)</f>
        <v>999</v>
      </c>
      <c r="BC51" s="38" t="n">
        <f aca="false">IF(BC49&gt;=0,BC$19,999)</f>
        <v>53</v>
      </c>
      <c r="BD51" s="38" t="n">
        <f aca="false">IF(BD49&gt;=0,BD$19,999)</f>
        <v>54</v>
      </c>
      <c r="BE51" s="38" t="n">
        <f aca="false">IF(BE49&gt;=0,BE$19,999)</f>
        <v>55</v>
      </c>
      <c r="BF51" s="38" t="n">
        <f aca="false">IF(BF49&gt;=0,BF$19,999)</f>
        <v>56</v>
      </c>
      <c r="BG51" s="38" t="n">
        <f aca="false">IF(BG49&gt;=0,BG$19,999)</f>
        <v>57</v>
      </c>
      <c r="BH51" s="38" t="n">
        <f aca="false">IF(BH49&gt;=0,BH$19,999)</f>
        <v>58</v>
      </c>
      <c r="BI51" s="38" t="n">
        <f aca="false">IF(BI49&gt;=0,BI$19,999)</f>
        <v>59</v>
      </c>
      <c r="BJ51" s="38" t="n">
        <f aca="false">IF(BJ49&gt;=0,BJ$19,999)</f>
        <v>60</v>
      </c>
    </row>
    <row r="52" customFormat="false" ht="15" hidden="false" customHeight="false" outlineLevel="0" collapsed="false">
      <c r="B52" s="19" t="str">
        <f aca="false">"Szenario "&amp;A7&amp;": "&amp;B7</f>
        <v>Szenario 3: Churn doppelt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</row>
    <row r="53" customFormat="false" ht="15" hidden="false" customHeight="false" outlineLevel="0" collapsed="false">
      <c r="B53" s="5" t="s">
        <v>396</v>
      </c>
      <c r="C53" s="41" t="n">
        <f aca="false">Annahmen!$B$7*Annahmen!$B$19*(1-Annahmen!$B$31*$C$7)+C$21*$E$7*Annahmen!$B$19</f>
        <v>3.85</v>
      </c>
      <c r="D53" s="41" t="n">
        <f aca="false">C53*(1-Annahmen!$B$31*$C$7)+D$21*$E$7*Annahmen!$B$19</f>
        <v>5.119</v>
      </c>
      <c r="E53" s="41" t="n">
        <f aca="false">D53*(1-Annahmen!$B$31*$C$7)+E$21*$E$7*Annahmen!$B$19</f>
        <v>6.31186</v>
      </c>
      <c r="F53" s="41" t="n">
        <f aca="false">E53*(1-Annahmen!$B$31*$C$7)+F$21*$E$7*Annahmen!$B$19</f>
        <v>8.9331484</v>
      </c>
      <c r="G53" s="41" t="n">
        <f aca="false">F53*(1-Annahmen!$B$31*$C$7)+G$21*$E$7*Annahmen!$B$19</f>
        <v>11.397159496</v>
      </c>
      <c r="H53" s="41" t="n">
        <f aca="false">G53*(1-Annahmen!$B$31*$C$7)+H$21*$E$7*Annahmen!$B$19</f>
        <v>13.71332992624</v>
      </c>
      <c r="I53" s="41" t="n">
        <f aca="false">H53*(1-Annahmen!$B$31*$C$7)+I$21*$E$7*Annahmen!$B$19</f>
        <v>17.3905301306656</v>
      </c>
      <c r="J53" s="41" t="n">
        <f aca="false">I53*(1-Annahmen!$B$31*$C$7)+J$21*$E$7*Annahmen!$B$19</f>
        <v>20.8470983228257</v>
      </c>
      <c r="K53" s="41" t="n">
        <f aca="false">J53*(1-Annahmen!$B$31*$C$7)+K$21*$E$7*Annahmen!$B$19</f>
        <v>24.0962724234561</v>
      </c>
      <c r="L53" s="41" t="n">
        <f aca="false">K53*(1-Annahmen!$B$31*$C$7)+L$21*$E$7*Annahmen!$B$19</f>
        <v>28.6504960780488</v>
      </c>
      <c r="M53" s="41" t="n">
        <f aca="false">L53*(1-Annahmen!$B$31*$C$7)+M$21*$E$7*Annahmen!$B$19</f>
        <v>32.9314663133658</v>
      </c>
      <c r="N53" s="41" t="n">
        <f aca="false">M53*(1-Annahmen!$B$31*$C$7)+N$21*$E$7*Annahmen!$B$19</f>
        <v>36.9555783345639</v>
      </c>
      <c r="O53" s="41" t="n">
        <f aca="false">N53*(1-Annahmen!$B$31*$C$7)+O$21*$E$7*Annahmen!$B$19</f>
        <v>42.7382436344901</v>
      </c>
      <c r="P53" s="41" t="n">
        <f aca="false">O53*(1-Annahmen!$B$31*$C$7)+P$21*$E$7*Annahmen!$B$19</f>
        <v>48.1739490164206</v>
      </c>
      <c r="Q53" s="41" t="n">
        <f aca="false">P53*(1-Annahmen!$B$31*$C$7)+Q$21*$E$7*Annahmen!$B$19</f>
        <v>53.2835120754354</v>
      </c>
      <c r="R53" s="41" t="n">
        <f aca="false">Q53*(1-Annahmen!$B$31*$C$7)+R$21*$E$7*Annahmen!$B$19</f>
        <v>60.0865013509093</v>
      </c>
      <c r="S53" s="41" t="n">
        <f aca="false">R53*(1-Annahmen!$B$31*$C$7)+S$21*$E$7*Annahmen!$B$19</f>
        <v>66.4813112698547</v>
      </c>
      <c r="T53" s="41" t="n">
        <f aca="false">S53*(1-Annahmen!$B$31*$C$7)+T$21*$E$7*Annahmen!$B$19</f>
        <v>72.4924325936634</v>
      </c>
      <c r="U53" s="41" t="n">
        <f aca="false">T53*(1-Annahmen!$B$31*$C$7)+U$21*$E$7*Annahmen!$B$19</f>
        <v>80.1428866380436</v>
      </c>
      <c r="V53" s="41" t="n">
        <f aca="false">U53*(1-Annahmen!$B$31*$C$7)+V$21*$E$7*Annahmen!$B$19</f>
        <v>87.334313439761</v>
      </c>
      <c r="W53" s="41" t="n">
        <f aca="false">V53*(1-Annahmen!$B$31*$C$7)+W$21*$E$7*Annahmen!$B$19</f>
        <v>94.0942546333753</v>
      </c>
      <c r="X53" s="41" t="n">
        <f aca="false">W53*(1-Annahmen!$B$31*$C$7)+X$21*$E$7*Annahmen!$B$19</f>
        <v>102.448599355373</v>
      </c>
      <c r="Y53" s="41" t="n">
        <f aca="false">X53*(1-Annahmen!$B$31*$C$7)+Y$21*$E$7*Annahmen!$B$19</f>
        <v>110.30168339405</v>
      </c>
      <c r="Z53" s="41" t="n">
        <f aca="false">Y53*(1-Annahmen!$B$31*$C$7)+Z$21*$E$7*Annahmen!$B$19</f>
        <v>117.683582390407</v>
      </c>
      <c r="AA53" s="41" t="n">
        <f aca="false">Z53*(1-Annahmen!$B$31*$C$7)+AA$21*$E$7*Annahmen!$B$19</f>
        <v>125.622567446983</v>
      </c>
      <c r="AB53" s="41" t="n">
        <f aca="false">AA53*(1-Annahmen!$B$31*$C$7)+AB$21*$E$7*Annahmen!$B$19</f>
        <v>133.085213400164</v>
      </c>
      <c r="AC53" s="41" t="n">
        <f aca="false">AB53*(1-Annahmen!$B$31*$C$7)+AC$21*$E$7*Annahmen!$B$19</f>
        <v>140.100100596154</v>
      </c>
      <c r="AD53" s="41" t="n">
        <f aca="false">AC53*(1-Annahmen!$B$31*$C$7)+AD$21*$E$7*Annahmen!$B$19</f>
        <v>148.194094560385</v>
      </c>
      <c r="AE53" s="41" t="n">
        <f aca="false">AD53*(1-Annahmen!$B$31*$C$7)+AE$21*$E$7*Annahmen!$B$19</f>
        <v>155.802448886762</v>
      </c>
      <c r="AF53" s="41" t="n">
        <f aca="false">AE53*(1-Annahmen!$B$31*$C$7)+AF$21*$E$7*Annahmen!$B$19</f>
        <v>162.954301953556</v>
      </c>
      <c r="AG53" s="41" t="n">
        <f aca="false">AF53*(1-Annahmen!$B$31*$C$7)+AG$21*$E$7*Annahmen!$B$19</f>
        <v>171.177043836343</v>
      </c>
      <c r="AH53" s="41" t="n">
        <f aca="false">AG53*(1-Annahmen!$B$31*$C$7)+AH$21*$E$7*Annahmen!$B$19</f>
        <v>178.906421206162</v>
      </c>
      <c r="AI53" s="41" t="n">
        <f aca="false">AH53*(1-Annahmen!$B$31*$C$7)+AI$21*$E$7*Annahmen!$B$19</f>
        <v>186.172035933792</v>
      </c>
      <c r="AJ53" s="41" t="n">
        <f aca="false">AI53*(1-Annahmen!$B$31*$C$7)+AJ$21*$E$7*Annahmen!$B$19</f>
        <v>195.001713777765</v>
      </c>
      <c r="AK53" s="41" t="n">
        <f aca="false">AJ53*(1-Annahmen!$B$31*$C$7)+AK$21*$E$7*Annahmen!$B$19</f>
        <v>203.301610951099</v>
      </c>
      <c r="AL53" s="41" t="n">
        <f aca="false">AK53*(1-Annahmen!$B$31*$C$7)+AL$21*$E$7*Annahmen!$B$19</f>
        <v>211.103514294033</v>
      </c>
      <c r="AM53" s="41" t="n">
        <f aca="false">AL53*(1-Annahmen!$B$31*$C$7)+AM$21*$E$7*Annahmen!$B$19</f>
        <v>220.937303436391</v>
      </c>
      <c r="AN53" s="41" t="n">
        <f aca="false">AM53*(1-Annahmen!$B$31*$C$7)+AN$21*$E$7*Annahmen!$B$19</f>
        <v>230.181065230208</v>
      </c>
      <c r="AO53" s="41" t="n">
        <f aca="false">AN53*(1-Annahmen!$B$31*$C$7)+AO$21*$E$7*Annahmen!$B$19</f>
        <v>238.870201316395</v>
      </c>
      <c r="AP53" s="41" t="n">
        <f aca="false">AO53*(1-Annahmen!$B$31*$C$7)+AP$21*$E$7*Annahmen!$B$19</f>
        <v>247.037989237411</v>
      </c>
      <c r="AQ53" s="41" t="n">
        <f aca="false">AP53*(1-Annahmen!$B$31*$C$7)+AQ$21*$E$7*Annahmen!$B$19</f>
        <v>254.715709883167</v>
      </c>
      <c r="AR53" s="41" t="n">
        <f aca="false">AQ53*(1-Annahmen!$B$31*$C$7)+AR$21*$E$7*Annahmen!$B$19</f>
        <v>261.932767290177</v>
      </c>
      <c r="AS53" s="41" t="n">
        <f aca="false">AR53*(1-Annahmen!$B$31*$C$7)+AS$21*$E$7*Annahmen!$B$19</f>
        <v>268.716801252766</v>
      </c>
      <c r="AT53" s="41" t="n">
        <f aca="false">AS53*(1-Annahmen!$B$31*$C$7)+AT$21*$E$7*Annahmen!$B$19</f>
        <v>275.0937931776</v>
      </c>
      <c r="AU53" s="41" t="n">
        <f aca="false">AT53*(1-Annahmen!$B$31*$C$7)+AU$21*$E$7*Annahmen!$B$19</f>
        <v>281.088165586944</v>
      </c>
      <c r="AV53" s="41" t="n">
        <f aca="false">AU53*(1-Annahmen!$B$31*$C$7)+AV$21*$E$7*Annahmen!$B$19</f>
        <v>286.722875651727</v>
      </c>
      <c r="AW53" s="41" t="n">
        <f aca="false">AV53*(1-Annahmen!$B$31*$C$7)+AW$21*$E$7*Annahmen!$B$19</f>
        <v>292.019503112624</v>
      </c>
      <c r="AX53" s="41" t="n">
        <f aca="false">AW53*(1-Annahmen!$B$31*$C$7)+AX$21*$E$7*Annahmen!$B$19</f>
        <v>296.998332925866</v>
      </c>
      <c r="AY53" s="41" t="n">
        <f aca="false">AX53*(1-Annahmen!$B$31*$C$7)+AY$21*$E$7*Annahmen!$B$19</f>
        <v>306.678432950314</v>
      </c>
      <c r="AZ53" s="41" t="n">
        <f aca="false">AY53*(1-Annahmen!$B$31*$C$7)+AZ$21*$E$7*Annahmen!$B$19</f>
        <v>315.777726973295</v>
      </c>
      <c r="BA53" s="41" t="n">
        <f aca="false">AZ53*(1-Annahmen!$B$31*$C$7)+BA$21*$E$7*Annahmen!$B$19</f>
        <v>324.331063354898</v>
      </c>
      <c r="BB53" s="41" t="n">
        <f aca="false">BA53*(1-Annahmen!$B$31*$C$7)+BB$21*$E$7*Annahmen!$B$19</f>
        <v>332.371199553604</v>
      </c>
      <c r="BC53" s="41" t="n">
        <f aca="false">BB53*(1-Annahmen!$B$31*$C$7)+BC$21*$E$7*Annahmen!$B$19</f>
        <v>339.928927580388</v>
      </c>
      <c r="BD53" s="41" t="n">
        <f aca="false">BC53*(1-Annahmen!$B$31*$C$7)+BD$21*$E$7*Annahmen!$B$19</f>
        <v>347.033191925564</v>
      </c>
      <c r="BE53" s="41" t="n">
        <f aca="false">BD53*(1-Annahmen!$B$31*$C$7)+BE$21*$E$7*Annahmen!$B$19</f>
        <v>353.71120041003</v>
      </c>
      <c r="BF53" s="41" t="n">
        <f aca="false">BE53*(1-Annahmen!$B$31*$C$7)+BF$21*$E$7*Annahmen!$B$19</f>
        <v>359.988528385429</v>
      </c>
      <c r="BG53" s="41" t="n">
        <f aca="false">BF53*(1-Annahmen!$B$31*$C$7)+BG$21*$E$7*Annahmen!$B$19</f>
        <v>365.889216682303</v>
      </c>
      <c r="BH53" s="41" t="n">
        <f aca="false">BG53*(1-Annahmen!$B$31*$C$7)+BH$21*$E$7*Annahmen!$B$19</f>
        <v>371.435863681365</v>
      </c>
      <c r="BI53" s="41" t="n">
        <f aca="false">BH53*(1-Annahmen!$B$31*$C$7)+BI$21*$E$7*Annahmen!$B$19</f>
        <v>376.649711860483</v>
      </c>
      <c r="BJ53" s="41" t="n">
        <f aca="false">BI53*(1-Annahmen!$B$31*$C$7)+BJ$21*$E$7*Annahmen!$B$19</f>
        <v>381.550729148854</v>
      </c>
    </row>
    <row r="54" customFormat="false" ht="15" hidden="false" customHeight="false" outlineLevel="0" collapsed="false">
      <c r="B54" s="5" t="s">
        <v>397</v>
      </c>
      <c r="C54" s="41" t="n">
        <f aca="false">Annahmen!$B$7*Annahmen!$B$20*(1-Annahmen!$B$32*$C$7)+C$21*$E$7*Annahmen!$B$20</f>
        <v>2.964</v>
      </c>
      <c r="D54" s="41" t="n">
        <f aca="false">C54*(1-Annahmen!$B$32*$C$7)+D$21*$E$7*Annahmen!$B$20</f>
        <v>3.98544</v>
      </c>
      <c r="E54" s="41" t="n">
        <f aca="false">D54*(1-Annahmen!$B$32*$C$7)+E$21*$E$7*Annahmen!$B$20</f>
        <v>4.9660224</v>
      </c>
      <c r="F54" s="41" t="n">
        <f aca="false">E54*(1-Annahmen!$B$32*$C$7)+F$21*$E$7*Annahmen!$B$20</f>
        <v>7.047381504</v>
      </c>
      <c r="G54" s="41" t="n">
        <f aca="false">F54*(1-Annahmen!$B$32*$C$7)+G$21*$E$7*Annahmen!$B$20</f>
        <v>9.04548624384</v>
      </c>
      <c r="H54" s="41" t="n">
        <f aca="false">G54*(1-Annahmen!$B$32*$C$7)+H$21*$E$7*Annahmen!$B$20</f>
        <v>10.9636667940864</v>
      </c>
      <c r="I54" s="41" t="n">
        <f aca="false">H54*(1-Annahmen!$B$32*$C$7)+I$21*$E$7*Annahmen!$B$20</f>
        <v>13.9451201223229</v>
      </c>
      <c r="J54" s="41" t="n">
        <f aca="false">I54*(1-Annahmen!$B$32*$C$7)+J$21*$E$7*Annahmen!$B$20</f>
        <v>16.80731531743</v>
      </c>
      <c r="K54" s="41" t="n">
        <f aca="false">J54*(1-Annahmen!$B$32*$C$7)+K$21*$E$7*Annahmen!$B$20</f>
        <v>19.5550227047328</v>
      </c>
      <c r="L54" s="41" t="n">
        <f aca="false">K54*(1-Annahmen!$B$32*$C$7)+L$21*$E$7*Annahmen!$B$20</f>
        <v>23.3328217965435</v>
      </c>
      <c r="M54" s="41" t="n">
        <f aca="false">L54*(1-Annahmen!$B$32*$C$7)+M$21*$E$7*Annahmen!$B$20</f>
        <v>26.9595089246818</v>
      </c>
      <c r="N54" s="41" t="n">
        <f aca="false">M54*(1-Annahmen!$B$32*$C$7)+N$21*$E$7*Annahmen!$B$20</f>
        <v>30.4411285676945</v>
      </c>
      <c r="O54" s="41" t="n">
        <f aca="false">N54*(1-Annahmen!$B$32*$C$7)+O$21*$E$7*Annahmen!$B$20</f>
        <v>35.3034834249867</v>
      </c>
      <c r="P54" s="41" t="n">
        <f aca="false">O54*(1-Annahmen!$B$32*$C$7)+P$21*$E$7*Annahmen!$B$20</f>
        <v>39.9713440879872</v>
      </c>
      <c r="Q54" s="41" t="n">
        <f aca="false">P54*(1-Annahmen!$B$32*$C$7)+Q$21*$E$7*Annahmen!$B$20</f>
        <v>44.4524903244677</v>
      </c>
      <c r="R54" s="41" t="n">
        <f aca="false">Q54*(1-Annahmen!$B$32*$C$7)+R$21*$E$7*Annahmen!$B$20</f>
        <v>50.274390711489</v>
      </c>
      <c r="S54" s="41" t="n">
        <f aca="false">R54*(1-Annahmen!$B$32*$C$7)+S$21*$E$7*Annahmen!$B$20</f>
        <v>55.8634150830295</v>
      </c>
      <c r="T54" s="41" t="n">
        <f aca="false">S54*(1-Annahmen!$B$32*$C$7)+T$21*$E$7*Annahmen!$B$20</f>
        <v>61.2288784797083</v>
      </c>
      <c r="U54" s="41" t="n">
        <f aca="false">T54*(1-Annahmen!$B$32*$C$7)+U$21*$E$7*Annahmen!$B$20</f>
        <v>67.89972334052</v>
      </c>
      <c r="V54" s="41" t="n">
        <f aca="false">U54*(1-Annahmen!$B$32*$C$7)+V$21*$E$7*Annahmen!$B$20</f>
        <v>74.3037344068992</v>
      </c>
      <c r="W54" s="41" t="n">
        <f aca="false">V54*(1-Annahmen!$B$32*$C$7)+W$21*$E$7*Annahmen!$B$20</f>
        <v>80.4515850306232</v>
      </c>
      <c r="X54" s="41" t="n">
        <f aca="false">W54*(1-Annahmen!$B$32*$C$7)+X$21*$E$7*Annahmen!$B$20</f>
        <v>87.8735216293983</v>
      </c>
      <c r="Y54" s="41" t="n">
        <f aca="false">X54*(1-Annahmen!$B$32*$C$7)+Y$21*$E$7*Annahmen!$B$20</f>
        <v>94.9985807642223</v>
      </c>
      <c r="Z54" s="41" t="n">
        <f aca="false">Y54*(1-Annahmen!$B$32*$C$7)+Z$21*$E$7*Annahmen!$B$20</f>
        <v>101.838637533653</v>
      </c>
      <c r="AA54" s="41" t="n">
        <f aca="false">Z54*(1-Annahmen!$B$32*$C$7)+AA$21*$E$7*Annahmen!$B$20</f>
        <v>109.165092032307</v>
      </c>
      <c r="AB54" s="41" t="n">
        <f aca="false">AA54*(1-Annahmen!$B$32*$C$7)+AB$21*$E$7*Annahmen!$B$20</f>
        <v>116.198488351015</v>
      </c>
      <c r="AC54" s="41" t="n">
        <f aca="false">AB54*(1-Annahmen!$B$32*$C$7)+AC$21*$E$7*Annahmen!$B$20</f>
        <v>122.950548816974</v>
      </c>
      <c r="AD54" s="41" t="n">
        <f aca="false">AC54*(1-Annahmen!$B$32*$C$7)+AD$21*$E$7*Annahmen!$B$20</f>
        <v>130.572526864295</v>
      </c>
      <c r="AE54" s="41" t="n">
        <f aca="false">AD54*(1-Annahmen!$B$32*$C$7)+AE$21*$E$7*Annahmen!$B$20</f>
        <v>137.889625789724</v>
      </c>
      <c r="AF54" s="41" t="n">
        <f aca="false">AE54*(1-Annahmen!$B$32*$C$7)+AF$21*$E$7*Annahmen!$B$20</f>
        <v>144.914040758135</v>
      </c>
      <c r="AG54" s="41" t="n">
        <f aca="false">AF54*(1-Annahmen!$B$32*$C$7)+AG$21*$E$7*Annahmen!$B$20</f>
        <v>152.797479127809</v>
      </c>
      <c r="AH54" s="41" t="n">
        <f aca="false">AG54*(1-Annahmen!$B$32*$C$7)+AH$21*$E$7*Annahmen!$B$20</f>
        <v>160.365579962697</v>
      </c>
      <c r="AI54" s="41" t="n">
        <f aca="false">AH54*(1-Annahmen!$B$32*$C$7)+AI$21*$E$7*Annahmen!$B$20</f>
        <v>167.630956764189</v>
      </c>
      <c r="AJ54" s="41" t="n">
        <f aca="false">AI54*(1-Annahmen!$B$32*$C$7)+AJ$21*$E$7*Annahmen!$B$20</f>
        <v>176.125718493621</v>
      </c>
      <c r="AK54" s="41" t="n">
        <f aca="false">AJ54*(1-Annahmen!$B$32*$C$7)+AK$21*$E$7*Annahmen!$B$20</f>
        <v>184.280689753877</v>
      </c>
      <c r="AL54" s="41" t="n">
        <f aca="false">AK54*(1-Annahmen!$B$32*$C$7)+AL$21*$E$7*Annahmen!$B$20</f>
        <v>192.109462163722</v>
      </c>
      <c r="AM54" s="41" t="n">
        <f aca="false">AL54*(1-Annahmen!$B$32*$C$7)+AM$21*$E$7*Annahmen!$B$20</f>
        <v>201.525083677173</v>
      </c>
      <c r="AN54" s="41" t="n">
        <f aca="false">AM54*(1-Annahmen!$B$32*$C$7)+AN$21*$E$7*Annahmen!$B$20</f>
        <v>210.564080330086</v>
      </c>
      <c r="AO54" s="41" t="n">
        <f aca="false">AN54*(1-Annahmen!$B$32*$C$7)+AO$21*$E$7*Annahmen!$B$20</f>
        <v>219.241517116882</v>
      </c>
      <c r="AP54" s="41" t="n">
        <f aca="false">AO54*(1-Annahmen!$B$32*$C$7)+AP$21*$E$7*Annahmen!$B$20</f>
        <v>227.571856432207</v>
      </c>
      <c r="AQ54" s="41" t="n">
        <f aca="false">AP54*(1-Annahmen!$B$32*$C$7)+AQ$21*$E$7*Annahmen!$B$20</f>
        <v>235.568982174919</v>
      </c>
      <c r="AR54" s="41" t="n">
        <f aca="false">AQ54*(1-Annahmen!$B$32*$C$7)+AR$21*$E$7*Annahmen!$B$20</f>
        <v>243.246222887922</v>
      </c>
      <c r="AS54" s="41" t="n">
        <f aca="false">AR54*(1-Annahmen!$B$32*$C$7)+AS$21*$E$7*Annahmen!$B$20</f>
        <v>250.616373972405</v>
      </c>
      <c r="AT54" s="41" t="n">
        <f aca="false">AS54*(1-Annahmen!$B$32*$C$7)+AT$21*$E$7*Annahmen!$B$20</f>
        <v>257.691719013509</v>
      </c>
      <c r="AU54" s="41" t="n">
        <f aca="false">AT54*(1-Annahmen!$B$32*$C$7)+AU$21*$E$7*Annahmen!$B$20</f>
        <v>264.484050252969</v>
      </c>
      <c r="AV54" s="41" t="n">
        <f aca="false">AU54*(1-Annahmen!$B$32*$C$7)+AV$21*$E$7*Annahmen!$B$20</f>
        <v>271.00468824285</v>
      </c>
      <c r="AW54" s="41" t="n">
        <f aca="false">AV54*(1-Annahmen!$B$32*$C$7)+AW$21*$E$7*Annahmen!$B$20</f>
        <v>277.264500713136</v>
      </c>
      <c r="AX54" s="41" t="n">
        <f aca="false">AW54*(1-Annahmen!$B$32*$C$7)+AX$21*$E$7*Annahmen!$B$20</f>
        <v>283.27392068461</v>
      </c>
      <c r="AY54" s="41" t="n">
        <f aca="false">AX54*(1-Annahmen!$B$32*$C$7)+AY$21*$E$7*Annahmen!$B$20</f>
        <v>292.842963857226</v>
      </c>
      <c r="AZ54" s="41" t="n">
        <f aca="false">AY54*(1-Annahmen!$B$32*$C$7)+AZ$21*$E$7*Annahmen!$B$20</f>
        <v>302.029245302937</v>
      </c>
      <c r="BA54" s="41" t="n">
        <f aca="false">AZ54*(1-Annahmen!$B$32*$C$7)+BA$21*$E$7*Annahmen!$B$20</f>
        <v>310.848075490819</v>
      </c>
      <c r="BB54" s="41" t="n">
        <f aca="false">BA54*(1-Annahmen!$B$32*$C$7)+BB$21*$E$7*Annahmen!$B$20</f>
        <v>319.314152471187</v>
      </c>
      <c r="BC54" s="41" t="n">
        <f aca="false">BB54*(1-Annahmen!$B$32*$C$7)+BC$21*$E$7*Annahmen!$B$20</f>
        <v>327.441586372339</v>
      </c>
      <c r="BD54" s="41" t="n">
        <f aca="false">BC54*(1-Annahmen!$B$32*$C$7)+BD$21*$E$7*Annahmen!$B$20</f>
        <v>335.243922917445</v>
      </c>
      <c r="BE54" s="41" t="n">
        <f aca="false">BD54*(1-Annahmen!$B$32*$C$7)+BE$21*$E$7*Annahmen!$B$20</f>
        <v>342.734166000748</v>
      </c>
      <c r="BF54" s="41" t="n">
        <f aca="false">BE54*(1-Annahmen!$B$32*$C$7)+BF$21*$E$7*Annahmen!$B$20</f>
        <v>349.924799360718</v>
      </c>
      <c r="BG54" s="41" t="n">
        <f aca="false">BF54*(1-Annahmen!$B$32*$C$7)+BG$21*$E$7*Annahmen!$B$20</f>
        <v>356.827807386289</v>
      </c>
      <c r="BH54" s="41" t="n">
        <f aca="false">BG54*(1-Annahmen!$B$32*$C$7)+BH$21*$E$7*Annahmen!$B$20</f>
        <v>363.454695090837</v>
      </c>
      <c r="BI54" s="41" t="n">
        <f aca="false">BH54*(1-Annahmen!$B$32*$C$7)+BI$21*$E$7*Annahmen!$B$20</f>
        <v>369.816507287204</v>
      </c>
      <c r="BJ54" s="41" t="n">
        <f aca="false">BI54*(1-Annahmen!$B$32*$C$7)+BJ$21*$E$7*Annahmen!$B$20</f>
        <v>375.923846995716</v>
      </c>
    </row>
    <row r="55" customFormat="false" ht="15" hidden="false" customHeight="false" outlineLevel="0" collapsed="false">
      <c r="B55" s="5" t="s">
        <v>398</v>
      </c>
      <c r="C55" s="41" t="n">
        <f aca="false">Annahmen!$B$7*Annahmen!$B$21*(1-Annahmen!$B$33*$C$7)+C$21*$E$7*Annahmen!$B$21</f>
        <v>0.9456</v>
      </c>
      <c r="D55" s="41" t="n">
        <f aca="false">C55*(1-Annahmen!$B$33*$C$7)+D$21*$E$7*Annahmen!$B$21</f>
        <v>1.2829056</v>
      </c>
      <c r="E55" s="41" t="n">
        <f aca="false">D55*(1-Annahmen!$B$33*$C$7)+E$21*$E$7*Annahmen!$B$21</f>
        <v>1.6121158656</v>
      </c>
      <c r="F55" s="41" t="n">
        <f aca="false">E55*(1-Annahmen!$B$33*$C$7)+F$21*$E$7*Annahmen!$B$21</f>
        <v>2.2934250848256</v>
      </c>
      <c r="G55" s="41" t="n">
        <f aca="false">F55*(1-Annahmen!$B$33*$C$7)+G$21*$E$7*Annahmen!$B$21</f>
        <v>2.95838288278979</v>
      </c>
      <c r="H55" s="41" t="n">
        <f aca="false">G55*(1-Annahmen!$B$33*$C$7)+H$21*$E$7*Annahmen!$B$21</f>
        <v>3.60738169360283</v>
      </c>
      <c r="I55" s="41" t="n">
        <f aca="false">H55*(1-Annahmen!$B$33*$C$7)+I$21*$E$7*Annahmen!$B$21</f>
        <v>4.60080453295636</v>
      </c>
      <c r="J55" s="41" t="n">
        <f aca="false">I55*(1-Annahmen!$B$33*$C$7)+J$21*$E$7*Annahmen!$B$21</f>
        <v>5.57038522416541</v>
      </c>
      <c r="K55" s="41" t="n">
        <f aca="false">J55*(1-Annahmen!$B$33*$C$7)+K$21*$E$7*Annahmen!$B$21</f>
        <v>6.51669597878544</v>
      </c>
      <c r="L55" s="41" t="n">
        <f aca="false">K55*(1-Annahmen!$B$33*$C$7)+L$21*$E$7*Annahmen!$B$21</f>
        <v>7.80029527529459</v>
      </c>
      <c r="M55" s="41" t="n">
        <f aca="false">L55*(1-Annahmen!$B$33*$C$7)+M$21*$E$7*Annahmen!$B$21</f>
        <v>9.05308818868752</v>
      </c>
      <c r="N55" s="41" t="n">
        <f aca="false">M55*(1-Annahmen!$B$33*$C$7)+N$21*$E$7*Annahmen!$B$21</f>
        <v>10.275814072159</v>
      </c>
      <c r="O55" s="41" t="n">
        <f aca="false">N55*(1-Annahmen!$B$33*$C$7)+O$21*$E$7*Annahmen!$B$21</f>
        <v>11.9491945344272</v>
      </c>
      <c r="P55" s="41" t="n">
        <f aca="false">O55*(1-Annahmen!$B$33*$C$7)+P$21*$E$7*Annahmen!$B$21</f>
        <v>13.5824138656009</v>
      </c>
      <c r="Q55" s="41" t="n">
        <f aca="false">P55*(1-Annahmen!$B$33*$C$7)+Q$21*$E$7*Annahmen!$B$21</f>
        <v>15.1764359328265</v>
      </c>
      <c r="R55" s="41" t="n">
        <f aca="false">Q55*(1-Annahmen!$B$33*$C$7)+R$21*$E$7*Annahmen!$B$21</f>
        <v>17.2122014704387</v>
      </c>
      <c r="S55" s="41" t="n">
        <f aca="false">R55*(1-Annahmen!$B$33*$C$7)+S$21*$E$7*Annahmen!$B$21</f>
        <v>19.1991086351482</v>
      </c>
      <c r="T55" s="41" t="n">
        <f aca="false">S55*(1-Annahmen!$B$33*$C$7)+T$21*$E$7*Annahmen!$B$21</f>
        <v>21.1383300279046</v>
      </c>
      <c r="U55" s="41" t="n">
        <f aca="false">T55*(1-Annahmen!$B$33*$C$7)+U$21*$E$7*Annahmen!$B$21</f>
        <v>23.5110101072349</v>
      </c>
      <c r="V55" s="41" t="n">
        <f aca="false">U55*(1-Annahmen!$B$33*$C$7)+V$21*$E$7*Annahmen!$B$21</f>
        <v>25.8267458646612</v>
      </c>
      <c r="W55" s="41" t="n">
        <f aca="false">V55*(1-Annahmen!$B$33*$C$7)+W$21*$E$7*Annahmen!$B$21</f>
        <v>28.0869039639094</v>
      </c>
      <c r="X55" s="41" t="n">
        <f aca="false">W55*(1-Annahmen!$B$33*$C$7)+X$21*$E$7*Annahmen!$B$21</f>
        <v>30.7728182687756</v>
      </c>
      <c r="Y55" s="41" t="n">
        <f aca="false">X55*(1-Annahmen!$B$33*$C$7)+Y$21*$E$7*Annahmen!$B$21</f>
        <v>33.3942706303249</v>
      </c>
      <c r="Z55" s="41" t="n">
        <f aca="false">Y55*(1-Annahmen!$B$33*$C$7)+Z$21*$E$7*Annahmen!$B$21</f>
        <v>35.9528081351971</v>
      </c>
      <c r="AA55" s="41" t="n">
        <f aca="false">Z55*(1-Annahmen!$B$33*$C$7)+AA$21*$E$7*Annahmen!$B$21</f>
        <v>38.6899407399524</v>
      </c>
      <c r="AB55" s="41" t="n">
        <f aca="false">AA55*(1-Annahmen!$B$33*$C$7)+AB$21*$E$7*Annahmen!$B$21</f>
        <v>41.3613821621936</v>
      </c>
      <c r="AC55" s="41" t="n">
        <f aca="false">AB55*(1-Annahmen!$B$33*$C$7)+AC$21*$E$7*Annahmen!$B$21</f>
        <v>43.9687089903009</v>
      </c>
      <c r="AD55" s="41" t="n">
        <f aca="false">AC55*(1-Annahmen!$B$33*$C$7)+AD$21*$E$7*Annahmen!$B$21</f>
        <v>46.8734599745337</v>
      </c>
      <c r="AE55" s="41" t="n">
        <f aca="false">AD55*(1-Annahmen!$B$33*$C$7)+AE$21*$E$7*Annahmen!$B$21</f>
        <v>49.7084969351449</v>
      </c>
      <c r="AF55" s="41" t="n">
        <f aca="false">AE55*(1-Annahmen!$B$33*$C$7)+AF$21*$E$7*Annahmen!$B$21</f>
        <v>52.4754930087014</v>
      </c>
      <c r="AG55" s="41" t="n">
        <f aca="false">AF55*(1-Annahmen!$B$33*$C$7)+AG$21*$E$7*Annahmen!$B$21</f>
        <v>55.5360811764926</v>
      </c>
      <c r="AH55" s="41" t="n">
        <f aca="false">AG55*(1-Annahmen!$B$33*$C$7)+AH$21*$E$7*Annahmen!$B$21</f>
        <v>58.5232152282567</v>
      </c>
      <c r="AI55" s="41" t="n">
        <f aca="false">AH55*(1-Annahmen!$B$33*$C$7)+AI$21*$E$7*Annahmen!$B$21</f>
        <v>61.4386580627786</v>
      </c>
      <c r="AJ55" s="41" t="n">
        <f aca="false">AI55*(1-Annahmen!$B$33*$C$7)+AJ$21*$E$7*Annahmen!$B$21</f>
        <v>64.7641302692719</v>
      </c>
      <c r="AK55" s="41" t="n">
        <f aca="false">AJ55*(1-Annahmen!$B$33*$C$7)+AK$21*$E$7*Annahmen!$B$21</f>
        <v>68.0097911428094</v>
      </c>
      <c r="AL55" s="41" t="n">
        <f aca="false">AK55*(1-Annahmen!$B$33*$C$7)+AL$21*$E$7*Annahmen!$B$21</f>
        <v>71.1775561553819</v>
      </c>
      <c r="AM55" s="41" t="n">
        <f aca="false">AL55*(1-Annahmen!$B$33*$C$7)+AM$21*$E$7*Annahmen!$B$21</f>
        <v>74.8692948076528</v>
      </c>
      <c r="AN55" s="41" t="n">
        <f aca="false">AM55*(1-Annahmen!$B$33*$C$7)+AN$21*$E$7*Annahmen!$B$21</f>
        <v>78.4724317322691</v>
      </c>
      <c r="AO55" s="41" t="n">
        <f aca="false">AN55*(1-Annahmen!$B$33*$C$7)+AO$21*$E$7*Annahmen!$B$21</f>
        <v>81.9890933706947</v>
      </c>
      <c r="AP55" s="41" t="n">
        <f aca="false">AO55*(1-Annahmen!$B$33*$C$7)+AP$21*$E$7*Annahmen!$B$21</f>
        <v>85.421355129798</v>
      </c>
      <c r="AQ55" s="41" t="n">
        <f aca="false">AP55*(1-Annahmen!$B$33*$C$7)+AQ$21*$E$7*Annahmen!$B$21</f>
        <v>88.7712426066828</v>
      </c>
      <c r="AR55" s="41" t="n">
        <f aca="false">AQ55*(1-Annahmen!$B$33*$C$7)+AR$21*$E$7*Annahmen!$B$21</f>
        <v>92.0407327841225</v>
      </c>
      <c r="AS55" s="41" t="n">
        <f aca="false">AR55*(1-Annahmen!$B$33*$C$7)+AS$21*$E$7*Annahmen!$B$21</f>
        <v>95.2317551973035</v>
      </c>
      <c r="AT55" s="41" t="n">
        <f aca="false">AS55*(1-Annahmen!$B$33*$C$7)+AT$21*$E$7*Annahmen!$B$21</f>
        <v>98.3461930725682</v>
      </c>
      <c r="AU55" s="41" t="n">
        <f aca="false">AT55*(1-Annahmen!$B$33*$C$7)+AU$21*$E$7*Annahmen!$B$21</f>
        <v>101.385884438827</v>
      </c>
      <c r="AV55" s="41" t="n">
        <f aca="false">AU55*(1-Annahmen!$B$33*$C$7)+AV$21*$E$7*Annahmen!$B$21</f>
        <v>104.352623212295</v>
      </c>
      <c r="AW55" s="41" t="n">
        <f aca="false">AV55*(1-Annahmen!$B$33*$C$7)+AW$21*$E$7*Annahmen!$B$21</f>
        <v>107.2481602552</v>
      </c>
      <c r="AX55" s="41" t="n">
        <f aca="false">AW55*(1-Annahmen!$B$33*$C$7)+AX$21*$E$7*Annahmen!$B$21</f>
        <v>110.074204409075</v>
      </c>
      <c r="AY55" s="41" t="n">
        <f aca="false">AX55*(1-Annahmen!$B$33*$C$7)+AY$21*$E$7*Annahmen!$B$21</f>
        <v>114.032423503257</v>
      </c>
      <c r="AZ55" s="41" t="n">
        <f aca="false">AY55*(1-Annahmen!$B$33*$C$7)+AZ$21*$E$7*Annahmen!$B$21</f>
        <v>117.895645339179</v>
      </c>
      <c r="BA55" s="41" t="n">
        <f aca="false">AZ55*(1-Annahmen!$B$33*$C$7)+BA$21*$E$7*Annahmen!$B$21</f>
        <v>121.666149851039</v>
      </c>
      <c r="BB55" s="41" t="n">
        <f aca="false">BA55*(1-Annahmen!$B$33*$C$7)+BB$21*$E$7*Annahmen!$B$21</f>
        <v>125.346162254614</v>
      </c>
      <c r="BC55" s="41" t="n">
        <f aca="false">BB55*(1-Annahmen!$B$33*$C$7)+BC$21*$E$7*Annahmen!$B$21</f>
        <v>128.937854360503</v>
      </c>
      <c r="BD55" s="41" t="n">
        <f aca="false">BC55*(1-Annahmen!$B$33*$C$7)+BD$21*$E$7*Annahmen!$B$21</f>
        <v>132.443345855851</v>
      </c>
      <c r="BE55" s="41" t="n">
        <f aca="false">BD55*(1-Annahmen!$B$33*$C$7)+BE$21*$E$7*Annahmen!$B$21</f>
        <v>135.86470555531</v>
      </c>
      <c r="BF55" s="41" t="n">
        <f aca="false">BE55*(1-Annahmen!$B$33*$C$7)+BF$21*$E$7*Annahmen!$B$21</f>
        <v>139.203952621983</v>
      </c>
      <c r="BG55" s="41" t="n">
        <f aca="false">BF55*(1-Annahmen!$B$33*$C$7)+BG$21*$E$7*Annahmen!$B$21</f>
        <v>142.463057759055</v>
      </c>
      <c r="BH55" s="41" t="n">
        <f aca="false">BG55*(1-Annahmen!$B$33*$C$7)+BH$21*$E$7*Annahmen!$B$21</f>
        <v>145.643944372838</v>
      </c>
      <c r="BI55" s="41" t="n">
        <f aca="false">BH55*(1-Annahmen!$B$33*$C$7)+BI$21*$E$7*Annahmen!$B$21</f>
        <v>148.74848970789</v>
      </c>
      <c r="BJ55" s="41" t="n">
        <f aca="false">BI55*(1-Annahmen!$B$33*$C$7)+BJ$21*$E$7*Annahmen!$B$21</f>
        <v>151.778525954901</v>
      </c>
    </row>
    <row r="56" customFormat="false" ht="15" hidden="false" customHeight="false" outlineLevel="0" collapsed="false">
      <c r="B56" s="5" t="s">
        <v>399</v>
      </c>
      <c r="C56" s="41" t="n">
        <f aca="false">Annahmen!$B$7*Annahmen!$B$21*Annahmen!$B$24*(1-Annahmen!$B$33*$C$7)+C$21*$E$7*Annahmen!$B$21*Annahmen!$B$24</f>
        <v>0.18912</v>
      </c>
      <c r="D56" s="41" t="n">
        <f aca="false">C56*(1-Annahmen!$B$33*$C$7)+D$21*$E$7*Annahmen!$B$21*Annahmen!$B$24</f>
        <v>0.25658112</v>
      </c>
      <c r="E56" s="41" t="n">
        <f aca="false">D56*(1-Annahmen!$B$33*$C$7)+E$21*$E$7*Annahmen!$B$21*Annahmen!$B$24</f>
        <v>0.32242317312</v>
      </c>
      <c r="F56" s="41" t="n">
        <f aca="false">E56*(1-Annahmen!$B$33*$C$7)+F$21*$E$7*Annahmen!$B$21*Annahmen!$B$24</f>
        <v>0.45868501696512</v>
      </c>
      <c r="G56" s="41" t="n">
        <f aca="false">F56*(1-Annahmen!$B$33*$C$7)+G$21*$E$7*Annahmen!$B$21*Annahmen!$B$24</f>
        <v>0.591676576557957</v>
      </c>
      <c r="H56" s="41" t="n">
        <f aca="false">G56*(1-Annahmen!$B$33*$C$7)+H$21*$E$7*Annahmen!$B$21*Annahmen!$B$24</f>
        <v>0.721476338720566</v>
      </c>
      <c r="I56" s="41" t="n">
        <f aca="false">H56*(1-Annahmen!$B$33*$C$7)+I$21*$E$7*Annahmen!$B$21*Annahmen!$B$24</f>
        <v>0.920160906591273</v>
      </c>
      <c r="J56" s="41" t="n">
        <f aca="false">I56*(1-Annahmen!$B$33*$C$7)+J$21*$E$7*Annahmen!$B$21*Annahmen!$B$24</f>
        <v>1.11407704483308</v>
      </c>
      <c r="K56" s="41" t="n">
        <f aca="false">J56*(1-Annahmen!$B$33*$C$7)+K$21*$E$7*Annahmen!$B$21*Annahmen!$B$24</f>
        <v>1.30333919575709</v>
      </c>
      <c r="L56" s="41" t="n">
        <f aca="false">K56*(1-Annahmen!$B$33*$C$7)+L$21*$E$7*Annahmen!$B$21*Annahmen!$B$24</f>
        <v>1.56005905505892</v>
      </c>
      <c r="M56" s="41" t="n">
        <f aca="false">L56*(1-Annahmen!$B$33*$C$7)+M$21*$E$7*Annahmen!$B$21*Annahmen!$B$24</f>
        <v>1.8106176377375</v>
      </c>
      <c r="N56" s="41" t="n">
        <f aca="false">M56*(1-Annahmen!$B$33*$C$7)+N$21*$E$7*Annahmen!$B$21*Annahmen!$B$24</f>
        <v>2.0551628144318</v>
      </c>
      <c r="O56" s="41" t="n">
        <f aca="false">N56*(1-Annahmen!$B$33*$C$7)+O$21*$E$7*Annahmen!$B$21*Annahmen!$B$24</f>
        <v>2.38983890688544</v>
      </c>
      <c r="P56" s="41" t="n">
        <f aca="false">O56*(1-Annahmen!$B$33*$C$7)+P$21*$E$7*Annahmen!$B$21*Annahmen!$B$24</f>
        <v>2.71648277312019</v>
      </c>
      <c r="Q56" s="41" t="n">
        <f aca="false">P56*(1-Annahmen!$B$33*$C$7)+Q$21*$E$7*Annahmen!$B$21*Annahmen!$B$24</f>
        <v>3.03528718656531</v>
      </c>
      <c r="R56" s="41" t="n">
        <f aca="false">Q56*(1-Annahmen!$B$33*$C$7)+R$21*$E$7*Annahmen!$B$21*Annahmen!$B$24</f>
        <v>3.44244029408774</v>
      </c>
      <c r="S56" s="41" t="n">
        <f aca="false">R56*(1-Annahmen!$B$33*$C$7)+S$21*$E$7*Annahmen!$B$21*Annahmen!$B$24</f>
        <v>3.83982172702963</v>
      </c>
      <c r="T56" s="41" t="n">
        <f aca="false">S56*(1-Annahmen!$B$33*$C$7)+T$21*$E$7*Annahmen!$B$21*Annahmen!$B$24</f>
        <v>4.22766600558092</v>
      </c>
      <c r="U56" s="41" t="n">
        <f aca="false">T56*(1-Annahmen!$B$33*$C$7)+U$21*$E$7*Annahmen!$B$21*Annahmen!$B$24</f>
        <v>4.70220202144698</v>
      </c>
      <c r="V56" s="41" t="n">
        <f aca="false">U56*(1-Annahmen!$B$33*$C$7)+V$21*$E$7*Annahmen!$B$21*Annahmen!$B$24</f>
        <v>5.16534917293225</v>
      </c>
      <c r="W56" s="41" t="n">
        <f aca="false">V56*(1-Annahmen!$B$33*$C$7)+W$21*$E$7*Annahmen!$B$21*Annahmen!$B$24</f>
        <v>5.61738079278188</v>
      </c>
      <c r="X56" s="41" t="n">
        <f aca="false">W56*(1-Annahmen!$B$33*$C$7)+X$21*$E$7*Annahmen!$B$21*Annahmen!$B$24</f>
        <v>6.15456365375511</v>
      </c>
      <c r="Y56" s="41" t="n">
        <f aca="false">X56*(1-Annahmen!$B$33*$C$7)+Y$21*$E$7*Annahmen!$B$21*Annahmen!$B$24</f>
        <v>6.67885412606499</v>
      </c>
      <c r="Z56" s="41" t="n">
        <f aca="false">Y56*(1-Annahmen!$B$33*$C$7)+Z$21*$E$7*Annahmen!$B$21*Annahmen!$B$24</f>
        <v>7.19056162703943</v>
      </c>
      <c r="AA56" s="41" t="n">
        <f aca="false">Z56*(1-Annahmen!$B$33*$C$7)+AA$21*$E$7*Annahmen!$B$21*Annahmen!$B$24</f>
        <v>7.73798814799048</v>
      </c>
      <c r="AB56" s="41" t="n">
        <f aca="false">AA56*(1-Annahmen!$B$33*$C$7)+AB$21*$E$7*Annahmen!$B$21*Annahmen!$B$24</f>
        <v>8.27227643243871</v>
      </c>
      <c r="AC56" s="41" t="n">
        <f aca="false">AB56*(1-Annahmen!$B$33*$C$7)+AC$21*$E$7*Annahmen!$B$21*Annahmen!$B$24</f>
        <v>8.79374179806018</v>
      </c>
      <c r="AD56" s="41" t="n">
        <f aca="false">AC56*(1-Annahmen!$B$33*$C$7)+AD$21*$E$7*Annahmen!$B$21*Annahmen!$B$24</f>
        <v>9.37469199490674</v>
      </c>
      <c r="AE56" s="41" t="n">
        <f aca="false">AD56*(1-Annahmen!$B$33*$C$7)+AE$21*$E$7*Annahmen!$B$21*Annahmen!$B$24</f>
        <v>9.94169938702897</v>
      </c>
      <c r="AF56" s="41" t="n">
        <f aca="false">AE56*(1-Annahmen!$B$33*$C$7)+AF$21*$E$7*Annahmen!$B$21*Annahmen!$B$24</f>
        <v>10.4950986017403</v>
      </c>
      <c r="AG56" s="41" t="n">
        <f aca="false">AF56*(1-Annahmen!$B$33*$C$7)+AG$21*$E$7*Annahmen!$B$21*Annahmen!$B$24</f>
        <v>11.1072162352985</v>
      </c>
      <c r="AH56" s="41" t="n">
        <f aca="false">AG56*(1-Annahmen!$B$33*$C$7)+AH$21*$E$7*Annahmen!$B$21*Annahmen!$B$24</f>
        <v>11.7046430456513</v>
      </c>
      <c r="AI56" s="41" t="n">
        <f aca="false">AH56*(1-Annahmen!$B$33*$C$7)+AI$21*$E$7*Annahmen!$B$21*Annahmen!$B$24</f>
        <v>12.2877316125557</v>
      </c>
      <c r="AJ56" s="41" t="n">
        <f aca="false">AI56*(1-Annahmen!$B$33*$C$7)+AJ$21*$E$7*Annahmen!$B$21*Annahmen!$B$24</f>
        <v>12.9528260538544</v>
      </c>
      <c r="AK56" s="41" t="n">
        <f aca="false">AJ56*(1-Annahmen!$B$33*$C$7)+AK$21*$E$7*Annahmen!$B$21*Annahmen!$B$24</f>
        <v>13.6019582285619</v>
      </c>
      <c r="AL56" s="41" t="n">
        <f aca="false">AK56*(1-Annahmen!$B$33*$C$7)+AL$21*$E$7*Annahmen!$B$21*Annahmen!$B$24</f>
        <v>14.2355112310764</v>
      </c>
      <c r="AM56" s="41" t="n">
        <f aca="false">AL56*(1-Annahmen!$B$33*$C$7)+AM$21*$E$7*Annahmen!$B$21*Annahmen!$B$24</f>
        <v>14.9738589615306</v>
      </c>
      <c r="AN56" s="41" t="n">
        <f aca="false">AM56*(1-Annahmen!$B$33*$C$7)+AN$21*$E$7*Annahmen!$B$21*Annahmen!$B$24</f>
        <v>15.6944863464538</v>
      </c>
      <c r="AO56" s="41" t="n">
        <f aca="false">AN56*(1-Annahmen!$B$33*$C$7)+AO$21*$E$7*Annahmen!$B$21*Annahmen!$B$24</f>
        <v>16.3978186741389</v>
      </c>
      <c r="AP56" s="41" t="n">
        <f aca="false">AO56*(1-Annahmen!$B$33*$C$7)+AP$21*$E$7*Annahmen!$B$21*Annahmen!$B$24</f>
        <v>17.0842710259596</v>
      </c>
      <c r="AQ56" s="41" t="n">
        <f aca="false">AP56*(1-Annahmen!$B$33*$C$7)+AQ$21*$E$7*Annahmen!$B$21*Annahmen!$B$24</f>
        <v>17.7542485213366</v>
      </c>
      <c r="AR56" s="41" t="n">
        <f aca="false">AQ56*(1-Annahmen!$B$33*$C$7)+AR$21*$E$7*Annahmen!$B$21*Annahmen!$B$24</f>
        <v>18.4081465568245</v>
      </c>
      <c r="AS56" s="41" t="n">
        <f aca="false">AR56*(1-Annahmen!$B$33*$C$7)+AS$21*$E$7*Annahmen!$B$21*Annahmen!$B$24</f>
        <v>19.0463510394607</v>
      </c>
      <c r="AT56" s="41" t="n">
        <f aca="false">AS56*(1-Annahmen!$B$33*$C$7)+AT$21*$E$7*Annahmen!$B$21*Annahmen!$B$24</f>
        <v>19.6692386145136</v>
      </c>
      <c r="AU56" s="41" t="n">
        <f aca="false">AT56*(1-Annahmen!$B$33*$C$7)+AU$21*$E$7*Annahmen!$B$21*Annahmen!$B$24</f>
        <v>20.2771768877653</v>
      </c>
      <c r="AV56" s="41" t="n">
        <f aca="false">AU56*(1-Annahmen!$B$33*$C$7)+AV$21*$E$7*Annahmen!$B$21*Annahmen!$B$24</f>
        <v>20.8705246424589</v>
      </c>
      <c r="AW56" s="41" t="n">
        <f aca="false">AV56*(1-Annahmen!$B$33*$C$7)+AW$21*$E$7*Annahmen!$B$21*Annahmen!$B$24</f>
        <v>21.4496320510399</v>
      </c>
      <c r="AX56" s="41" t="n">
        <f aca="false">AW56*(1-Annahmen!$B$33*$C$7)+AX$21*$E$7*Annahmen!$B$21*Annahmen!$B$24</f>
        <v>22.014840881815</v>
      </c>
      <c r="AY56" s="41" t="n">
        <f aca="false">AX56*(1-Annahmen!$B$33*$C$7)+AY$21*$E$7*Annahmen!$B$21*Annahmen!$B$24</f>
        <v>22.8064847006514</v>
      </c>
      <c r="AZ56" s="41" t="n">
        <f aca="false">AY56*(1-Annahmen!$B$33*$C$7)+AZ$21*$E$7*Annahmen!$B$21*Annahmen!$B$24</f>
        <v>23.5791290678358</v>
      </c>
      <c r="BA56" s="41" t="n">
        <f aca="false">AZ56*(1-Annahmen!$B$33*$C$7)+BA$21*$E$7*Annahmen!$B$21*Annahmen!$B$24</f>
        <v>24.3332299702077</v>
      </c>
      <c r="BB56" s="41" t="n">
        <f aca="false">BA56*(1-Annahmen!$B$33*$C$7)+BB$21*$E$7*Annahmen!$B$21*Annahmen!$B$24</f>
        <v>25.0692324509227</v>
      </c>
      <c r="BC56" s="41" t="n">
        <f aca="false">BB56*(1-Annahmen!$B$33*$C$7)+BC$21*$E$7*Annahmen!$B$21*Annahmen!$B$24</f>
        <v>25.7875708721006</v>
      </c>
      <c r="BD56" s="41" t="n">
        <f aca="false">BC56*(1-Annahmen!$B$33*$C$7)+BD$21*$E$7*Annahmen!$B$21*Annahmen!$B$24</f>
        <v>26.4886691711702</v>
      </c>
      <c r="BE56" s="41" t="n">
        <f aca="false">BD56*(1-Annahmen!$B$33*$C$7)+BE$21*$E$7*Annahmen!$B$21*Annahmen!$B$24</f>
        <v>27.1729411110621</v>
      </c>
      <c r="BF56" s="41" t="n">
        <f aca="false">BE56*(1-Annahmen!$B$33*$C$7)+BF$21*$E$7*Annahmen!$B$21*Annahmen!$B$24</f>
        <v>27.8407905243966</v>
      </c>
      <c r="BG56" s="41" t="n">
        <f aca="false">BF56*(1-Annahmen!$B$33*$C$7)+BG$21*$E$7*Annahmen!$B$21*Annahmen!$B$24</f>
        <v>28.4926115518111</v>
      </c>
      <c r="BH56" s="41" t="n">
        <f aca="false">BG56*(1-Annahmen!$B$33*$C$7)+BH$21*$E$7*Annahmen!$B$21*Annahmen!$B$24</f>
        <v>29.1287888745676</v>
      </c>
      <c r="BI56" s="41" t="n">
        <f aca="false">BH56*(1-Annahmen!$B$33*$C$7)+BI$21*$E$7*Annahmen!$B$21*Annahmen!$B$24</f>
        <v>29.749697941578</v>
      </c>
      <c r="BJ56" s="41" t="n">
        <f aca="false">BI56*(1-Annahmen!$B$33*$C$7)+BJ$21*$E$7*Annahmen!$B$21*Annahmen!$B$24</f>
        <v>30.3557051909801</v>
      </c>
    </row>
    <row r="57" customFormat="false" ht="15" hidden="false" customHeight="false" outlineLevel="0" collapsed="false">
      <c r="B57" s="5" t="s">
        <v>223</v>
      </c>
      <c r="C57" s="38" t="n">
        <f aca="false">C53+C54+C55</f>
        <v>7.7596</v>
      </c>
      <c r="D57" s="38" t="n">
        <f aca="false">D53+D54+D55</f>
        <v>10.3873456</v>
      </c>
      <c r="E57" s="38" t="n">
        <f aca="false">E53+E54+E55</f>
        <v>12.8899982656</v>
      </c>
      <c r="F57" s="38" t="n">
        <f aca="false">F53+F54+F55</f>
        <v>18.2739549888256</v>
      </c>
      <c r="G57" s="38" t="n">
        <f aca="false">G53+G54+G55</f>
        <v>23.4010286226298</v>
      </c>
      <c r="H57" s="38" t="n">
        <f aca="false">H53+H54+H55</f>
        <v>28.2843784139292</v>
      </c>
      <c r="I57" s="38" t="n">
        <f aca="false">I53+I54+I55</f>
        <v>35.9364547859449</v>
      </c>
      <c r="J57" s="38" t="n">
        <f aca="false">J53+J54+J55</f>
        <v>43.2247988644211</v>
      </c>
      <c r="K57" s="38" t="n">
        <f aca="false">K53+K54+K55</f>
        <v>50.1679911069744</v>
      </c>
      <c r="L57" s="38" t="n">
        <f aca="false">L53+L54+L55</f>
        <v>59.7836131498869</v>
      </c>
      <c r="M57" s="38" t="n">
        <f aca="false">M53+M54+M55</f>
        <v>68.9440634267351</v>
      </c>
      <c r="N57" s="38" t="n">
        <f aca="false">N53+N54+N55</f>
        <v>77.6725209744174</v>
      </c>
      <c r="O57" s="38" t="n">
        <f aca="false">O53+O54+O55</f>
        <v>89.990921593904</v>
      </c>
      <c r="P57" s="38" t="n">
        <f aca="false">P53+P54+P55</f>
        <v>101.727706970009</v>
      </c>
      <c r="Q57" s="38" t="n">
        <f aca="false">Q53+Q54+Q55</f>
        <v>112.91243833273</v>
      </c>
      <c r="R57" s="38" t="n">
        <f aca="false">R53+R54+R55</f>
        <v>127.573093532837</v>
      </c>
      <c r="S57" s="38" t="n">
        <f aca="false">S53+S54+S55</f>
        <v>141.543834988032</v>
      </c>
      <c r="T57" s="38" t="n">
        <f aca="false">T53+T54+T55</f>
        <v>154.859641101276</v>
      </c>
      <c r="U57" s="38" t="n">
        <f aca="false">U53+U54+U55</f>
        <v>171.553620085798</v>
      </c>
      <c r="V57" s="38" t="n">
        <f aca="false">V53+V54+V55</f>
        <v>187.464793711321</v>
      </c>
      <c r="W57" s="38" t="n">
        <f aca="false">W53+W54+W55</f>
        <v>202.632743627908</v>
      </c>
      <c r="X57" s="38" t="n">
        <f aca="false">X53+X54+X55</f>
        <v>221.094939253547</v>
      </c>
      <c r="Y57" s="38" t="n">
        <f aca="false">Y53+Y54+Y55</f>
        <v>238.694534788598</v>
      </c>
      <c r="Z57" s="38" t="n">
        <f aca="false">Z53+Z54+Z55</f>
        <v>255.475028059258</v>
      </c>
      <c r="AA57" s="38" t="n">
        <f aca="false">AA53+AA54+AA55</f>
        <v>273.477600219243</v>
      </c>
      <c r="AB57" s="38" t="n">
        <f aca="false">AB53+AB54+AB55</f>
        <v>290.645083913373</v>
      </c>
      <c r="AC57" s="38" t="n">
        <f aca="false">AC53+AC54+AC55</f>
        <v>307.019358403429</v>
      </c>
      <c r="AD57" s="38" t="n">
        <f aca="false">AD53+AD54+AD55</f>
        <v>325.640081399214</v>
      </c>
      <c r="AE57" s="38" t="n">
        <f aca="false">AE53+AE54+AE55</f>
        <v>343.40057161163</v>
      </c>
      <c r="AF57" s="38" t="n">
        <f aca="false">AF53+AF54+AF55</f>
        <v>360.343835720392</v>
      </c>
      <c r="AG57" s="38" t="n">
        <f aca="false">AG53+AG54+AG55</f>
        <v>379.510604140645</v>
      </c>
      <c r="AH57" s="38" t="n">
        <f aca="false">AH53+AH54+AH55</f>
        <v>397.795216397116</v>
      </c>
      <c r="AI57" s="38" t="n">
        <f aca="false">AI53+AI54+AI55</f>
        <v>415.24165076076</v>
      </c>
      <c r="AJ57" s="38" t="n">
        <f aca="false">AJ53+AJ54+AJ55</f>
        <v>435.891562540658</v>
      </c>
      <c r="AK57" s="38" t="n">
        <f aca="false">AK53+AK54+AK55</f>
        <v>455.592091847785</v>
      </c>
      <c r="AL57" s="38" t="n">
        <f aca="false">AL53+AL54+AL55</f>
        <v>474.390532613136</v>
      </c>
      <c r="AM57" s="38" t="n">
        <f aca="false">AM53+AM54+AM55</f>
        <v>497.331681921216</v>
      </c>
      <c r="AN57" s="38" t="n">
        <f aca="false">AN53+AN54+AN55</f>
        <v>519.217577292562</v>
      </c>
      <c r="AO57" s="38" t="n">
        <f aca="false">AO53+AO54+AO55</f>
        <v>540.100811803972</v>
      </c>
      <c r="AP57" s="38" t="n">
        <f aca="false">AP53+AP54+AP55</f>
        <v>560.031200799416</v>
      </c>
      <c r="AQ57" s="38" t="n">
        <f aca="false">AQ53+AQ54+AQ55</f>
        <v>579.055934664768</v>
      </c>
      <c r="AR57" s="38" t="n">
        <f aca="false">AR53+AR54+AR55</f>
        <v>597.219722962221</v>
      </c>
      <c r="AS57" s="38" t="n">
        <f aca="false">AS53+AS54+AS55</f>
        <v>614.564930422475</v>
      </c>
      <c r="AT57" s="38" t="n">
        <f aca="false">AT53+AT54+AT55</f>
        <v>631.131705263677</v>
      </c>
      <c r="AU57" s="38" t="n">
        <f aca="false">AU53+AU54+AU55</f>
        <v>646.958100278739</v>
      </c>
      <c r="AV57" s="38" t="n">
        <f aca="false">AV53+AV54+AV55</f>
        <v>662.080187106872</v>
      </c>
      <c r="AW57" s="38" t="n">
        <f aca="false">AW53+AW54+AW55</f>
        <v>676.532164080959</v>
      </c>
      <c r="AX57" s="38" t="n">
        <f aca="false">AX53+AX54+AX55</f>
        <v>690.346458019552</v>
      </c>
      <c r="AY57" s="38" t="n">
        <f aca="false">AY53+AY54+AY55</f>
        <v>713.553820310797</v>
      </c>
      <c r="AZ57" s="38" t="n">
        <f aca="false">AZ53+AZ54+AZ55</f>
        <v>735.702617615411</v>
      </c>
      <c r="BA57" s="38" t="n">
        <f aca="false">BA53+BA54+BA55</f>
        <v>756.845288696756</v>
      </c>
      <c r="BB57" s="38" t="n">
        <f aca="false">BB53+BB54+BB55</f>
        <v>777.031514279404</v>
      </c>
      <c r="BC57" s="38" t="n">
        <f aca="false">BC53+BC54+BC55</f>
        <v>796.30836831323</v>
      </c>
      <c r="BD57" s="38" t="n">
        <f aca="false">BD53+BD54+BD55</f>
        <v>814.720460698861</v>
      </c>
      <c r="BE57" s="38" t="n">
        <f aca="false">BE53+BE54+BE55</f>
        <v>832.310071966089</v>
      </c>
      <c r="BF57" s="38" t="n">
        <f aca="false">BF53+BF54+BF55</f>
        <v>849.117280368129</v>
      </c>
      <c r="BG57" s="38" t="n">
        <f aca="false">BG53+BG54+BG55</f>
        <v>865.180081827647</v>
      </c>
      <c r="BH57" s="38" t="n">
        <f aca="false">BH53+BH54+BH55</f>
        <v>880.53450314504</v>
      </c>
      <c r="BI57" s="38" t="n">
        <f aca="false">BI53+BI54+BI55</f>
        <v>895.214708855576</v>
      </c>
      <c r="BJ57" s="38" t="n">
        <f aca="false">BJ53+BJ54+BJ55</f>
        <v>909.25310209947</v>
      </c>
    </row>
    <row r="58" customFormat="false" ht="15" hidden="false" customHeight="false" outlineLevel="0" collapsed="false">
      <c r="B58" s="5" t="s">
        <v>400</v>
      </c>
      <c r="C58" s="37" t="n">
        <f aca="false">(C53*Annahmen!$B$10+C54*(Annahmen!$B$11+Annahmen!$B$13*Annahmen!$B$22)+C55*(Annahmen!$B$12+Annahmen!$B$14*Annahmen!$B$23)+C56*Annahmen!$B$16)*$D$7</f>
        <v>931.95328</v>
      </c>
      <c r="D58" s="37" t="n">
        <f aca="false">(D53*Annahmen!$B$10+D54*(Annahmen!$B$11+Annahmen!$B$13*Annahmen!$B$22)+D55*(Annahmen!$B$12+Annahmen!$B$14*Annahmen!$B$23)+D56*Annahmen!$B$16)*$D$7</f>
        <v>1254.27735328</v>
      </c>
      <c r="E58" s="37" t="n">
        <f aca="false">(E53*Annahmen!$B$10+E54*(Annahmen!$B$11+Annahmen!$B$13*Annahmen!$B$22)+E55*(Annahmen!$B$12+Annahmen!$B$14*Annahmen!$B$23)+E56*Annahmen!$B$16)*$D$7</f>
        <v>1564.34727872128</v>
      </c>
      <c r="F58" s="37" t="n">
        <f aca="false">(F53*Annahmen!$B$10+F54*(Annahmen!$B$11+Annahmen!$B$13*Annahmen!$B$22)+F55*(Annahmen!$B$12+Annahmen!$B$14*Annahmen!$B$23)+F56*Annahmen!$B$16)*$D$7</f>
        <v>2220.78066099517</v>
      </c>
      <c r="G58" s="37" t="n">
        <f aca="false">(G53*Annahmen!$B$10+G54*(Annahmen!$B$11+Annahmen!$B$13*Annahmen!$B$22)+G55*(Annahmen!$B$12+Annahmen!$B$14*Annahmen!$B$23)+G56*Annahmen!$B$16)*$D$7</f>
        <v>2852.19009583676</v>
      </c>
      <c r="H58" s="37" t="n">
        <f aca="false">(H53*Annahmen!$B$10+H54*(Annahmen!$B$11+Annahmen!$B$13*Annahmen!$B$22)+H55*(Annahmen!$B$12+Annahmen!$B$14*Annahmen!$B$23)+H56*Annahmen!$B$16)*$D$7</f>
        <v>3459.63941888948</v>
      </c>
      <c r="I58" s="37" t="n">
        <f aca="false">(I53*Annahmen!$B$10+I54*(Annahmen!$B$11+Annahmen!$B$13*Annahmen!$B$22)+I55*(Annahmen!$B$12+Annahmen!$B$14*Annahmen!$B$23)+I56*Annahmen!$B$16)*$D$7</f>
        <v>4402.24085456185</v>
      </c>
      <c r="J58" s="37" t="n">
        <f aca="false">(J53*Annahmen!$B$10+J54*(Annahmen!$B$11+Annahmen!$B$13*Annahmen!$B$22)+J55*(Annahmen!$B$12+Annahmen!$B$14*Annahmen!$B$23)+J56*Annahmen!$B$16)*$D$7</f>
        <v>5309.07867078884</v>
      </c>
      <c r="K58" s="37" t="n">
        <f aca="false">(K53*Annahmen!$B$10+K54*(Annahmen!$B$11+Annahmen!$B$13*Annahmen!$B$22)+K55*(Annahmen!$B$12+Annahmen!$B$14*Annahmen!$B$23)+K56*Annahmen!$B$16)*$D$7</f>
        <v>6181.66657345994</v>
      </c>
      <c r="L58" s="37" t="n">
        <f aca="false">(L53*Annahmen!$B$10+L54*(Annahmen!$B$11+Annahmen!$B$13*Annahmen!$B$22)+L55*(Annahmen!$B$12+Annahmen!$B$14*Annahmen!$B$23)+L56*Annahmen!$B$16)*$D$7</f>
        <v>7379.54594046496</v>
      </c>
      <c r="M58" s="37" t="n">
        <f aca="false">(M53*Annahmen!$B$10+M54*(Annahmen!$B$11+Annahmen!$B$13*Annahmen!$B$22)+M55*(Annahmen!$B$12+Annahmen!$B$14*Annahmen!$B$23)+M56*Annahmen!$B$16)*$D$7</f>
        <v>8532.21050456224</v>
      </c>
      <c r="N58" s="37" t="n">
        <f aca="false">(N53*Annahmen!$B$10+N54*(Annahmen!$B$11+Annahmen!$B$13*Annahmen!$B$22)+N55*(Annahmen!$B$12+Annahmen!$B$14*Annahmen!$B$23)+N56*Annahmen!$B$16)*$D$7</f>
        <v>9641.56472195608</v>
      </c>
      <c r="O58" s="37" t="n">
        <f aca="false">(O53*Annahmen!$B$10+O54*(Annahmen!$B$11+Annahmen!$B$13*Annahmen!$B$22)+O55*(Annahmen!$B$12+Annahmen!$B$14*Annahmen!$B$23)+O56*Annahmen!$B$16)*$D$7</f>
        <v>11186.8889294839</v>
      </c>
      <c r="P58" s="37" t="n">
        <f aca="false">(P53*Annahmen!$B$10+P54*(Annahmen!$B$11+Annahmen!$B$13*Annahmen!$B$22)+P55*(Annahmen!$B$12+Annahmen!$B$14*Annahmen!$B$23)+P56*Annahmen!$B$16)*$D$7</f>
        <v>12674.0719584004</v>
      </c>
      <c r="Q58" s="37" t="n">
        <f aca="false">(Q53*Annahmen!$B$10+Q54*(Annahmen!$B$11+Annahmen!$B$13*Annahmen!$B$22)+Q55*(Annahmen!$B$12+Annahmen!$B$14*Annahmen!$B$23)+Q56*Annahmen!$B$16)*$D$7</f>
        <v>14105.5553453295</v>
      </c>
      <c r="R58" s="37" t="n">
        <f aca="false">(R53*Annahmen!$B$10+R54*(Annahmen!$B$11+Annahmen!$B$13*Annahmen!$B$22)+R55*(Annahmen!$B$12+Annahmen!$B$14*Annahmen!$B$23)+R56*Annahmen!$B$16)*$D$7</f>
        <v>15961.1319433363</v>
      </c>
      <c r="S58" s="37" t="n">
        <f aca="false">(S53*Annahmen!$B$10+S54*(Annahmen!$B$11+Annahmen!$B$13*Annahmen!$B$22)+S55*(Annahmen!$B$12+Annahmen!$B$14*Annahmen!$B$23)+S56*Annahmen!$B$16)*$D$7</f>
        <v>17747.1797482452</v>
      </c>
      <c r="T58" s="37" t="n">
        <f aca="false">(T53*Annahmen!$B$10+T54*(Annahmen!$B$11+Annahmen!$B$13*Annahmen!$B$22)+T55*(Annahmen!$B$12+Annahmen!$B$14*Annahmen!$B$23)+T56*Annahmen!$B$16)*$D$7</f>
        <v>19466.6072587419</v>
      </c>
      <c r="U58" s="37" t="n">
        <f aca="false">(U53*Annahmen!$B$10+U54*(Annahmen!$B$11+Annahmen!$B$13*Annahmen!$B$22)+U55*(Annahmen!$B$12+Annahmen!$B$14*Annahmen!$B$23)+U56*Annahmen!$B$16)*$D$7</f>
        <v>21599.6531766702</v>
      </c>
      <c r="V58" s="37" t="n">
        <f aca="false">(V53*Annahmen!$B$10+V54*(Annahmen!$B$11+Annahmen!$B$13*Annahmen!$B$22)+V55*(Annahmen!$B$12+Annahmen!$B$14*Annahmen!$B$23)+V56*Annahmen!$B$16)*$D$7</f>
        <v>23653.1212659046</v>
      </c>
      <c r="W58" s="37" t="n">
        <f aca="false">(W53*Annahmen!$B$10+W54*(Annahmen!$B$11+Annahmen!$B$13*Annahmen!$B$22)+W55*(Annahmen!$B$12+Annahmen!$B$14*Annahmen!$B$23)+W56*Annahmen!$B$16)*$D$7</f>
        <v>25630.3266914189</v>
      </c>
      <c r="X58" s="37" t="n">
        <f aca="false">(X53*Annahmen!$B$10+X54*(Annahmen!$B$11+Annahmen!$B$13*Annahmen!$B$22)+X55*(Annahmen!$B$12+Annahmen!$B$14*Annahmen!$B$23)+X56*Annahmen!$B$16)*$D$7</f>
        <v>28011.8966478632</v>
      </c>
      <c r="Y58" s="37" t="n">
        <f aca="false">(Y53*Annahmen!$B$10+Y54*(Annahmen!$B$11+Annahmen!$B$13*Annahmen!$B$22)+Y55*(Annahmen!$B$12+Annahmen!$B$14*Annahmen!$B$23)+Y56*Annahmen!$B$16)*$D$7</f>
        <v>30305.0060987748</v>
      </c>
      <c r="Z58" s="37" t="n">
        <f aca="false">(Z53*Annahmen!$B$10+Z54*(Annahmen!$B$11+Annahmen!$B$13*Annahmen!$B$22)+Z55*(Annahmen!$B$12+Annahmen!$B$14*Annahmen!$B$23)+Z56*Annahmen!$B$16)*$D$7</f>
        <v>32513.3249506314</v>
      </c>
      <c r="AA58" s="37" t="n">
        <f aca="false">(AA53*Annahmen!$B$10+AA54*(Annahmen!$B$11+Annahmen!$B$13*Annahmen!$B$22)+AA55*(Annahmen!$B$12+Annahmen!$B$14*Annahmen!$B$23)+AA56*Annahmen!$B$16)*$D$7</f>
        <v>34879.0874735044</v>
      </c>
      <c r="AB58" s="37" t="n">
        <f aca="false">(AB53*Annahmen!$B$10+AB54*(Annahmen!$B$11+Annahmen!$B$13*Annahmen!$B$22)+AB55*(Annahmen!$B$12+Annahmen!$B$14*Annahmen!$B$23)+AB56*Annahmen!$B$16)*$D$7</f>
        <v>37157.7146797477</v>
      </c>
      <c r="AC58" s="37" t="n">
        <f aca="false">(AC53*Annahmen!$B$10+AC54*(Annahmen!$B$11+Annahmen!$B$13*Annahmen!$B$22)+AC55*(Annahmen!$B$12+Annahmen!$B$14*Annahmen!$B$23)+AC56*Annahmen!$B$16)*$D$7</f>
        <v>39352.7921849964</v>
      </c>
      <c r="AD58" s="37" t="n">
        <f aca="false">(AD53*Annahmen!$B$10+AD54*(Annahmen!$B$11+Annahmen!$B$13*Annahmen!$B$22)+AD55*(Annahmen!$B$12+Annahmen!$B$14*Annahmen!$B$23)+AD56*Annahmen!$B$16)*$D$7</f>
        <v>41825.8409701454</v>
      </c>
      <c r="AE58" s="37" t="n">
        <f aca="false">(AE53*Annahmen!$B$10+AE54*(Annahmen!$B$11+Annahmen!$B$13*Annahmen!$B$22)+AE55*(Annahmen!$B$12+Annahmen!$B$14*Annahmen!$B$23)+AE56*Annahmen!$B$16)*$D$7</f>
        <v>44208.2465240963</v>
      </c>
      <c r="AF58" s="37" t="n">
        <f aca="false">(AF53*Annahmen!$B$10+AF54*(Annahmen!$B$11+Annahmen!$B$13*Annahmen!$B$22)+AF55*(Annahmen!$B$12+Annahmen!$B$14*Annahmen!$B$23)+AF56*Annahmen!$B$16)*$D$7</f>
        <v>46503.7214429191</v>
      </c>
      <c r="AG58" s="37" t="n">
        <f aca="false">(AG53*Annahmen!$B$10+AG54*(Annahmen!$B$11+Annahmen!$B$13*Annahmen!$B$22)+AG55*(Annahmen!$B$12+Annahmen!$B$14*Annahmen!$B$23)+AG56*Annahmen!$B$16)*$D$7</f>
        <v>49073.9086006708</v>
      </c>
      <c r="AH58" s="37" t="n">
        <f aca="false">(AH53*Annahmen!$B$10+AH54*(Annahmen!$B$11+Annahmen!$B$13*Annahmen!$B$22)+AH55*(Annahmen!$B$12+Annahmen!$B$14*Annahmen!$B$23)+AH56*Annahmen!$B$16)*$D$7</f>
        <v>51550.3105155141</v>
      </c>
      <c r="AI58" s="37" t="n">
        <f aca="false">(AI53*Annahmen!$B$10+AI54*(Annahmen!$B$11+Annahmen!$B$13*Annahmen!$B$22)+AI55*(Annahmen!$B$12+Annahmen!$B$14*Annahmen!$B$23)+AI56*Annahmen!$B$16)*$D$7</f>
        <v>53936.7521616574</v>
      </c>
      <c r="AJ58" s="37" t="n">
        <f aca="false">(AJ53*Annahmen!$B$10+AJ54*(Annahmen!$B$11+Annahmen!$B$13*Annahmen!$B$22)+AJ55*(Annahmen!$B$12+Annahmen!$B$14*Annahmen!$B$23)+AJ56*Annahmen!$B$16)*$D$7</f>
        <v>56714.3503428927</v>
      </c>
      <c r="AK58" s="37" t="n">
        <f aca="false">(AK53*Annahmen!$B$10+AK54*(Annahmen!$B$11+Annahmen!$B$13*Annahmen!$B$22)+AK55*(Annahmen!$B$12+Annahmen!$B$14*Annahmen!$B$23)+AK56*Annahmen!$B$16)*$D$7</f>
        <v>59390.7503078815</v>
      </c>
      <c r="AL58" s="37" t="n">
        <f aca="false">(AL53*Annahmen!$B$10+AL54*(Annahmen!$B$11+Annahmen!$B$13*Annahmen!$B$22)+AL55*(Annahmen!$B$12+Annahmen!$B$14*Annahmen!$B$23)+AL56*Annahmen!$B$16)*$D$7</f>
        <v>61970.073759244</v>
      </c>
      <c r="AM58" s="37" t="n">
        <f aca="false">(AM53*Annahmen!$B$10+AM54*(Annahmen!$B$11+Annahmen!$B$13*Annahmen!$B$22)+AM55*(Annahmen!$B$12+Annahmen!$B$14*Annahmen!$B$23)+AM56*Annahmen!$B$16)*$D$7</f>
        <v>65053.087070258</v>
      </c>
      <c r="AN58" s="37" t="n">
        <f aca="false">(AN53*Annahmen!$B$10+AN54*(Annahmen!$B$11+Annahmen!$B$13*Annahmen!$B$22)+AN55*(Annahmen!$B$12+Annahmen!$B$14*Annahmen!$B$23)+AN56*Annahmen!$B$16)*$D$7</f>
        <v>68023.7455905426</v>
      </c>
      <c r="AO58" s="37" t="n">
        <f aca="false">(AO53*Annahmen!$B$10+AO54*(Annahmen!$B$11+Annahmen!$B$13*Annahmen!$B$22)+AO55*(Annahmen!$B$12+Annahmen!$B$14*Annahmen!$B$23)+AO56*Annahmen!$B$16)*$D$7</f>
        <v>70886.6272700067</v>
      </c>
      <c r="AP58" s="37" t="n">
        <f aca="false">(AP53*Annahmen!$B$10+AP54*(Annahmen!$B$11+Annahmen!$B$13*Annahmen!$B$22)+AP55*(Annahmen!$B$12+Annahmen!$B$14*Annahmen!$B$23)+AP56*Annahmen!$B$16)*$D$7</f>
        <v>73646.1041141996</v>
      </c>
      <c r="AQ58" s="37" t="n">
        <f aca="false">(AQ53*Annahmen!$B$10+AQ54*(Annahmen!$B$11+Annahmen!$B$13*Annahmen!$B$22)+AQ55*(Annahmen!$B$12+Annahmen!$B$14*Annahmen!$B$23)+AQ56*Annahmen!$B$16)*$D$7</f>
        <v>76306.3522188873</v>
      </c>
      <c r="AR58" s="37" t="n">
        <f aca="false">(AR53*Annahmen!$B$10+AR54*(Annahmen!$B$11+Annahmen!$B$13*Annahmen!$B$22)+AR55*(Annahmen!$B$12+Annahmen!$B$14*Annahmen!$B$23)+AR56*Annahmen!$B$16)*$D$7</f>
        <v>78871.3612851857</v>
      </c>
      <c r="AS58" s="37" t="n">
        <f aca="false">(AS53*Annahmen!$B$10+AS54*(Annahmen!$B$11+Annahmen!$B$13*Annahmen!$B$22)+AS55*(Annahmen!$B$12+Annahmen!$B$14*Annahmen!$B$23)+AS56*Annahmen!$B$16)*$D$7</f>
        <v>81344.9436433555</v>
      </c>
      <c r="AT58" s="37" t="n">
        <f aca="false">(AT53*Annahmen!$B$10+AT54*(Annahmen!$B$11+Annahmen!$B$13*Annahmen!$B$22)+AT55*(Annahmen!$B$12+Annahmen!$B$14*Annahmen!$B$23)+AT56*Annahmen!$B$16)*$D$7</f>
        <v>83730.7428117987</v>
      </c>
      <c r="AU58" s="37" t="n">
        <f aca="false">(AU53*Annahmen!$B$10+AU54*(Annahmen!$B$11+Annahmen!$B$13*Annahmen!$B$22)+AU55*(Annahmen!$B$12+Annahmen!$B$14*Annahmen!$B$23)+AU56*Annahmen!$B$16)*$D$7</f>
        <v>86032.2416163121</v>
      </c>
      <c r="AV58" s="37" t="n">
        <f aca="false">(AV53*Annahmen!$B$10+AV54*(Annahmen!$B$11+Annahmen!$B$13*Annahmen!$B$22)+AV55*(Annahmen!$B$12+Annahmen!$B$14*Annahmen!$B$23)+AV56*Annahmen!$B$16)*$D$7</f>
        <v>88252.7698932606</v>
      </c>
      <c r="AW58" s="37" t="n">
        <f aca="false">(AW53*Annahmen!$B$10+AW54*(Annahmen!$B$11+Annahmen!$B$13*Annahmen!$B$22)+AW55*(Annahmen!$B$12+Annahmen!$B$14*Annahmen!$B$23)+AW56*Annahmen!$B$16)*$D$7</f>
        <v>90395.5117990147</v>
      </c>
      <c r="AX58" s="37" t="n">
        <f aca="false">(AX53*Annahmen!$B$10+AX54*(Annahmen!$B$11+Annahmen!$B$13*Annahmen!$B$22)+AX55*(Annahmen!$B$12+Annahmen!$B$14*Annahmen!$B$23)+AX56*Annahmen!$B$16)*$D$7</f>
        <v>92463.5127467559</v>
      </c>
      <c r="AY58" s="37" t="n">
        <f aca="false">(AY53*Annahmen!$B$10+AY54*(Annahmen!$B$11+Annahmen!$B$13*Annahmen!$B$22)+AY55*(Annahmen!$B$12+Annahmen!$B$14*Annahmen!$B$23)+AY56*Annahmen!$B$16)*$D$7</f>
        <v>95653.3459905845</v>
      </c>
      <c r="AZ58" s="37" t="n">
        <f aca="false">(AZ53*Annahmen!$B$10+AZ54*(Annahmen!$B$11+Annahmen!$B$13*Annahmen!$B$22)+AZ55*(Annahmen!$B$12+Annahmen!$B$14*Annahmen!$B$23)+AZ56*Annahmen!$B$16)*$D$7</f>
        <v>98728.1894357568</v>
      </c>
      <c r="BA58" s="37" t="n">
        <f aca="false">(BA53*Annahmen!$B$10+BA54*(Annahmen!$B$11+Annahmen!$B$13*Annahmen!$B$22)+BA55*(Annahmen!$B$12+Annahmen!$B$14*Annahmen!$B$23)+BA56*Annahmen!$B$16)*$D$7</f>
        <v>101692.681703402</v>
      </c>
      <c r="BB58" s="37" t="n">
        <f aca="false">(BB53*Annahmen!$B$10+BB54*(Annahmen!$B$11+Annahmen!$B$13*Annahmen!$B$22)+BB55*(Annahmen!$B$12+Annahmen!$B$14*Annahmen!$B$23)+BB56*Annahmen!$B$16)*$D$7</f>
        <v>104551.254442266</v>
      </c>
      <c r="BC58" s="37" t="n">
        <f aca="false">(BC53*Annahmen!$B$10+BC54*(Annahmen!$B$11+Annahmen!$B$13*Annahmen!$B$22)+BC55*(Annahmen!$B$12+Annahmen!$B$14*Annahmen!$B$23)+BC56*Annahmen!$B$16)*$D$7</f>
        <v>107308.142351324</v>
      </c>
      <c r="BD58" s="37" t="n">
        <f aca="false">(BD53*Annahmen!$B$10+BD54*(Annahmen!$B$11+Annahmen!$B$13*Annahmen!$B$22)+BD55*(Annahmen!$B$12+Annahmen!$B$14*Annahmen!$B$23)+BD56*Annahmen!$B$16)*$D$7</f>
        <v>109967.392685857</v>
      </c>
      <c r="BE58" s="37" t="n">
        <f aca="false">(BE53*Annahmen!$B$10+BE54*(Annahmen!$B$11+Annahmen!$B$13*Annahmen!$B$22)+BE55*(Annahmen!$B$12+Annahmen!$B$14*Annahmen!$B$23)+BE56*Annahmen!$B$16)*$D$7</f>
        <v>112532.874274888</v>
      </c>
      <c r="BF58" s="37" t="n">
        <f aca="false">(BF53*Annahmen!$B$10+BF54*(Annahmen!$B$11+Annahmen!$B$13*Annahmen!$B$22)+BF55*(Annahmen!$B$12+Annahmen!$B$14*Annahmen!$B$23)+BF56*Annahmen!$B$16)*$D$7</f>
        <v>115008.286076254</v>
      </c>
      <c r="BG58" s="37" t="n">
        <f aca="false">(BG53*Annahmen!$B$10+BG54*(Annahmen!$B$11+Annahmen!$B$13*Annahmen!$B$22)+BG55*(Annahmen!$B$12+Annahmen!$B$14*Annahmen!$B$23)+BG56*Annahmen!$B$16)*$D$7</f>
        <v>117397.165294179</v>
      </c>
      <c r="BH58" s="37" t="n">
        <f aca="false">(BH53*Annahmen!$B$10+BH54*(Annahmen!$B$11+Annahmen!$B$13*Annahmen!$B$22)+BH55*(Annahmen!$B$12+Annahmen!$B$14*Annahmen!$B$23)+BH56*Annahmen!$B$16)*$D$7</f>
        <v>119702.895082805</v>
      </c>
      <c r="BI58" s="37" t="n">
        <f aca="false">(BI53*Annahmen!$B$10+BI54*(Annahmen!$B$11+Annahmen!$B$13*Annahmen!$B$22)+BI55*(Annahmen!$B$12+Annahmen!$B$14*Annahmen!$B$23)+BI56*Annahmen!$B$16)*$D$7</f>
        <v>121928.711857841</v>
      </c>
      <c r="BJ58" s="37" t="n">
        <f aca="false">(BJ53*Annahmen!$B$10+BJ54*(Annahmen!$B$11+Annahmen!$B$13*Annahmen!$B$22)+BJ55*(Annahmen!$B$12+Annahmen!$B$14*Annahmen!$B$23)+BJ56*Annahmen!$B$16)*$D$7</f>
        <v>124077.712237265</v>
      </c>
    </row>
    <row r="59" customFormat="false" ht="15" hidden="false" customHeight="false" outlineLevel="0" collapsed="false">
      <c r="B59" s="5" t="s">
        <v>228</v>
      </c>
      <c r="C59" s="37" t="n">
        <f aca="false">C58*(1-Annahmen!$B$27)+C$21*$E$7*Annahmen!$B$21*Annahmen!$B$24*Annahmen!$B$15*$D$7</f>
        <v>1028.635616</v>
      </c>
      <c r="D59" s="37" t="n">
        <f aca="false">D58*(1-Annahmen!$B$27)+D$21*$E$7*Annahmen!$B$21*Annahmen!$B$24*Annahmen!$B$15*$D$7</f>
        <v>1334.843485616</v>
      </c>
      <c r="E59" s="37" t="n">
        <f aca="false">E58*(1-Annahmen!$B$27)+E$21*$E$7*Annahmen!$B$21*Annahmen!$B$24*Annahmen!$B$15*$D$7</f>
        <v>1629.40991478522</v>
      </c>
      <c r="F59" s="37" t="n">
        <f aca="false">F58*(1-Annahmen!$B$27)+F$21*$E$7*Annahmen!$B$21*Annahmen!$B$24*Annahmen!$B$15*$D$7</f>
        <v>2396.30162794541</v>
      </c>
      <c r="G59" s="37" t="n">
        <f aca="false">G58*(1-Annahmen!$B$27)+G$21*$E$7*Annahmen!$B$21*Annahmen!$B$24*Annahmen!$B$15*$D$7</f>
        <v>2996.14059104492</v>
      </c>
      <c r="H59" s="37" t="n">
        <f aca="false">H58*(1-Annahmen!$B$27)+H$21*$E$7*Annahmen!$B$21*Annahmen!$B$24*Annahmen!$B$15*$D$7</f>
        <v>3573.21744794501</v>
      </c>
      <c r="I59" s="37" t="n">
        <f aca="false">I58*(1-Annahmen!$B$27)+I$21*$E$7*Annahmen!$B$21*Annahmen!$B$24*Annahmen!$B$15*$D$7</f>
        <v>4611.96881183375</v>
      </c>
      <c r="J59" s="37" t="n">
        <f aca="false">J58*(1-Annahmen!$B$27)+J$21*$E$7*Annahmen!$B$21*Annahmen!$B$24*Annahmen!$B$15*$D$7</f>
        <v>5473.4647372494</v>
      </c>
      <c r="K59" s="37" t="n">
        <f aca="false">K58*(1-Annahmen!$B$27)+K$21*$E$7*Annahmen!$B$21*Annahmen!$B$24*Annahmen!$B$15*$D$7</f>
        <v>6302.42324478694</v>
      </c>
      <c r="L59" s="37" t="n">
        <f aca="false">L58*(1-Annahmen!$B$27)+L$21*$E$7*Annahmen!$B$21*Annahmen!$B$24*Annahmen!$B$15*$D$7</f>
        <v>7583.68864344171</v>
      </c>
      <c r="M59" s="37" t="n">
        <f aca="false">M58*(1-Annahmen!$B$27)+M$21*$E$7*Annahmen!$B$21*Annahmen!$B$24*Annahmen!$B$15*$D$7</f>
        <v>8678.71997933413</v>
      </c>
      <c r="N59" s="37" t="n">
        <f aca="false">N58*(1-Annahmen!$B$27)+N$21*$E$7*Annahmen!$B$21*Annahmen!$B$24*Annahmen!$B$15*$D$7</f>
        <v>9732.60648585827</v>
      </c>
      <c r="O59" s="37" t="n">
        <f aca="false">O58*(1-Annahmen!$B$27)+O$21*$E$7*Annahmen!$B$21*Annahmen!$B$24*Annahmen!$B$15*$D$7</f>
        <v>11391.7044830097</v>
      </c>
      <c r="P59" s="37" t="n">
        <f aca="false">P58*(1-Annahmen!$B$27)+P$21*$E$7*Annahmen!$B$21*Annahmen!$B$24*Annahmen!$B$15*$D$7</f>
        <v>12804.5283604804</v>
      </c>
      <c r="Q59" s="37" t="n">
        <f aca="false">Q58*(1-Annahmen!$B$27)+Q$21*$E$7*Annahmen!$B$21*Annahmen!$B$24*Annahmen!$B$15*$D$7</f>
        <v>14164.437578063</v>
      </c>
      <c r="R59" s="37" t="n">
        <f aca="false">R58*(1-Annahmen!$B$27)+R$21*$E$7*Annahmen!$B$21*Annahmen!$B$24*Annahmen!$B$15*$D$7</f>
        <v>16118.2753461695</v>
      </c>
      <c r="S59" s="37" t="n">
        <f aca="false">S58*(1-Annahmen!$B$27)+S$21*$E$7*Annahmen!$B$21*Annahmen!$B$24*Annahmen!$B$15*$D$7</f>
        <v>17815.0207608329</v>
      </c>
      <c r="T59" s="37" t="n">
        <f aca="false">T58*(1-Annahmen!$B$27)+T$21*$E$7*Annahmen!$B$21*Annahmen!$B$24*Annahmen!$B$15*$D$7</f>
        <v>19448.4768958048</v>
      </c>
      <c r="U59" s="37" t="n">
        <f aca="false">U58*(1-Annahmen!$B$27)+U$21*$E$7*Annahmen!$B$21*Annahmen!$B$24*Annahmen!$B$15*$D$7</f>
        <v>21665.9105178367</v>
      </c>
      <c r="V59" s="37" t="n">
        <f aca="false">V58*(1-Annahmen!$B$27)+V$21*$E$7*Annahmen!$B$21*Annahmen!$B$24*Annahmen!$B$15*$D$7</f>
        <v>23616.7052026093</v>
      </c>
      <c r="W59" s="37" t="n">
        <f aca="false">W58*(1-Annahmen!$B$27)+W$21*$E$7*Annahmen!$B$21*Annahmen!$B$24*Annahmen!$B$15*$D$7</f>
        <v>25495.050356848</v>
      </c>
      <c r="X59" s="37" t="n">
        <f aca="false">X58*(1-Annahmen!$B$27)+X$21*$E$7*Annahmen!$B$21*Annahmen!$B$24*Annahmen!$B$15*$D$7</f>
        <v>27948.5818154701</v>
      </c>
      <c r="Y59" s="37" t="n">
        <f aca="false">Y58*(1-Annahmen!$B$27)+Y$21*$E$7*Annahmen!$B$21*Annahmen!$B$24*Annahmen!$B$15*$D$7</f>
        <v>30127.0357938361</v>
      </c>
      <c r="Z59" s="37" t="n">
        <f aca="false">Z58*(1-Annahmen!$B$27)+Z$21*$E$7*Annahmen!$B$21*Annahmen!$B$24*Annahmen!$B$15*$D$7</f>
        <v>32224.9387030998</v>
      </c>
      <c r="AA59" s="37" t="n">
        <f aca="false">AA58*(1-Annahmen!$B$27)+AA$21*$E$7*Annahmen!$B$21*Annahmen!$B$24*Annahmen!$B$15*$D$7</f>
        <v>34567.9330998292</v>
      </c>
      <c r="AB59" s="37" t="n">
        <f aca="false">AB58*(1-Annahmen!$B$27)+AB$21*$E$7*Annahmen!$B$21*Annahmen!$B$24*Annahmen!$B$15*$D$7</f>
        <v>36732.6289457604</v>
      </c>
      <c r="AC59" s="37" t="n">
        <f aca="false">AC58*(1-Annahmen!$B$27)+AC$21*$E$7*Annahmen!$B$21*Annahmen!$B$24*Annahmen!$B$15*$D$7</f>
        <v>38817.9525757466</v>
      </c>
      <c r="AD59" s="37" t="n">
        <f aca="false">AD58*(1-Annahmen!$B$27)+AD$21*$E$7*Annahmen!$B$21*Annahmen!$B$24*Annahmen!$B$15*$D$7</f>
        <v>41310.6289216382</v>
      </c>
      <c r="AE59" s="37" t="n">
        <f aca="false">AE58*(1-Annahmen!$B$27)+AE$21*$E$7*Annahmen!$B$21*Annahmen!$B$24*Annahmen!$B$15*$D$7</f>
        <v>43573.9141978915</v>
      </c>
      <c r="AF59" s="37" t="n">
        <f aca="false">AF58*(1-Annahmen!$B$27)+AF$21*$E$7*Annahmen!$B$21*Annahmen!$B$24*Annahmen!$B$15*$D$7</f>
        <v>45754.6153707731</v>
      </c>
      <c r="AG59" s="37" t="n">
        <f aca="false">AG58*(1-Annahmen!$B$27)+AG$21*$E$7*Annahmen!$B$21*Annahmen!$B$24*Annahmen!$B$15*$D$7</f>
        <v>48339.5731706373</v>
      </c>
      <c r="AH59" s="37" t="n">
        <f aca="false">AH58*(1-Annahmen!$B$27)+AH$21*$E$7*Annahmen!$B$21*Annahmen!$B$24*Annahmen!$B$15*$D$7</f>
        <v>50692.1549897384</v>
      </c>
      <c r="AI59" s="37" t="n">
        <f aca="false">AI58*(1-Annahmen!$B$27)+AI$21*$E$7*Annahmen!$B$21*Annahmen!$B$24*Annahmen!$B$15*$D$7</f>
        <v>52959.2745535745</v>
      </c>
      <c r="AJ59" s="37" t="n">
        <f aca="false">AJ58*(1-Annahmen!$B$27)+AJ$21*$E$7*Annahmen!$B$21*Annahmen!$B$24*Annahmen!$B$15*$D$7</f>
        <v>55789.0328257481</v>
      </c>
      <c r="AK59" s="37" t="n">
        <f aca="false">AK58*(1-Annahmen!$B$27)+AK$21*$E$7*Annahmen!$B$21*Annahmen!$B$24*Annahmen!$B$15*$D$7</f>
        <v>58331.6127924875</v>
      </c>
      <c r="AL59" s="37" t="n">
        <f aca="false">AL58*(1-Annahmen!$B$27)+AL$21*$E$7*Annahmen!$B$21*Annahmen!$B$24*Annahmen!$B$15*$D$7</f>
        <v>60781.9700712818</v>
      </c>
      <c r="AM59" s="37" t="n">
        <f aca="false">AM58*(1-Annahmen!$B$27)+AM$21*$E$7*Annahmen!$B$21*Annahmen!$B$24*Annahmen!$B$15*$D$7</f>
        <v>63949.6327167451</v>
      </c>
      <c r="AN59" s="37" t="n">
        <f aca="false">AN58*(1-Annahmen!$B$27)+AN$21*$E$7*Annahmen!$B$21*Annahmen!$B$24*Annahmen!$B$15*$D$7</f>
        <v>66771.7583110155</v>
      </c>
      <c r="AO59" s="37" t="n">
        <f aca="false">AO58*(1-Annahmen!$B$27)+AO$21*$E$7*Annahmen!$B$21*Annahmen!$B$24*Annahmen!$B$15*$D$7</f>
        <v>69491.4959065064</v>
      </c>
      <c r="AP59" s="37" t="n">
        <f aca="false">AP58*(1-Annahmen!$B$27)+AP$21*$E$7*Annahmen!$B$21*Annahmen!$B$24*Annahmen!$B$15*$D$7</f>
        <v>72112.9989084896</v>
      </c>
      <c r="AQ59" s="37" t="n">
        <f aca="false">AQ58*(1-Annahmen!$B$27)+AQ$21*$E$7*Annahmen!$B$21*Annahmen!$B$24*Annahmen!$B$15*$D$7</f>
        <v>74640.2346079429</v>
      </c>
      <c r="AR59" s="37" t="n">
        <f aca="false">AR58*(1-Annahmen!$B$27)+AR$21*$E$7*Annahmen!$B$21*Annahmen!$B$24*Annahmen!$B$15*$D$7</f>
        <v>77076.9932209264</v>
      </c>
      <c r="AS59" s="37" t="n">
        <f aca="false">AS58*(1-Annahmen!$B$27)+AS$21*$E$7*Annahmen!$B$21*Annahmen!$B$24*Annahmen!$B$15*$D$7</f>
        <v>79426.8964611877</v>
      </c>
      <c r="AT59" s="37" t="n">
        <f aca="false">AT58*(1-Annahmen!$B$27)+AT$21*$E$7*Annahmen!$B$21*Annahmen!$B$24*Annahmen!$B$15*$D$7</f>
        <v>81693.4056712087</v>
      </c>
      <c r="AU59" s="37" t="n">
        <f aca="false">AU58*(1-Annahmen!$B$27)+AU$21*$E$7*Annahmen!$B$21*Annahmen!$B$24*Annahmen!$B$15*$D$7</f>
        <v>83879.8295354965</v>
      </c>
      <c r="AV59" s="37" t="n">
        <f aca="false">AV58*(1-Annahmen!$B$27)+AV$21*$E$7*Annahmen!$B$21*Annahmen!$B$24*Annahmen!$B$15*$D$7</f>
        <v>85989.3313985976</v>
      </c>
      <c r="AW59" s="37" t="n">
        <f aca="false">AW58*(1-Annahmen!$B$27)+AW$21*$E$7*Annahmen!$B$21*Annahmen!$B$24*Annahmen!$B$15*$D$7</f>
        <v>88024.9362090639</v>
      </c>
      <c r="AX59" s="37" t="n">
        <f aca="false">AX58*(1-Annahmen!$B$27)+AX$21*$E$7*Annahmen!$B$21*Annahmen!$B$24*Annahmen!$B$15*$D$7</f>
        <v>89989.5371094181</v>
      </c>
      <c r="AY59" s="37" t="n">
        <f aca="false">AY58*(1-Annahmen!$B$27)+AY$21*$E$7*Annahmen!$B$21*Annahmen!$B$24*Annahmen!$B$15*$D$7</f>
        <v>93497.4786910553</v>
      </c>
      <c r="AZ59" s="37" t="n">
        <f aca="false">AZ58*(1-Annahmen!$B$27)+AZ$21*$E$7*Annahmen!$B$21*Annahmen!$B$24*Annahmen!$B$15*$D$7</f>
        <v>96418.5799639689</v>
      </c>
      <c r="BA59" s="37" t="n">
        <f aca="false">BA58*(1-Annahmen!$B$27)+BA$21*$E$7*Annahmen!$B$21*Annahmen!$B$24*Annahmen!$B$15*$D$7</f>
        <v>99234.8476182315</v>
      </c>
      <c r="BB59" s="37" t="n">
        <f aca="false">BB58*(1-Annahmen!$B$27)+BB$21*$E$7*Annahmen!$B$21*Annahmen!$B$24*Annahmen!$B$15*$D$7</f>
        <v>101950.491720153</v>
      </c>
      <c r="BC59" s="37" t="n">
        <f aca="false">BC58*(1-Annahmen!$B$27)+BC$21*$E$7*Annahmen!$B$21*Annahmen!$B$24*Annahmen!$B$15*$D$7</f>
        <v>104569.535233758</v>
      </c>
      <c r="BD59" s="37" t="n">
        <f aca="false">BD58*(1-Annahmen!$B$27)+BD$21*$E$7*Annahmen!$B$21*Annahmen!$B$24*Annahmen!$B$15*$D$7</f>
        <v>107095.823051564</v>
      </c>
      <c r="BE59" s="37" t="n">
        <f aca="false">BE58*(1-Annahmen!$B$27)+BE$21*$E$7*Annahmen!$B$21*Annahmen!$B$24*Annahmen!$B$15*$D$7</f>
        <v>109533.030561144</v>
      </c>
      <c r="BF59" s="37" t="n">
        <f aca="false">BF58*(1-Annahmen!$B$27)+BF$21*$E$7*Annahmen!$B$21*Annahmen!$B$24*Annahmen!$B$15*$D$7</f>
        <v>111884.671772441</v>
      </c>
      <c r="BG59" s="37" t="n">
        <f aca="false">BG58*(1-Annahmen!$B$27)+BG$21*$E$7*Annahmen!$B$21*Annahmen!$B$24*Annahmen!$B$15*$D$7</f>
        <v>114154.10702947</v>
      </c>
      <c r="BH59" s="37" t="n">
        <f aca="false">BH58*(1-Annahmen!$B$27)+BH$21*$E$7*Annahmen!$B$21*Annahmen!$B$24*Annahmen!$B$15*$D$7</f>
        <v>116344.550328664</v>
      </c>
      <c r="BI59" s="37" t="n">
        <f aca="false">BI58*(1-Annahmen!$B$27)+BI$21*$E$7*Annahmen!$B$21*Annahmen!$B$24*Annahmen!$B$15*$D$7</f>
        <v>118459.076264949</v>
      </c>
      <c r="BJ59" s="37" t="n">
        <f aca="false">BJ58*(1-Annahmen!$B$27)+BJ$21*$E$7*Annahmen!$B$21*Annahmen!$B$24*Annahmen!$B$15*$D$7</f>
        <v>120500.626625402</v>
      </c>
    </row>
    <row r="60" customFormat="false" ht="15" hidden="false" customHeight="false" outlineLevel="0" collapsed="false">
      <c r="B60" s="5" t="s">
        <v>239</v>
      </c>
      <c r="C60" s="37" t="n">
        <f aca="false">C53*Annahmen!$B$52+C54*Annahmen!$B$53+C55*Annahmen!$B$54+C59*Annahmen!$B$55+C57*Annahmen!$B$56+C59*INDEX(Annahmen!$B$58:$F$58,1,C$20)*Annahmen!$B$57+C$21*$E$7*Annahmen!$B$21*Annahmen!$B$24*Annahmen!$B$59</f>
        <v>35.480944928</v>
      </c>
      <c r="D60" s="37" t="n">
        <f aca="false">D53*Annahmen!$B$52+D54*Annahmen!$B$53+D55*Annahmen!$B$54+D59*Annahmen!$B$55+D57*Annahmen!$B$56+D59*INDEX(Annahmen!$B$58:$F$58,1,D$20)*Annahmen!$B$57+D$21*$E$7*Annahmen!$B$21*Annahmen!$B$24*Annahmen!$B$59</f>
        <v>43.594926844928</v>
      </c>
      <c r="E60" s="37" t="n">
        <f aca="false">E53*Annahmen!$B$52+E54*Annahmen!$B$53+E55*Annahmen!$B$54+E59*Annahmen!$B$55+E57*Annahmen!$B$56+E59*INDEX(Annahmen!$B$58:$F$58,1,E$20)*Annahmen!$B$57+E$21*$E$7*Annahmen!$B$21*Annahmen!$B$24*Annahmen!$B$59</f>
        <v>51.3888908392417</v>
      </c>
      <c r="F60" s="37" t="n">
        <f aca="false">F53*Annahmen!$B$52+F54*Annahmen!$B$53+F55*Annahmen!$B$54+F59*Annahmen!$B$55+F57*Annahmen!$B$56+F59*INDEX(Annahmen!$B$58:$F$58,1,F$20)*Annahmen!$B$57+F$21*$E$7*Annahmen!$B$21*Annahmen!$B$24*Annahmen!$B$59</f>
        <v>79.8747044217803</v>
      </c>
      <c r="G60" s="37" t="n">
        <f aca="false">G53*Annahmen!$B$52+G54*Annahmen!$B$53+G55*Annahmen!$B$54+G59*Annahmen!$B$55+G57*Annahmen!$B$56+G59*INDEX(Annahmen!$B$58:$F$58,1,G$20)*Annahmen!$B$57+G$21*$E$7*Annahmen!$B$21*Annahmen!$B$24*Annahmen!$B$59</f>
        <v>95.7600992447087</v>
      </c>
      <c r="H60" s="37" t="n">
        <f aca="false">H53*Annahmen!$B$52+H54*Annahmen!$B$53+H55*Annahmen!$B$54+H59*Annahmen!$B$55+H57*Annahmen!$B$56+H59*INDEX(Annahmen!$B$58:$F$58,1,H$20)*Annahmen!$B$57+H$21*$E$7*Annahmen!$B$21*Annahmen!$B$24*Annahmen!$B$59</f>
        <v>111.020178025614</v>
      </c>
      <c r="I60" s="37" t="n">
        <f aca="false">I53*Annahmen!$B$52+I54*Annahmen!$B$53+I55*Annahmen!$B$54+I59*Annahmen!$B$55+I57*Annahmen!$B$56+I59*INDEX(Annahmen!$B$58:$F$58,1,I$20)*Annahmen!$B$57+I$21*$E$7*Annahmen!$B$21*Annahmen!$B$24*Annahmen!$B$59</f>
        <v>146.680196683711</v>
      </c>
      <c r="J60" s="37" t="n">
        <f aca="false">J53*Annahmen!$B$52+J54*Annahmen!$B$53+J55*Annahmen!$B$54+J59*Annahmen!$B$55+J57*Annahmen!$B$56+J59*INDEX(Annahmen!$B$58:$F$58,1,J$20)*Annahmen!$B$57+J$21*$E$7*Annahmen!$B$21*Annahmen!$B$24*Annahmen!$B$59</f>
        <v>169.46063291449</v>
      </c>
      <c r="K60" s="37" t="n">
        <f aca="false">K53*Annahmen!$B$52+K54*Annahmen!$B$53+K55*Annahmen!$B$54+K59*Annahmen!$B$55+K57*Annahmen!$B$56+K59*INDEX(Annahmen!$B$58:$F$58,1,K$20)*Annahmen!$B$57+K$21*$E$7*Annahmen!$B$21*Annahmen!$B$24*Annahmen!$B$59</f>
        <v>191.348726087894</v>
      </c>
      <c r="L60" s="37" t="n">
        <f aca="false">L53*Annahmen!$B$52+L54*Annahmen!$B$53+L55*Annahmen!$B$54+L59*Annahmen!$B$55+L57*Annahmen!$B$56+L59*INDEX(Annahmen!$B$58:$F$58,1,L$20)*Annahmen!$B$57+L$21*$E$7*Annahmen!$B$21*Annahmen!$B$24*Annahmen!$B$59</f>
        <v>233.381290581993</v>
      </c>
      <c r="M60" s="37" t="n">
        <f aca="false">M53*Annahmen!$B$52+M54*Annahmen!$B$53+M55*Annahmen!$B$54+M59*Annahmen!$B$55+M57*Annahmen!$B$56+M59*INDEX(Annahmen!$B$58:$F$58,1,M$20)*Annahmen!$B$57+M$21*$E$7*Annahmen!$B$21*Annahmen!$B$24*Annahmen!$B$59</f>
        <v>262.289813877524</v>
      </c>
      <c r="N60" s="37" t="n">
        <f aca="false">N53*Annahmen!$B$52+N54*Annahmen!$B$53+N55*Annahmen!$B$54+N59*Annahmen!$B$55+N57*Annahmen!$B$56+N59*INDEX(Annahmen!$B$58:$F$58,1,N$20)*Annahmen!$B$57+N$21*$E$7*Annahmen!$B$21*Annahmen!$B$24*Annahmen!$B$59</f>
        <v>290.072024391747</v>
      </c>
      <c r="O60" s="37" t="n">
        <f aca="false">O53*Annahmen!$B$52+O54*Annahmen!$B$53+O55*Annahmen!$B$54+O59*Annahmen!$B$55+O57*Annahmen!$B$56+O59*INDEX(Annahmen!$B$58:$F$58,1,O$20)*Annahmen!$B$57+O$21*$E$7*Annahmen!$B$21*Annahmen!$B$24*Annahmen!$B$59</f>
        <v>629.566604926887</v>
      </c>
      <c r="P60" s="37" t="n">
        <f aca="false">P53*Annahmen!$B$52+P54*Annahmen!$B$53+P55*Annahmen!$B$54+P59*Annahmen!$B$55+P57*Annahmen!$B$56+P59*INDEX(Annahmen!$B$58:$F$58,1,P$20)*Annahmen!$B$57+P$21*$E$7*Annahmen!$B$21*Annahmen!$B$24*Annahmen!$B$59</f>
        <v>702.148050052473</v>
      </c>
      <c r="Q60" s="37" t="n">
        <f aca="false">Q53*Annahmen!$B$52+Q54*Annahmen!$B$53+Q55*Annahmen!$B$54+Q59*Annahmen!$B$55+Q57*Annahmen!$B$56+Q59*INDEX(Annahmen!$B$58:$F$58,1,Q$20)*Annahmen!$B$57+Q$21*$E$7*Annahmen!$B$21*Annahmen!$B$24*Annahmen!$B$59</f>
        <v>771.959763465951</v>
      </c>
      <c r="R60" s="37" t="n">
        <f aca="false">R53*Annahmen!$B$52+R54*Annahmen!$B$53+R55*Annahmen!$B$54+R59*Annahmen!$B$55+R57*Annahmen!$B$56+R59*INDEX(Annahmen!$B$58:$F$58,1,R$20)*Annahmen!$B$57+R$21*$E$7*Annahmen!$B$21*Annahmen!$B$24*Annahmen!$B$59</f>
        <v>883.232659015985</v>
      </c>
      <c r="S60" s="37" t="n">
        <f aca="false">S53*Annahmen!$B$52+S54*Annahmen!$B$53+S55*Annahmen!$B$54+S59*Annahmen!$B$55+S57*Annahmen!$B$56+S59*INDEX(Annahmen!$B$58:$F$58,1,S$20)*Annahmen!$B$57+S$21*$E$7*Annahmen!$B$21*Annahmen!$B$24*Annahmen!$B$59</f>
        <v>970.343449710981</v>
      </c>
      <c r="T60" s="37" t="n">
        <f aca="false">T53*Annahmen!$B$52+T54*Annahmen!$B$53+T55*Annahmen!$B$54+T59*Annahmen!$B$55+T57*Annahmen!$B$56+T59*INDEX(Annahmen!$B$58:$F$58,1,T$20)*Annahmen!$B$57+T$21*$E$7*Annahmen!$B$21*Annahmen!$B$24*Annahmen!$B$59</f>
        <v>1054.14396512088</v>
      </c>
      <c r="U60" s="37" t="n">
        <f aca="false">U53*Annahmen!$B$52+U54*Annahmen!$B$53+U55*Annahmen!$B$54+U59*Annahmen!$B$55+U57*Annahmen!$B$56+U59*INDEX(Annahmen!$B$58:$F$58,1,U$20)*Annahmen!$B$57+U$21*$E$7*Annahmen!$B$21*Annahmen!$B$24*Annahmen!$B$59</f>
        <v>1178.88762064629</v>
      </c>
      <c r="V60" s="37" t="n">
        <f aca="false">V53*Annahmen!$B$52+V54*Annahmen!$B$53+V55*Annahmen!$B$54+V59*Annahmen!$B$55+V57*Annahmen!$B$56+V59*INDEX(Annahmen!$B$58:$F$58,1,V$20)*Annahmen!$B$57+V$21*$E$7*Annahmen!$B$21*Annahmen!$B$24*Annahmen!$B$59</f>
        <v>1278.97259837398</v>
      </c>
      <c r="W60" s="37" t="n">
        <f aca="false">W53*Annahmen!$B$52+W54*Annahmen!$B$53+W55*Annahmen!$B$54+W59*Annahmen!$B$55+W57*Annahmen!$B$56+W59*INDEX(Annahmen!$B$58:$F$58,1,W$20)*Annahmen!$B$57+W$21*$E$7*Annahmen!$B$21*Annahmen!$B$24*Annahmen!$B$59</f>
        <v>1375.27121563324</v>
      </c>
      <c r="X60" s="37" t="n">
        <f aca="false">X53*Annahmen!$B$52+X54*Annahmen!$B$53+X55*Annahmen!$B$54+X59*Annahmen!$B$55+X57*Annahmen!$B$56+X59*INDEX(Annahmen!$B$58:$F$58,1,X$20)*Annahmen!$B$57+X$21*$E$7*Annahmen!$B$21*Annahmen!$B$24*Annahmen!$B$59</f>
        <v>1512.05644273623</v>
      </c>
      <c r="Y60" s="37" t="n">
        <f aca="false">Y53*Annahmen!$B$52+Y54*Annahmen!$B$53+Y55*Annahmen!$B$54+Y59*Annahmen!$B$55+Y57*Annahmen!$B$56+Y59*INDEX(Annahmen!$B$58:$F$58,1,Y$20)*Annahmen!$B$57+Y$21*$E$7*Annahmen!$B$21*Annahmen!$B$24*Annahmen!$B$59</f>
        <v>1623.74512976791</v>
      </c>
      <c r="Z60" s="37" t="n">
        <f aca="false">Z53*Annahmen!$B$52+Z54*Annahmen!$B$53+Z55*Annahmen!$B$54+Z59*Annahmen!$B$55+Z57*Annahmen!$B$56+Z59*INDEX(Annahmen!$B$58:$F$58,1,Z$20)*Annahmen!$B$57+Z$21*$E$7*Annahmen!$B$21*Annahmen!$B$24*Annahmen!$B$59</f>
        <v>1731.22741867865</v>
      </c>
      <c r="AA60" s="37" t="n">
        <f aca="false">AA53*Annahmen!$B$52+AA54*Annahmen!$B$53+AA55*Annahmen!$B$54+AA59*Annahmen!$B$55+AA57*Annahmen!$B$56+AA59*INDEX(Annahmen!$B$58:$F$58,1,AA$20)*Annahmen!$B$57+AA$21*$E$7*Annahmen!$B$21*Annahmen!$B$24*Annahmen!$B$59</f>
        <v>2720.93522158879</v>
      </c>
      <c r="AB60" s="37" t="n">
        <f aca="false">AB53*Annahmen!$B$52+AB54*Annahmen!$B$53+AB55*Annahmen!$B$54+AB59*Annahmen!$B$55+AB57*Annahmen!$B$56+AB59*INDEX(Annahmen!$B$58:$F$58,1,AB$20)*Annahmen!$B$57+AB$21*$E$7*Annahmen!$B$21*Annahmen!$B$24*Annahmen!$B$59</f>
        <v>2885.89031645691</v>
      </c>
      <c r="AC60" s="37" t="n">
        <f aca="false">AC53*Annahmen!$B$52+AC54*Annahmen!$B$53+AC55*Annahmen!$B$54+AC59*Annahmen!$B$55+AC57*Annahmen!$B$56+AC59*INDEX(Annahmen!$B$58:$F$58,1,AC$20)*Annahmen!$B$57+AC$21*$E$7*Annahmen!$B$21*Annahmen!$B$24*Annahmen!$B$59</f>
        <v>3044.72274789688</v>
      </c>
      <c r="AD60" s="37" t="n">
        <f aca="false">AD53*Annahmen!$B$52+AD54*Annahmen!$B$53+AD55*Annahmen!$B$54+AD59*Annahmen!$B$55+AD57*Annahmen!$B$56+AD59*INDEX(Annahmen!$B$58:$F$58,1,AD$20)*Annahmen!$B$57+AD$21*$E$7*Annahmen!$B$21*Annahmen!$B$24*Annahmen!$B$59</f>
        <v>3242.85813519431</v>
      </c>
      <c r="AE60" s="37" t="n">
        <f aca="false">AE53*Annahmen!$B$52+AE54*Annahmen!$B$53+AE55*Annahmen!$B$54+AE59*Annahmen!$B$55+AE57*Annahmen!$B$56+AE59*INDEX(Annahmen!$B$58:$F$58,1,AE$20)*Annahmen!$B$57+AE$21*$E$7*Annahmen!$B$21*Annahmen!$B$24*Annahmen!$B$59</f>
        <v>3415.24091890636</v>
      </c>
      <c r="AF60" s="37" t="n">
        <f aca="false">AF53*Annahmen!$B$52+AF54*Annahmen!$B$53+AF55*Annahmen!$B$54+AF59*Annahmen!$B$55+AF57*Annahmen!$B$56+AF59*INDEX(Annahmen!$B$58:$F$58,1,AF$20)*Annahmen!$B$57+AF$21*$E$7*Annahmen!$B$21*Annahmen!$B$24*Annahmen!$B$59</f>
        <v>3581.2570221296</v>
      </c>
      <c r="AG60" s="37" t="n">
        <f aca="false">AG53*Annahmen!$B$52+AG54*Annahmen!$B$53+AG55*Annahmen!$B$54+AG59*Annahmen!$B$55+AG57*Annahmen!$B$56+AG59*INDEX(Annahmen!$B$58:$F$58,1,AG$20)*Annahmen!$B$57+AG$21*$E$7*Annahmen!$B$21*Annahmen!$B$24*Annahmen!$B$59</f>
        <v>3786.34095455334</v>
      </c>
      <c r="AH60" s="37" t="n">
        <f aca="false">AH53*Annahmen!$B$52+AH54*Annahmen!$B$53+AH55*Annahmen!$B$54+AH59*Annahmen!$B$55+AH57*Annahmen!$B$56+AH59*INDEX(Annahmen!$B$58:$F$58,1,AH$20)*Annahmen!$B$57+AH$21*$E$7*Annahmen!$B$21*Annahmen!$B$24*Annahmen!$B$59</f>
        <v>3965.44568817543</v>
      </c>
      <c r="AI60" s="37" t="n">
        <f aca="false">AI53*Annahmen!$B$52+AI54*Annahmen!$B$53+AI55*Annahmen!$B$54+AI59*Annahmen!$B$55+AI57*Annahmen!$B$56+AI59*INDEX(Annahmen!$B$58:$F$58,1,AI$20)*Annahmen!$B$57+AI$21*$E$7*Annahmen!$B$21*Annahmen!$B$24*Annahmen!$B$59</f>
        <v>4137.96533446289</v>
      </c>
      <c r="AJ60" s="37" t="n">
        <f aca="false">AJ53*Annahmen!$B$52+AJ54*Annahmen!$B$53+AJ55*Annahmen!$B$54+AJ59*Annahmen!$B$55+AJ57*Annahmen!$B$56+AJ59*INDEX(Annahmen!$B$58:$F$58,1,AJ$20)*Annahmen!$B$57+AJ$21*$E$7*Annahmen!$B$21*Annahmen!$B$24*Annahmen!$B$59</f>
        <v>4364.39941013843</v>
      </c>
      <c r="AK60" s="37" t="n">
        <f aca="false">AK53*Annahmen!$B$52+AK54*Annahmen!$B$53+AK55*Annahmen!$B$54+AK59*Annahmen!$B$55+AK57*Annahmen!$B$56+AK59*INDEX(Annahmen!$B$58:$F$58,1,AK$20)*Annahmen!$B$57+AK$21*$E$7*Annahmen!$B$21*Annahmen!$B$24*Annahmen!$B$59</f>
        <v>4557.94239809368</v>
      </c>
      <c r="AL60" s="37" t="n">
        <f aca="false">AL53*Annahmen!$B$52+AL54*Annahmen!$B$53+AL55*Annahmen!$B$54+AL59*Annahmen!$B$55+AL57*Annahmen!$B$56+AL59*INDEX(Annahmen!$B$58:$F$58,1,AL$20)*Annahmen!$B$57+AL$21*$E$7*Annahmen!$B$21*Annahmen!$B$24*Annahmen!$B$59</f>
        <v>4744.38046708852</v>
      </c>
      <c r="AM60" s="37" t="n">
        <f aca="false">AM53*Annahmen!$B$52+AM54*Annahmen!$B$53+AM55*Annahmen!$B$54+AM59*Annahmen!$B$55+AM57*Annahmen!$B$56+AM59*INDEX(Annahmen!$B$58:$F$58,1,AM$20)*Annahmen!$B$57+AM$21*$E$7*Annahmen!$B$21*Annahmen!$B$24*Annahmen!$B$59</f>
        <v>5798.66167934468</v>
      </c>
      <c r="AN60" s="37" t="n">
        <f aca="false">AN53*Annahmen!$B$52+AN54*Annahmen!$B$53+AN55*Annahmen!$B$54+AN59*Annahmen!$B$55+AN57*Annahmen!$B$56+AN59*INDEX(Annahmen!$B$58:$F$58,1,AN$20)*Annahmen!$B$57+AN$21*$E$7*Annahmen!$B$21*Annahmen!$B$24*Annahmen!$B$59</f>
        <v>6048.77028448467</v>
      </c>
      <c r="AO60" s="37" t="n">
        <f aca="false">AO53*Annahmen!$B$52+AO54*Annahmen!$B$53+AO55*Annahmen!$B$54+AO59*Annahmen!$B$55+AO57*Annahmen!$B$56+AO59*INDEX(Annahmen!$B$58:$F$58,1,AO$20)*Annahmen!$B$57+AO$21*$E$7*Annahmen!$B$21*Annahmen!$B$24*Annahmen!$B$59</f>
        <v>6289.71040768044</v>
      </c>
      <c r="AP60" s="37" t="n">
        <f aca="false">AP53*Annahmen!$B$52+AP54*Annahmen!$B$53+AP55*Annahmen!$B$54+AP59*Annahmen!$B$55+AP57*Annahmen!$B$56+AP59*INDEX(Annahmen!$B$58:$F$58,1,AP$20)*Annahmen!$B$57+AP$21*$E$7*Annahmen!$B$21*Annahmen!$B$24*Annahmen!$B$59</f>
        <v>6521.85822323164</v>
      </c>
      <c r="AQ60" s="37" t="n">
        <f aca="false">AQ53*Annahmen!$B$52+AQ54*Annahmen!$B$53+AQ55*Annahmen!$B$54+AQ59*Annahmen!$B$55+AQ57*Annahmen!$B$56+AQ59*INDEX(Annahmen!$B$58:$F$58,1,AQ$20)*Annahmen!$B$57+AQ$21*$E$7*Annahmen!$B$21*Annahmen!$B$24*Annahmen!$B$59</f>
        <v>6745.57286228243</v>
      </c>
      <c r="AR60" s="37" t="n">
        <f aca="false">AR53*Annahmen!$B$52+AR54*Annahmen!$B$53+AR55*Annahmen!$B$54+AR59*Annahmen!$B$55+AR57*Annahmen!$B$56+AR59*INDEX(Annahmen!$B$58:$F$58,1,AR$20)*Annahmen!$B$57+AR$21*$E$7*Annahmen!$B$21*Annahmen!$B$24*Annahmen!$B$59</f>
        <v>6961.19724864069</v>
      </c>
      <c r="AS60" s="37" t="n">
        <f aca="false">AS53*Annahmen!$B$52+AS54*Annahmen!$B$53+AS55*Annahmen!$B$54+AS59*Annahmen!$B$55+AS57*Annahmen!$B$56+AS59*INDEX(Annahmen!$B$58:$F$58,1,AS$20)*Annahmen!$B$57+AS$21*$E$7*Annahmen!$B$21*Annahmen!$B$24*Annahmen!$B$59</f>
        <v>7169.05889109514</v>
      </c>
      <c r="AT60" s="37" t="n">
        <f aca="false">AT53*Annahmen!$B$52+AT54*Annahmen!$B$53+AT55*Annahmen!$B$54+AT59*Annahmen!$B$55+AT57*Annahmen!$B$56+AT59*INDEX(Annahmen!$B$58:$F$58,1,AT$20)*Annahmen!$B$57+AT$21*$E$7*Annahmen!$B$21*Annahmen!$B$24*Annahmen!$B$59</f>
        <v>7369.47063459444</v>
      </c>
      <c r="AU60" s="37" t="n">
        <f aca="false">AU53*Annahmen!$B$52+AU54*Annahmen!$B$53+AU55*Annahmen!$B$54+AU59*Annahmen!$B$55+AU57*Annahmen!$B$56+AU59*INDEX(Annahmen!$B$58:$F$58,1,AU$20)*Annahmen!$B$57+AU$21*$E$7*Annahmen!$B$21*Annahmen!$B$24*Annahmen!$B$59</f>
        <v>7562.73137251968</v>
      </c>
      <c r="AV60" s="37" t="n">
        <f aca="false">AV53*Annahmen!$B$52+AV54*Annahmen!$B$53+AV55*Annahmen!$B$54+AV59*Annahmen!$B$55+AV57*Annahmen!$B$56+AV59*INDEX(Annahmen!$B$58:$F$58,1,AV$20)*Annahmen!$B$57+AV$21*$E$7*Annahmen!$B$21*Annahmen!$B$24*Annahmen!$B$59</f>
        <v>7749.12672215709</v>
      </c>
      <c r="AW60" s="37" t="n">
        <f aca="false">AW53*Annahmen!$B$52+AW54*Annahmen!$B$53+AW55*Annahmen!$B$54+AW59*Annahmen!$B$55+AW57*Annahmen!$B$56+AW59*INDEX(Annahmen!$B$58:$F$58,1,AW$20)*Annahmen!$B$57+AW$21*$E$7*Annahmen!$B$21*Annahmen!$B$24*Annahmen!$B$59</f>
        <v>7928.92966535971</v>
      </c>
      <c r="AX60" s="37" t="n">
        <f aca="false">AX53*Annahmen!$B$52+AX54*Annahmen!$B$53+AX55*Annahmen!$B$54+AX59*Annahmen!$B$55+AX57*Annahmen!$B$56+AX59*INDEX(Annahmen!$B$58:$F$58,1,AX$20)*Annahmen!$B$57+AX$21*$E$7*Annahmen!$B$21*Annahmen!$B$24*Annahmen!$B$59</f>
        <v>8102.40115627611</v>
      </c>
      <c r="AY60" s="37" t="n">
        <f aca="false">AY53*Annahmen!$B$52+AY54*Annahmen!$B$53+AY55*Annahmen!$B$54+AY59*Annahmen!$B$55+AY57*Annahmen!$B$56+AY59*INDEX(Annahmen!$B$58:$F$58,1,AY$20)*Annahmen!$B$57+AY$21*$E$7*Annahmen!$B$21*Annahmen!$B$24*Annahmen!$B$59</f>
        <v>9609.22536005735</v>
      </c>
      <c r="AZ60" s="37" t="n">
        <f aca="false">AZ53*Annahmen!$B$52+AZ54*Annahmen!$B$53+AZ55*Annahmen!$B$54+AZ59*Annahmen!$B$55+AZ57*Annahmen!$B$56+AZ59*INDEX(Annahmen!$B$58:$F$58,1,AZ$20)*Annahmen!$B$57+AZ$21*$E$7*Annahmen!$B$21*Annahmen!$B$24*Annahmen!$B$59</f>
        <v>9904.39695205522</v>
      </c>
      <c r="BA60" s="37" t="n">
        <f aca="false">BA53*Annahmen!$B$52+BA54*Annahmen!$B$53+BA55*Annahmen!$B$54+BA59*Annahmen!$B$55+BA57*Annahmen!$B$56+BA59*INDEX(Annahmen!$B$58:$F$58,1,BA$20)*Annahmen!$B$57+BA$21*$E$7*Annahmen!$B$21*Annahmen!$B$24*Annahmen!$B$59</f>
        <v>10188.8799542778</v>
      </c>
      <c r="BB60" s="37" t="n">
        <f aca="false">BB53*Annahmen!$B$52+BB54*Annahmen!$B$53+BB55*Annahmen!$B$54+BB59*Annahmen!$B$55+BB57*Annahmen!$B$56+BB59*INDEX(Annahmen!$B$58:$F$58,1,BB$20)*Annahmen!$B$57+BB$21*$E$7*Annahmen!$B$21*Annahmen!$B$24*Annahmen!$B$59</f>
        <v>10463.1079186288</v>
      </c>
      <c r="BC60" s="37" t="n">
        <f aca="false">BC53*Annahmen!$B$52+BC54*Annahmen!$B$53+BC55*Annahmen!$B$54+BC59*Annahmen!$B$55+BC57*Annahmen!$B$56+BC59*INDEX(Annahmen!$B$58:$F$58,1,BC$20)*Annahmen!$B$57+BC$21*$E$7*Annahmen!$B$21*Annahmen!$B$24*Annahmen!$B$59</f>
        <v>10727.494939923</v>
      </c>
      <c r="BD60" s="37" t="n">
        <f aca="false">BD53*Annahmen!$B$52+BD54*Annahmen!$B$53+BD55*Annahmen!$B$54+BD59*Annahmen!$B$55+BD57*Annahmen!$B$56+BD59*INDEX(Annahmen!$B$58:$F$58,1,BD$20)*Annahmen!$B$57+BD$21*$E$7*Annahmen!$B$21*Annahmen!$B$24*Annahmen!$B$59</f>
        <v>10982.436603179</v>
      </c>
      <c r="BE60" s="37" t="n">
        <f aca="false">BE53*Annahmen!$B$52+BE54*Annahmen!$B$53+BE55*Annahmen!$B$54+BE59*Annahmen!$B$55+BE57*Annahmen!$B$56+BE59*INDEX(Annahmen!$B$58:$F$58,1,BE$20)*Annahmen!$B$57+BE$21*$E$7*Annahmen!$B$21*Annahmen!$B$24*Annahmen!$B$59</f>
        <v>11228.3108818691</v>
      </c>
      <c r="BF60" s="37" t="n">
        <f aca="false">BF53*Annahmen!$B$52+BF54*Annahmen!$B$53+BF55*Annahmen!$B$54+BF59*Annahmen!$B$55+BF57*Annahmen!$B$56+BF59*INDEX(Annahmen!$B$58:$F$58,1,BF$20)*Annahmen!$B$57+BF$21*$E$7*Annahmen!$B$21*Annahmen!$B$24*Annahmen!$B$59</f>
        <v>11465.4789897812</v>
      </c>
      <c r="BG60" s="37" t="n">
        <f aca="false">BG53*Annahmen!$B$52+BG54*Annahmen!$B$53+BG55*Annahmen!$B$54+BG59*Annahmen!$B$55+BG57*Annahmen!$B$56+BG59*INDEX(Annahmen!$B$58:$F$58,1,BG$20)*Annahmen!$B$57+BG$21*$E$7*Annahmen!$B$21*Annahmen!$B$24*Annahmen!$B$59</f>
        <v>11694.2861889994</v>
      </c>
      <c r="BH60" s="37" t="n">
        <f aca="false">BH53*Annahmen!$B$52+BH54*Annahmen!$B$53+BH55*Annahmen!$B$54+BH59*Annahmen!$B$55+BH57*Annahmen!$B$56+BH59*INDEX(Annahmen!$B$58:$F$58,1,BH$20)*Annahmen!$B$57+BH$21*$E$7*Annahmen!$B$21*Annahmen!$B$24*Annahmen!$B$59</f>
        <v>11915.0625563709</v>
      </c>
      <c r="BI60" s="37" t="n">
        <f aca="false">BI53*Annahmen!$B$52+BI54*Annahmen!$B$53+BI55*Annahmen!$B$54+BI59*Annahmen!$B$55+BI57*Annahmen!$B$56+BI59*INDEX(Annahmen!$B$58:$F$58,1,BI$20)*Annahmen!$B$57+BI$21*$E$7*Annahmen!$B$21*Annahmen!$B$24*Annahmen!$B$59</f>
        <v>12128.1237106924</v>
      </c>
      <c r="BJ60" s="37" t="n">
        <f aca="false">BJ53*Annahmen!$B$52+BJ54*Annahmen!$B$53+BJ55*Annahmen!$B$54+BJ59*Annahmen!$B$55+BJ57*Annahmen!$B$56+BJ59*INDEX(Annahmen!$B$58:$F$58,1,BJ$20)*Annahmen!$B$57+BJ$21*$E$7*Annahmen!$B$21*Annahmen!$B$24*Annahmen!$B$59</f>
        <v>12333.7715027282</v>
      </c>
    </row>
    <row r="61" customFormat="false" ht="15" hidden="false" customHeight="false" outlineLevel="0" collapsed="false">
      <c r="B61" s="5" t="s">
        <v>267</v>
      </c>
      <c r="C61" s="37" t="n">
        <f aca="false">C59-C60-C$22</f>
        <v>-15966.845328928</v>
      </c>
      <c r="D61" s="37" t="n">
        <f aca="false">D59-D60-D$22</f>
        <v>-5868.75144122893</v>
      </c>
      <c r="E61" s="37" t="n">
        <f aca="false">E59-E60-E$22</f>
        <v>-6381.97897605403</v>
      </c>
      <c r="F61" s="37" t="n">
        <f aca="false">F59-F60-F$22</f>
        <v>-13843.5730764764</v>
      </c>
      <c r="G61" s="37" t="n">
        <f aca="false">G59-G60-G$22</f>
        <v>-4259.61950819979</v>
      </c>
      <c r="H61" s="37" t="n">
        <f aca="false">H59-H60-H$22</f>
        <v>-3697.80273008061</v>
      </c>
      <c r="I61" s="37" t="n">
        <f aca="false">I59-I60-I$22</f>
        <v>-9132.71138484996</v>
      </c>
      <c r="J61" s="37" t="n">
        <f aca="false">J59-J60-J$22</f>
        <v>-6493.99589566509</v>
      </c>
      <c r="K61" s="37" t="n">
        <f aca="false">K59-K60-K$22</f>
        <v>-5686.92548130095</v>
      </c>
      <c r="L61" s="37" t="n">
        <f aca="false">L59-L60-L$22</f>
        <v>-15079.6926471403</v>
      </c>
      <c r="M61" s="37" t="n">
        <f aca="false">M59-M60-M$22</f>
        <v>-9713.5698345434</v>
      </c>
      <c r="N61" s="37" t="n">
        <f aca="false">N59-N60-N$22</f>
        <v>-8687.46553853347</v>
      </c>
      <c r="O61" s="37" t="n">
        <f aca="false">O59-O60-O$22</f>
        <v>-22633.1021219172</v>
      </c>
      <c r="P61" s="37" t="n">
        <f aca="false">P59-P60-P$22</f>
        <v>-17692.8596895721</v>
      </c>
      <c r="Q61" s="37" t="n">
        <f aca="false">Q59-Q60-Q$22</f>
        <v>-23402.7621854029</v>
      </c>
      <c r="R61" s="37" t="n">
        <f aca="false">R59-R60-R$22</f>
        <v>-14560.1973128465</v>
      </c>
      <c r="S61" s="37" t="n">
        <f aca="false">S59-S60-S$22</f>
        <v>-12950.5626888781</v>
      </c>
      <c r="T61" s="37" t="n">
        <f aca="false">T59-T60-T$22</f>
        <v>-11400.907069316</v>
      </c>
      <c r="U61" s="37" t="n">
        <f aca="false">U59-U60-U$22</f>
        <v>-9308.2171028096</v>
      </c>
      <c r="V61" s="37" t="n">
        <f aca="false">V59-V60-V$22</f>
        <v>-7457.50739576465</v>
      </c>
      <c r="W61" s="37" t="n">
        <f aca="false">W59-W60-W$22</f>
        <v>-19675.4608587853</v>
      </c>
      <c r="X61" s="37" t="n">
        <f aca="false">X59-X60-X$22</f>
        <v>-14679.4746272662</v>
      </c>
      <c r="Y61" s="37" t="n">
        <f aca="false">Y59-Y60-Y$22</f>
        <v>-7812.70933593183</v>
      </c>
      <c r="Z61" s="37" t="n">
        <f aca="false">Z59-Z60-Z$22</f>
        <v>-5822.28871557885</v>
      </c>
      <c r="AA61" s="37" t="n">
        <f aca="false">AA59-AA60-AA$22</f>
        <v>-10786.7821217596</v>
      </c>
      <c r="AB61" s="37" t="n">
        <f aca="false">AB59-AB60-AB$22</f>
        <v>-8787.04137069656</v>
      </c>
      <c r="AC61" s="37" t="n">
        <f aca="false">AC59-AC60-AC$22</f>
        <v>-6860.55017215026</v>
      </c>
      <c r="AD61" s="37" t="n">
        <f aca="false">AD59-AD60-AD$22</f>
        <v>-26284.0274135562</v>
      </c>
      <c r="AE61" s="37" t="n">
        <f aca="false">AE59-AE60-AE$22</f>
        <v>-7393.12492101486</v>
      </c>
      <c r="AF61" s="37" t="n">
        <f aca="false">AF59-AF60-AF$22</f>
        <v>-5378.43985135647</v>
      </c>
      <c r="AG61" s="37" t="n">
        <f aca="false">AG59-AG60-AG$22</f>
        <v>-9973.32198391609</v>
      </c>
      <c r="AH61" s="37" t="n">
        <f aca="false">AH59-AH60-AH$22</f>
        <v>-5999.84489843701</v>
      </c>
      <c r="AI61" s="37" t="n">
        <f aca="false">AI59-AI60-AI$22</f>
        <v>-3905.24498088839</v>
      </c>
      <c r="AJ61" s="37" t="n">
        <f aca="false">AJ59-AJ60-AJ$22</f>
        <v>-5301.92078439037</v>
      </c>
      <c r="AK61" s="37" t="n">
        <f aca="false">AK59-AK60-AK$22</f>
        <v>1047.11619439379</v>
      </c>
      <c r="AL61" s="37" t="n">
        <f aca="false">AL59-AL60-AL$22</f>
        <v>3311.03540419327</v>
      </c>
      <c r="AM61" s="37" t="n">
        <f aca="false">AM59-AM60-AM$22</f>
        <v>-16799.2966205996</v>
      </c>
      <c r="AN61" s="37" t="n">
        <f aca="false">AN59-AN60-AN$22</f>
        <v>-10627.2796314692</v>
      </c>
      <c r="AO61" s="37" t="n">
        <f aca="false">AO59-AO60-AO$22</f>
        <v>-18148.4821591741</v>
      </c>
      <c r="AP61" s="37" t="n">
        <f aca="false">AP59-AP60-AP$22</f>
        <v>-5759.12697274206</v>
      </c>
      <c r="AQ61" s="37" t="n">
        <f aca="false">AQ59-AQ60-AQ$22</f>
        <v>-3455.6059123395</v>
      </c>
      <c r="AR61" s="37" t="n">
        <f aca="false">AR59-AR60-AR$22</f>
        <v>-1234.47168571431</v>
      </c>
      <c r="AS61" s="37" t="n">
        <f aca="false">AS59-AS60-AS$22</f>
        <v>-5956.78883390741</v>
      </c>
      <c r="AT61" s="37" t="n">
        <f aca="false">AT59-AT60-AT$22</f>
        <v>-2090.69136738571</v>
      </c>
      <c r="AU61" s="37" t="n">
        <f aca="false">AU59-AU60-AU$22</f>
        <v>-18097.5282410232</v>
      </c>
      <c r="AV61" s="37" t="n">
        <f aca="false">AV59-AV60-AV$22</f>
        <v>1825.57827244047</v>
      </c>
      <c r="AW61" s="37" t="n">
        <f aca="false">AW59-AW60-AW$22</f>
        <v>3681.38013970421</v>
      </c>
      <c r="AX61" s="37" t="n">
        <f aca="false">AX59-AX60-AX$22</f>
        <v>5472.50954914202</v>
      </c>
      <c r="AY61" s="37" t="n">
        <f aca="false">AY59-AY60-AY$22</f>
        <v>-11776.0446178421</v>
      </c>
      <c r="AZ61" s="37" t="n">
        <f aca="false">AZ59-AZ60-AZ$22</f>
        <v>-5550.1149369263</v>
      </c>
      <c r="BA61" s="37" t="n">
        <f aca="false">BA59-BA60-BA$22</f>
        <v>-3018.33028488638</v>
      </c>
      <c r="BB61" s="37" t="n">
        <f aca="false">BB59-BB60-BB$22</f>
        <v>-18576.9141473158</v>
      </c>
      <c r="BC61" s="37" t="n">
        <f aca="false">BC59-BC60-BC$22</f>
        <v>1777.74234499449</v>
      </c>
      <c r="BD61" s="37" t="n">
        <f aca="false">BD59-BD60-BD$22</f>
        <v>4049.08849954519</v>
      </c>
      <c r="BE61" s="37" t="n">
        <f aca="false">BE59-BE60-BE$22</f>
        <v>6240.42173043452</v>
      </c>
      <c r="BF61" s="37" t="n">
        <f aca="false">BF59-BF60-BF$22</f>
        <v>8354.89483381994</v>
      </c>
      <c r="BG61" s="37" t="n">
        <f aca="false">BG59-BG60-BG$22</f>
        <v>10395.5228916304</v>
      </c>
      <c r="BH61" s="37" t="n">
        <f aca="false">BH59-BH60-BH$22</f>
        <v>7365.18982345349</v>
      </c>
      <c r="BI61" s="37" t="n">
        <f aca="false">BI59-BI60-BI$22</f>
        <v>14266.6546054161</v>
      </c>
      <c r="BJ61" s="37" t="n">
        <f aca="false">BJ59-BJ60-BJ$22</f>
        <v>16102.557173834</v>
      </c>
    </row>
    <row r="62" customFormat="false" ht="15" hidden="false" customHeight="false" outlineLevel="0" collapsed="false">
      <c r="B62" s="5" t="s">
        <v>401</v>
      </c>
      <c r="C62" s="37" t="n">
        <f aca="false">0+C61-C$23-C$24</f>
        <v>-16383.5119955947</v>
      </c>
      <c r="D62" s="37" t="n">
        <f aca="false">C62+D61-D$23-D$24</f>
        <v>-22668.9301034903</v>
      </c>
      <c r="E62" s="37" t="n">
        <f aca="false">D62+E61-E$23-E$24</f>
        <v>-29467.575746211</v>
      </c>
      <c r="F62" s="37" t="n">
        <f aca="false">E62+F61-F$23-F$24</f>
        <v>-43727.815489354</v>
      </c>
      <c r="G62" s="37" t="n">
        <f aca="false">F62+G61-G$23-G$24</f>
        <v>-48404.1016642204</v>
      </c>
      <c r="H62" s="37" t="n">
        <f aca="false">G62+H61-H$23-H$24</f>
        <v>-52518.5710609677</v>
      </c>
      <c r="I62" s="37" t="n">
        <f aca="false">H62+I61-I$23-I$24</f>
        <v>-62067.9491124843</v>
      </c>
      <c r="J62" s="37" t="n">
        <f aca="false">I62+J61-J$23-J$24</f>
        <v>-68978.6116748161</v>
      </c>
      <c r="K62" s="37" t="n">
        <f aca="false">J62+K61-K$23-K$24</f>
        <v>-75082.2038227837</v>
      </c>
      <c r="L62" s="37" t="n">
        <f aca="false">K62+L61-L$23-L$24</f>
        <v>-90578.5631365907</v>
      </c>
      <c r="M62" s="37" t="n">
        <f aca="false">L62+M61-M$23-M$24</f>
        <v>-100708.799637801</v>
      </c>
      <c r="N62" s="37" t="n">
        <f aca="false">M62+N61-N$23-N$24</f>
        <v>-109812.931843001</v>
      </c>
      <c r="O62" s="37" t="n">
        <f aca="false">N62+O61-O$23-O$24</f>
        <v>-132862.700631585</v>
      </c>
      <c r="P62" s="37" t="n">
        <f aca="false">O62+P61-P$23-P$24</f>
        <v>-150972.226987823</v>
      </c>
      <c r="Q62" s="37" t="n">
        <f aca="false">P62+Q61-Q$23-Q$24</f>
        <v>-174791.655839893</v>
      </c>
      <c r="R62" s="37" t="n">
        <f aca="false">Q62+R61-R$23-R$24</f>
        <v>-189768.519819406</v>
      </c>
      <c r="S62" s="37" t="n">
        <f aca="false">R62+S61-S$23-S$24</f>
        <v>-203135.749174951</v>
      </c>
      <c r="T62" s="37" t="n">
        <f aca="false">S62+T61-T$23-T$24</f>
        <v>-214953.322910934</v>
      </c>
      <c r="U62" s="37" t="n">
        <f aca="false">T62+U61-U$23-U$24</f>
        <v>-224678.20668041</v>
      </c>
      <c r="V62" s="37" t="n">
        <f aca="false">U62+V61-V$23-V$24</f>
        <v>-232552.380742841</v>
      </c>
      <c r="W62" s="37" t="n">
        <f aca="false">V62+W61-W$23-W$24</f>
        <v>-252644.508268293</v>
      </c>
      <c r="X62" s="37" t="n">
        <f aca="false">W62+X61-X$23-X$24</f>
        <v>-267740.649562226</v>
      </c>
      <c r="Y62" s="37" t="n">
        <f aca="false">X62+Y61-Y$23-Y$24</f>
        <v>-275970.025564824</v>
      </c>
      <c r="Z62" s="37" t="n">
        <f aca="false">Y62+Z61-Z$23-Z$24</f>
        <v>-282208.98094707</v>
      </c>
      <c r="AA62" s="37" t="n">
        <f aca="false">Z62+AA61-AA$23-AA$24</f>
        <v>-294714.51306883</v>
      </c>
      <c r="AB62" s="37" t="n">
        <f aca="false">AA62+AB61-AB$23-AB$24</f>
        <v>-305215.964161748</v>
      </c>
      <c r="AC62" s="37" t="n">
        <f aca="false">AB62+AC61-AC$23-AC$24</f>
        <v>-313786.583778343</v>
      </c>
      <c r="AD62" s="37" t="n">
        <f aca="false">AC62+AD61-AD$23-AD$24</f>
        <v>-341776.340358566</v>
      </c>
      <c r="AE62" s="37" t="n">
        <f aca="false">AD62+AE61-AE$23-AE$24</f>
        <v>-350870.85416847</v>
      </c>
      <c r="AF62" s="37" t="n">
        <f aca="false">AE62+AF61-AF$23-AF$24</f>
        <v>-357946.342630937</v>
      </c>
      <c r="AG62" s="37" t="n">
        <f aca="false">AF62+AG61-AG$23-AG$24</f>
        <v>-369612.372948187</v>
      </c>
      <c r="AH62" s="37" t="n">
        <f aca="false">AG62+AH61-AH$23-AH$24</f>
        <v>-377300.585902179</v>
      </c>
      <c r="AI62" s="37" t="n">
        <f aca="false">AH62+AI61-AI$23-AI$24</f>
        <v>-382889.858660845</v>
      </c>
      <c r="AJ62" s="37" t="n">
        <f aca="false">AI62+AJ61-AJ$23-AJ$24</f>
        <v>-389871.466945236</v>
      </c>
      <c r="AK62" s="37" t="n">
        <f aca="false">AJ62+AK61-AK$23-AK$24</f>
        <v>-390499.697973064</v>
      </c>
      <c r="AL62" s="37" t="n">
        <f aca="false">AK62+AL61-AL$23-AL$24</f>
        <v>-388859.669513315</v>
      </c>
      <c r="AM62" s="37" t="n">
        <f aca="false">AL62+AM61-AM$23-AM$24</f>
        <v>-407325.632800581</v>
      </c>
      <c r="AN62" s="37" t="n">
        <f aca="false">AM62+AN61-AN$23-AN$24</f>
        <v>-419615.238820939</v>
      </c>
      <c r="AO62" s="37" t="n">
        <f aca="false">AN62+AO61-AO$23-AO$24</f>
        <v>-439421.707091225</v>
      </c>
      <c r="AP62" s="37" t="n">
        <f aca="false">AO62+AP61-AP$23-AP$24</f>
        <v>-446834.4798973</v>
      </c>
      <c r="AQ62" s="37" t="n">
        <f aca="false">AP62+AQ61-AQ$23-AQ$24</f>
        <v>-451939.391365195</v>
      </c>
      <c r="AR62" s="37" t="n">
        <f aca="false">AQ62+AR61-AR$23-AR$24</f>
        <v>-454818.828328687</v>
      </c>
      <c r="AS62" s="37" t="n">
        <f aca="false">AR62+AS61-AS$23-AS$24</f>
        <v>-462416.242162594</v>
      </c>
      <c r="AT62" s="37" t="n">
        <f aca="false">AS62+AT61-AT$23-AT$24</f>
        <v>-466143.218252202</v>
      </c>
      <c r="AU62" s="37" t="n">
        <f aca="false">AT62+AU61-AU$23-AU$24</f>
        <v>-485872.69093767</v>
      </c>
      <c r="AV62" s="37" t="n">
        <f aca="false">AU62+AV61-AV$23-AV$24</f>
        <v>-485674.716831896</v>
      </c>
      <c r="AW62" s="37" t="n">
        <f aca="false">AV62+AW61-AW$23-AW$24</f>
        <v>-483616.600581081</v>
      </c>
      <c r="AX62" s="37" t="n">
        <f aca="false">AW62+AX61-AX$23-AX$24</f>
        <v>-479763.01464305</v>
      </c>
      <c r="AY62" s="37" t="n">
        <f aca="false">AX62+AY61-AY$23-AY$24</f>
        <v>-493153.642594225</v>
      </c>
      <c r="AZ62" s="37" t="n">
        <f aca="false">AY62+AZ61-AZ$23-AZ$24</f>
        <v>-500314.000586707</v>
      </c>
      <c r="BA62" s="37" t="n">
        <f aca="false">AZ62+BA61-BA$23-BA$24</f>
        <v>-504938.233649371</v>
      </c>
      <c r="BB62" s="37" t="n">
        <f aca="false">BA62+BB61-BB$23-BB$24</f>
        <v>-525116.710296687</v>
      </c>
      <c r="BC62" s="37" t="n">
        <f aca="false">BB62+BC61-BC$23-BC$24</f>
        <v>-524936.190173915</v>
      </c>
      <c r="BD62" s="37" t="n">
        <f aca="false">BC62+BD61-BD$23-BD$24</f>
        <v>-522479.983618814</v>
      </c>
      <c r="BE62" s="37" t="n">
        <f aca="false">BD62+BE61-BE$23-BE$24</f>
        <v>-517828.103555046</v>
      </c>
      <c r="BF62" s="37" t="n">
        <f aca="false">BE62+BF61-BF$23-BF$24</f>
        <v>-511057.410110115</v>
      </c>
      <c r="BG62" s="37" t="n">
        <f aca="false">BF62+BG61-BG$23-BG$24</f>
        <v>-502241.748329596</v>
      </c>
      <c r="BH62" s="37" t="n">
        <f aca="false">BG62+BH61-BH$23-BH$24</f>
        <v>-496452.079339476</v>
      </c>
      <c r="BI62" s="37" t="n">
        <f aca="false">BH62+BI61-BI$23-BI$24</f>
        <v>-483756.605289615</v>
      </c>
      <c r="BJ62" s="37" t="n">
        <f aca="false">BI62+BJ61-BJ$23-BJ$24</f>
        <v>-469220.888393559</v>
      </c>
    </row>
    <row r="63" customFormat="false" ht="15" hidden="false" customHeight="false" outlineLevel="0" collapsed="false">
      <c r="B63" s="5" t="s">
        <v>402</v>
      </c>
      <c r="C63" s="38" t="n">
        <f aca="false">IF(C61&gt;=0,C$19,999)</f>
        <v>999</v>
      </c>
      <c r="D63" s="38" t="n">
        <f aca="false">IF(D61&gt;=0,D$19,999)</f>
        <v>999</v>
      </c>
      <c r="E63" s="38" t="n">
        <f aca="false">IF(E61&gt;=0,E$19,999)</f>
        <v>999</v>
      </c>
      <c r="F63" s="38" t="n">
        <f aca="false">IF(F61&gt;=0,F$19,999)</f>
        <v>999</v>
      </c>
      <c r="G63" s="38" t="n">
        <f aca="false">IF(G61&gt;=0,G$19,999)</f>
        <v>999</v>
      </c>
      <c r="H63" s="38" t="n">
        <f aca="false">IF(H61&gt;=0,H$19,999)</f>
        <v>999</v>
      </c>
      <c r="I63" s="38" t="n">
        <f aca="false">IF(I61&gt;=0,I$19,999)</f>
        <v>999</v>
      </c>
      <c r="J63" s="38" t="n">
        <f aca="false">IF(J61&gt;=0,J$19,999)</f>
        <v>999</v>
      </c>
      <c r="K63" s="38" t="n">
        <f aca="false">IF(K61&gt;=0,K$19,999)</f>
        <v>999</v>
      </c>
      <c r="L63" s="38" t="n">
        <f aca="false">IF(L61&gt;=0,L$19,999)</f>
        <v>999</v>
      </c>
      <c r="M63" s="38" t="n">
        <f aca="false">IF(M61&gt;=0,M$19,999)</f>
        <v>999</v>
      </c>
      <c r="N63" s="38" t="n">
        <f aca="false">IF(N61&gt;=0,N$19,999)</f>
        <v>999</v>
      </c>
      <c r="O63" s="38" t="n">
        <f aca="false">IF(O61&gt;=0,O$19,999)</f>
        <v>999</v>
      </c>
      <c r="P63" s="38" t="n">
        <f aca="false">IF(P61&gt;=0,P$19,999)</f>
        <v>999</v>
      </c>
      <c r="Q63" s="38" t="n">
        <f aca="false">IF(Q61&gt;=0,Q$19,999)</f>
        <v>999</v>
      </c>
      <c r="R63" s="38" t="n">
        <f aca="false">IF(R61&gt;=0,R$19,999)</f>
        <v>999</v>
      </c>
      <c r="S63" s="38" t="n">
        <f aca="false">IF(S61&gt;=0,S$19,999)</f>
        <v>999</v>
      </c>
      <c r="T63" s="38" t="n">
        <f aca="false">IF(T61&gt;=0,T$19,999)</f>
        <v>999</v>
      </c>
      <c r="U63" s="38" t="n">
        <f aca="false">IF(U61&gt;=0,U$19,999)</f>
        <v>999</v>
      </c>
      <c r="V63" s="38" t="n">
        <f aca="false">IF(V61&gt;=0,V$19,999)</f>
        <v>999</v>
      </c>
      <c r="W63" s="38" t="n">
        <f aca="false">IF(W61&gt;=0,W$19,999)</f>
        <v>999</v>
      </c>
      <c r="X63" s="38" t="n">
        <f aca="false">IF(X61&gt;=0,X$19,999)</f>
        <v>999</v>
      </c>
      <c r="Y63" s="38" t="n">
        <f aca="false">IF(Y61&gt;=0,Y$19,999)</f>
        <v>999</v>
      </c>
      <c r="Z63" s="38" t="n">
        <f aca="false">IF(Z61&gt;=0,Z$19,999)</f>
        <v>999</v>
      </c>
      <c r="AA63" s="38" t="n">
        <f aca="false">IF(AA61&gt;=0,AA$19,999)</f>
        <v>999</v>
      </c>
      <c r="AB63" s="38" t="n">
        <f aca="false">IF(AB61&gt;=0,AB$19,999)</f>
        <v>999</v>
      </c>
      <c r="AC63" s="38" t="n">
        <f aca="false">IF(AC61&gt;=0,AC$19,999)</f>
        <v>999</v>
      </c>
      <c r="AD63" s="38" t="n">
        <f aca="false">IF(AD61&gt;=0,AD$19,999)</f>
        <v>999</v>
      </c>
      <c r="AE63" s="38" t="n">
        <f aca="false">IF(AE61&gt;=0,AE$19,999)</f>
        <v>999</v>
      </c>
      <c r="AF63" s="38" t="n">
        <f aca="false">IF(AF61&gt;=0,AF$19,999)</f>
        <v>999</v>
      </c>
      <c r="AG63" s="38" t="n">
        <f aca="false">IF(AG61&gt;=0,AG$19,999)</f>
        <v>999</v>
      </c>
      <c r="AH63" s="38" t="n">
        <f aca="false">IF(AH61&gt;=0,AH$19,999)</f>
        <v>999</v>
      </c>
      <c r="AI63" s="38" t="n">
        <f aca="false">IF(AI61&gt;=0,AI$19,999)</f>
        <v>999</v>
      </c>
      <c r="AJ63" s="38" t="n">
        <f aca="false">IF(AJ61&gt;=0,AJ$19,999)</f>
        <v>999</v>
      </c>
      <c r="AK63" s="38" t="n">
        <f aca="false">IF(AK61&gt;=0,AK$19,999)</f>
        <v>35</v>
      </c>
      <c r="AL63" s="38" t="n">
        <f aca="false">IF(AL61&gt;=0,AL$19,999)</f>
        <v>36</v>
      </c>
      <c r="AM63" s="38" t="n">
        <f aca="false">IF(AM61&gt;=0,AM$19,999)</f>
        <v>999</v>
      </c>
      <c r="AN63" s="38" t="n">
        <f aca="false">IF(AN61&gt;=0,AN$19,999)</f>
        <v>999</v>
      </c>
      <c r="AO63" s="38" t="n">
        <f aca="false">IF(AO61&gt;=0,AO$19,999)</f>
        <v>999</v>
      </c>
      <c r="AP63" s="38" t="n">
        <f aca="false">IF(AP61&gt;=0,AP$19,999)</f>
        <v>999</v>
      </c>
      <c r="AQ63" s="38" t="n">
        <f aca="false">IF(AQ61&gt;=0,AQ$19,999)</f>
        <v>999</v>
      </c>
      <c r="AR63" s="38" t="n">
        <f aca="false">IF(AR61&gt;=0,AR$19,999)</f>
        <v>999</v>
      </c>
      <c r="AS63" s="38" t="n">
        <f aca="false">IF(AS61&gt;=0,AS$19,999)</f>
        <v>999</v>
      </c>
      <c r="AT63" s="38" t="n">
        <f aca="false">IF(AT61&gt;=0,AT$19,999)</f>
        <v>999</v>
      </c>
      <c r="AU63" s="38" t="n">
        <f aca="false">IF(AU61&gt;=0,AU$19,999)</f>
        <v>999</v>
      </c>
      <c r="AV63" s="38" t="n">
        <f aca="false">IF(AV61&gt;=0,AV$19,999)</f>
        <v>46</v>
      </c>
      <c r="AW63" s="38" t="n">
        <f aca="false">IF(AW61&gt;=0,AW$19,999)</f>
        <v>47</v>
      </c>
      <c r="AX63" s="38" t="n">
        <f aca="false">IF(AX61&gt;=0,AX$19,999)</f>
        <v>48</v>
      </c>
      <c r="AY63" s="38" t="n">
        <f aca="false">IF(AY61&gt;=0,AY$19,999)</f>
        <v>999</v>
      </c>
      <c r="AZ63" s="38" t="n">
        <f aca="false">IF(AZ61&gt;=0,AZ$19,999)</f>
        <v>999</v>
      </c>
      <c r="BA63" s="38" t="n">
        <f aca="false">IF(BA61&gt;=0,BA$19,999)</f>
        <v>999</v>
      </c>
      <c r="BB63" s="38" t="n">
        <f aca="false">IF(BB61&gt;=0,BB$19,999)</f>
        <v>999</v>
      </c>
      <c r="BC63" s="38" t="n">
        <f aca="false">IF(BC61&gt;=0,BC$19,999)</f>
        <v>53</v>
      </c>
      <c r="BD63" s="38" t="n">
        <f aca="false">IF(BD61&gt;=0,BD$19,999)</f>
        <v>54</v>
      </c>
      <c r="BE63" s="38" t="n">
        <f aca="false">IF(BE61&gt;=0,BE$19,999)</f>
        <v>55</v>
      </c>
      <c r="BF63" s="38" t="n">
        <f aca="false">IF(BF61&gt;=0,BF$19,999)</f>
        <v>56</v>
      </c>
      <c r="BG63" s="38" t="n">
        <f aca="false">IF(BG61&gt;=0,BG$19,999)</f>
        <v>57</v>
      </c>
      <c r="BH63" s="38" t="n">
        <f aca="false">IF(BH61&gt;=0,BH$19,999)</f>
        <v>58</v>
      </c>
      <c r="BI63" s="38" t="n">
        <f aca="false">IF(BI61&gt;=0,BI$19,999)</f>
        <v>59</v>
      </c>
      <c r="BJ63" s="38" t="n">
        <f aca="false">IF(BJ61&gt;=0,BJ$19,999)</f>
        <v>60</v>
      </c>
    </row>
    <row r="64" customFormat="false" ht="15" hidden="false" customHeight="false" outlineLevel="0" collapsed="false">
      <c r="B64" s="19" t="str">
        <f aca="false">"Szenario "&amp;A8&amp;": "&amp;B8</f>
        <v>Szenario 4: Churn −30 %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</row>
    <row r="65" customFormat="false" ht="15" hidden="false" customHeight="false" outlineLevel="0" collapsed="false">
      <c r="B65" s="5" t="s">
        <v>396</v>
      </c>
      <c r="C65" s="41" t="n">
        <f aca="false">Annahmen!$B$7*Annahmen!$B$19*(1-Annahmen!$B$31*$C$8)+C$21*$E$8*Annahmen!$B$19</f>
        <v>3.9475</v>
      </c>
      <c r="D65" s="41" t="n">
        <f aca="false">C65*(1-Annahmen!$B$31*$C$8)+D$21*$E$8*Annahmen!$B$19</f>
        <v>5.3646025</v>
      </c>
      <c r="E65" s="41" t="n">
        <f aca="false">D65*(1-Annahmen!$B$31*$C$8)+E$21*$E$8*Annahmen!$B$19</f>
        <v>6.7519458475</v>
      </c>
      <c r="F65" s="41" t="n">
        <f aca="false">E65*(1-Annahmen!$B$31*$C$8)+F$21*$E$8*Annahmen!$B$19</f>
        <v>9.6101549847025</v>
      </c>
      <c r="G65" s="41" t="n">
        <f aca="false">F65*(1-Annahmen!$B$31*$C$8)+G$21*$E$8*Annahmen!$B$19</f>
        <v>12.4083417300237</v>
      </c>
      <c r="H65" s="41" t="n">
        <f aca="false">G65*(1-Annahmen!$B$31*$C$8)+H$21*$E$8*Annahmen!$B$19</f>
        <v>15.1477665536932</v>
      </c>
      <c r="I65" s="41" t="n">
        <f aca="false">H65*(1-Annahmen!$B$31*$C$8)+I$21*$E$8*Annahmen!$B$19</f>
        <v>19.3296634560657</v>
      </c>
      <c r="J65" s="41" t="n">
        <f aca="false">I65*(1-Annahmen!$B$31*$C$8)+J$21*$E$8*Annahmen!$B$19</f>
        <v>23.4237405234883</v>
      </c>
      <c r="K65" s="41" t="n">
        <f aca="false">J65*(1-Annahmen!$B$31*$C$8)+K$21*$E$8*Annahmen!$B$19</f>
        <v>27.4318419724951</v>
      </c>
      <c r="L65" s="41" t="n">
        <f aca="false">K65*(1-Annahmen!$B$31*$C$8)+L$21*$E$8*Annahmen!$B$19</f>
        <v>32.8557732910727</v>
      </c>
      <c r="M65" s="41" t="n">
        <f aca="false">L65*(1-Annahmen!$B$31*$C$8)+M$21*$E$8*Annahmen!$B$19</f>
        <v>38.1658020519601</v>
      </c>
      <c r="N65" s="41" t="n">
        <f aca="false">M65*(1-Annahmen!$B$31*$C$8)+N$21*$E$8*Annahmen!$B$19</f>
        <v>43.364320208869</v>
      </c>
      <c r="O65" s="41" t="n">
        <f aca="false">N65*(1-Annahmen!$B$31*$C$8)+O$21*$E$8*Annahmen!$B$19</f>
        <v>50.4536694844827</v>
      </c>
      <c r="P65" s="41" t="n">
        <f aca="false">O65*(1-Annahmen!$B$31*$C$8)+P$21*$E$8*Annahmen!$B$19</f>
        <v>57.3941424253086</v>
      </c>
      <c r="Q65" s="41" t="n">
        <f aca="false">P65*(1-Annahmen!$B$31*$C$8)+Q$21*$E$8*Annahmen!$B$19</f>
        <v>64.1888654343771</v>
      </c>
      <c r="R65" s="41" t="n">
        <f aca="false">Q65*(1-Annahmen!$B$31*$C$8)+R$21*$E$8*Annahmen!$B$19</f>
        <v>72.8408992602552</v>
      </c>
      <c r="S65" s="41" t="n">
        <f aca="false">R65*(1-Annahmen!$B$31*$C$8)+S$21*$E$8*Annahmen!$B$19</f>
        <v>81.3112403757898</v>
      </c>
      <c r="T65" s="41" t="n">
        <f aca="false">S65*(1-Annahmen!$B$31*$C$8)+T$21*$E$8*Annahmen!$B$19</f>
        <v>89.6037043278982</v>
      </c>
      <c r="U65" s="41" t="n">
        <f aca="false">T65*(1-Annahmen!$B$31*$C$8)+U$21*$E$8*Annahmen!$B$19</f>
        <v>99.7220265370124</v>
      </c>
      <c r="V65" s="41" t="n">
        <f aca="false">U65*(1-Annahmen!$B$31*$C$8)+V$21*$E$8*Annahmen!$B$19</f>
        <v>109.627863979735</v>
      </c>
      <c r="W65" s="41" t="n">
        <f aca="false">V65*(1-Annahmen!$B$31*$C$8)+W$21*$E$8*Annahmen!$B$19</f>
        <v>119.325678836161</v>
      </c>
      <c r="X65" s="41" t="n">
        <f aca="false">W65*(1-Annahmen!$B$31*$C$8)+X$21*$E$8*Annahmen!$B$19</f>
        <v>130.819839580601</v>
      </c>
      <c r="Y65" s="41" t="n">
        <f aca="false">X65*(1-Annahmen!$B$31*$C$8)+Y$21*$E$8*Annahmen!$B$19</f>
        <v>142.072622949409</v>
      </c>
      <c r="Z65" s="41" t="n">
        <f aca="false">Y65*(1-Annahmen!$B$31*$C$8)+Z$21*$E$8*Annahmen!$B$19</f>
        <v>153.089097867471</v>
      </c>
      <c r="AA65" s="41" t="n">
        <f aca="false">Z65*(1-Annahmen!$B$31*$C$8)+AA$21*$E$8*Annahmen!$B$19</f>
        <v>164.874226812254</v>
      </c>
      <c r="AB65" s="41" t="n">
        <f aca="false">AA65*(1-Annahmen!$B$31*$C$8)+AB$21*$E$8*Annahmen!$B$19</f>
        <v>176.411868049197</v>
      </c>
      <c r="AC65" s="41" t="n">
        <f aca="false">AB65*(1-Annahmen!$B$31*$C$8)+AC$21*$E$8*Annahmen!$B$19</f>
        <v>187.707218820164</v>
      </c>
      <c r="AD65" s="41" t="n">
        <f aca="false">AC65*(1-Annahmen!$B$31*$C$8)+AD$21*$E$8*Annahmen!$B$19</f>
        <v>200.26536722494</v>
      </c>
      <c r="AE65" s="41" t="n">
        <f aca="false">AD65*(1-Annahmen!$B$31*$C$8)+AE$21*$E$8*Annahmen!$B$19</f>
        <v>212.559794513217</v>
      </c>
      <c r="AF65" s="41" t="n">
        <f aca="false">AE65*(1-Annahmen!$B$31*$C$8)+AF$21*$E$8*Annahmen!$B$19</f>
        <v>224.596038828439</v>
      </c>
      <c r="AG65" s="41" t="n">
        <f aca="false">AF65*(1-Annahmen!$B$31*$C$8)+AG$21*$E$8*Annahmen!$B$19</f>
        <v>237.879522013042</v>
      </c>
      <c r="AH65" s="41" t="n">
        <f aca="false">AG65*(1-Annahmen!$B$31*$C$8)+AH$21*$E$8*Annahmen!$B$19</f>
        <v>250.884052050768</v>
      </c>
      <c r="AI65" s="41" t="n">
        <f aca="false">AH65*(1-Annahmen!$B$31*$C$8)+AI$21*$E$8*Annahmen!$B$19</f>
        <v>263.615486957702</v>
      </c>
      <c r="AJ65" s="41" t="n">
        <f aca="false">AI65*(1-Annahmen!$B$31*$C$8)+AJ$21*$E$8*Annahmen!$B$19</f>
        <v>278.07956173159</v>
      </c>
      <c r="AK65" s="41" t="n">
        <f aca="false">AJ65*(1-Annahmen!$B$31*$C$8)+AK$21*$E$8*Annahmen!$B$19</f>
        <v>292.239890935227</v>
      </c>
      <c r="AL65" s="41" t="n">
        <f aca="false">AK65*(1-Annahmen!$B$31*$C$8)+AL$21*$E$8*Annahmen!$B$19</f>
        <v>306.102853225587</v>
      </c>
      <c r="AM65" s="41" t="n">
        <f aca="false">AL65*(1-Annahmen!$B$31*$C$8)+AM$21*$E$8*Annahmen!$B$19</f>
        <v>322.17469330785</v>
      </c>
      <c r="AN65" s="41" t="n">
        <f aca="false">AM65*(1-Annahmen!$B$31*$C$8)+AN$21*$E$8*Annahmen!$B$19</f>
        <v>337.909024748385</v>
      </c>
      <c r="AO65" s="41" t="n">
        <f aca="false">AN65*(1-Annahmen!$B$31*$C$8)+AO$21*$E$8*Annahmen!$B$19</f>
        <v>353.312935228669</v>
      </c>
      <c r="AP65" s="41" t="n">
        <f aca="false">AO65*(1-Annahmen!$B$31*$C$8)+AP$21*$E$8*Annahmen!$B$19</f>
        <v>368.393363588867</v>
      </c>
      <c r="AQ65" s="41" t="n">
        <f aca="false">AP65*(1-Annahmen!$B$31*$C$8)+AQ$21*$E$8*Annahmen!$B$19</f>
        <v>383.1571029535</v>
      </c>
      <c r="AR65" s="41" t="n">
        <f aca="false">AQ65*(1-Annahmen!$B$31*$C$8)+AR$21*$E$8*Annahmen!$B$19</f>
        <v>397.610803791477</v>
      </c>
      <c r="AS65" s="41" t="n">
        <f aca="false">AR65*(1-Annahmen!$B$31*$C$8)+AS$21*$E$8*Annahmen!$B$19</f>
        <v>411.760976911856</v>
      </c>
      <c r="AT65" s="41" t="n">
        <f aca="false">AS65*(1-Annahmen!$B$31*$C$8)+AT$21*$E$8*Annahmen!$B$19</f>
        <v>425.613996396707</v>
      </c>
      <c r="AU65" s="41" t="n">
        <f aca="false">AT65*(1-Annahmen!$B$31*$C$8)+AU$21*$E$8*Annahmen!$B$19</f>
        <v>439.176102472376</v>
      </c>
      <c r="AV65" s="41" t="n">
        <f aca="false">AU65*(1-Annahmen!$B$31*$C$8)+AV$21*$E$8*Annahmen!$B$19</f>
        <v>452.453404320456</v>
      </c>
      <c r="AW65" s="41" t="n">
        <f aca="false">AV65*(1-Annahmen!$B$31*$C$8)+AW$21*$E$8*Annahmen!$B$19</f>
        <v>465.451882829726</v>
      </c>
      <c r="AX65" s="41" t="n">
        <f aca="false">AW65*(1-Annahmen!$B$31*$C$8)+AX$21*$E$8*Annahmen!$B$19</f>
        <v>478.177393290302</v>
      </c>
      <c r="AY65" s="41" t="n">
        <f aca="false">AX65*(1-Annahmen!$B$31*$C$8)+AY$21*$E$8*Annahmen!$B$19</f>
        <v>495.635668031206</v>
      </c>
      <c r="AZ65" s="41" t="n">
        <f aca="false">AY65*(1-Annahmen!$B$31*$C$8)+AZ$21*$E$8*Annahmen!$B$19</f>
        <v>512.72731900255</v>
      </c>
      <c r="BA65" s="41" t="n">
        <f aca="false">AZ65*(1-Annahmen!$B$31*$C$8)+BA$21*$E$8*Annahmen!$B$19</f>
        <v>529.460045303497</v>
      </c>
      <c r="BB65" s="41" t="n">
        <f aca="false">BA65*(1-Annahmen!$B$31*$C$8)+BB$21*$E$8*Annahmen!$B$19</f>
        <v>545.841384352123</v>
      </c>
      <c r="BC65" s="41" t="n">
        <f aca="false">BB65*(1-Annahmen!$B$31*$C$8)+BC$21*$E$8*Annahmen!$B$19</f>
        <v>561.878715280729</v>
      </c>
      <c r="BD65" s="41" t="n">
        <f aca="false">BC65*(1-Annahmen!$B$31*$C$8)+BD$21*$E$8*Annahmen!$B$19</f>
        <v>577.579262259834</v>
      </c>
      <c r="BE65" s="41" t="n">
        <f aca="false">BD65*(1-Annahmen!$B$31*$C$8)+BE$21*$E$8*Annahmen!$B$19</f>
        <v>592.950097752377</v>
      </c>
      <c r="BF65" s="41" t="n">
        <f aca="false">BE65*(1-Annahmen!$B$31*$C$8)+BF$21*$E$8*Annahmen!$B$19</f>
        <v>607.998145699577</v>
      </c>
      <c r="BG65" s="41" t="n">
        <f aca="false">BF65*(1-Annahmen!$B$31*$C$8)+BG$21*$E$8*Annahmen!$B$19</f>
        <v>622.730184639886</v>
      </c>
      <c r="BH65" s="41" t="n">
        <f aca="false">BG65*(1-Annahmen!$B$31*$C$8)+BH$21*$E$8*Annahmen!$B$19</f>
        <v>637.152850762448</v>
      </c>
      <c r="BI65" s="41" t="n">
        <f aca="false">BH65*(1-Annahmen!$B$31*$C$8)+BI$21*$E$8*Annahmen!$B$19</f>
        <v>651.272640896437</v>
      </c>
      <c r="BJ65" s="41" t="n">
        <f aca="false">BI65*(1-Annahmen!$B$31*$C$8)+BJ$21*$E$8*Annahmen!$B$19</f>
        <v>665.095915437612</v>
      </c>
    </row>
    <row r="66" customFormat="false" ht="15" hidden="false" customHeight="false" outlineLevel="0" collapsed="false">
      <c r="B66" s="5" t="s">
        <v>397</v>
      </c>
      <c r="C66" s="41" t="n">
        <f aca="false">Annahmen!$B$7*Annahmen!$B$20*(1-Annahmen!$B$32*$C$8)+C$21*$E$8*Annahmen!$B$20</f>
        <v>3.0134</v>
      </c>
      <c r="D66" s="41" t="n">
        <f aca="false">C66*(1-Annahmen!$B$32*$C$8)+D$21*$E$8*Annahmen!$B$20</f>
        <v>4.1112124</v>
      </c>
      <c r="E66" s="41" t="n">
        <f aca="false">D66*(1-Annahmen!$B$32*$C$8)+E$21*$E$8*Annahmen!$B$20</f>
        <v>5.1936554264</v>
      </c>
      <c r="F66" s="41" t="n">
        <f aca="false">E66*(1-Annahmen!$B$32*$C$8)+F$21*$E$8*Annahmen!$B$20</f>
        <v>7.4009442504304</v>
      </c>
      <c r="G66" s="41" t="n">
        <f aca="false">F66*(1-Annahmen!$B$32*$C$8)+G$21*$E$8*Annahmen!$B$20</f>
        <v>9.57733103092437</v>
      </c>
      <c r="H66" s="41" t="n">
        <f aca="false">G66*(1-Annahmen!$B$32*$C$8)+H$21*$E$8*Annahmen!$B$20</f>
        <v>11.7232483964914</v>
      </c>
      <c r="I66" s="41" t="n">
        <f aca="false">H66*(1-Annahmen!$B$32*$C$8)+I$21*$E$8*Annahmen!$B$20</f>
        <v>14.9791229189406</v>
      </c>
      <c r="J66" s="41" t="n">
        <f aca="false">I66*(1-Annahmen!$B$32*$C$8)+J$21*$E$8*Annahmen!$B$20</f>
        <v>18.1894151980754</v>
      </c>
      <c r="K66" s="41" t="n">
        <f aca="false">J66*(1-Annahmen!$B$32*$C$8)+K$21*$E$8*Annahmen!$B$20</f>
        <v>21.3547633853023</v>
      </c>
      <c r="L66" s="41" t="n">
        <f aca="false">K66*(1-Annahmen!$B$32*$C$8)+L$21*$E$8*Annahmen!$B$20</f>
        <v>25.6157966979081</v>
      </c>
      <c r="M66" s="41" t="n">
        <f aca="false">L66*(1-Annahmen!$B$32*$C$8)+M$21*$E$8*Annahmen!$B$20</f>
        <v>29.8171755441374</v>
      </c>
      <c r="N66" s="41" t="n">
        <f aca="false">M66*(1-Annahmen!$B$32*$C$8)+N$21*$E$8*Annahmen!$B$20</f>
        <v>33.9597350865195</v>
      </c>
      <c r="O66" s="41" t="n">
        <f aca="false">N66*(1-Annahmen!$B$32*$C$8)+O$21*$E$8*Annahmen!$B$20</f>
        <v>39.5642987953082</v>
      </c>
      <c r="P66" s="41" t="n">
        <f aca="false">O66*(1-Annahmen!$B$32*$C$8)+P$21*$E$8*Annahmen!$B$20</f>
        <v>45.0903986121739</v>
      </c>
      <c r="Q66" s="41" t="n">
        <f aca="false">P66*(1-Annahmen!$B$32*$C$8)+Q$21*$E$8*Annahmen!$B$20</f>
        <v>50.5391330316034</v>
      </c>
      <c r="R66" s="41" t="n">
        <f aca="false">Q66*(1-Annahmen!$B$32*$C$8)+R$21*$E$8*Annahmen!$B$20</f>
        <v>57.431585169161</v>
      </c>
      <c r="S66" s="41" t="n">
        <f aca="false">R66*(1-Annahmen!$B$32*$C$8)+S$21*$E$8*Annahmen!$B$20</f>
        <v>64.2275429767927</v>
      </c>
      <c r="T66" s="41" t="n">
        <f aca="false">S66*(1-Annahmen!$B$32*$C$8)+T$21*$E$8*Annahmen!$B$20</f>
        <v>70.9283573751176</v>
      </c>
      <c r="U66" s="41" t="n">
        <f aca="false">T66*(1-Annahmen!$B$32*$C$8)+U$21*$E$8*Annahmen!$B$20</f>
        <v>79.055360371866</v>
      </c>
      <c r="V66" s="41" t="n">
        <f aca="false">U66*(1-Annahmen!$B$32*$C$8)+V$21*$E$8*Annahmen!$B$20</f>
        <v>87.0685853266599</v>
      </c>
      <c r="W66" s="41" t="n">
        <f aca="false">V66*(1-Annahmen!$B$32*$C$8)+W$21*$E$8*Annahmen!$B$20</f>
        <v>94.9696251320866</v>
      </c>
      <c r="X66" s="41" t="n">
        <f aca="false">W66*(1-Annahmen!$B$32*$C$8)+X$21*$E$8*Annahmen!$B$20</f>
        <v>104.280050380237</v>
      </c>
      <c r="Y66" s="41" t="n">
        <f aca="false">X66*(1-Annahmen!$B$32*$C$8)+Y$21*$E$8*Annahmen!$B$20</f>
        <v>113.460129674914</v>
      </c>
      <c r="Z66" s="41" t="n">
        <f aca="false">Y66*(1-Annahmen!$B$32*$C$8)+Z$21*$E$8*Annahmen!$B$20</f>
        <v>122.511687859465</v>
      </c>
      <c r="AA66" s="41" t="n">
        <f aca="false">Z66*(1-Annahmen!$B$32*$C$8)+AA$21*$E$8*Annahmen!$B$20</f>
        <v>132.196524229433</v>
      </c>
      <c r="AB66" s="41" t="n">
        <f aca="false">AA66*(1-Annahmen!$B$32*$C$8)+AB$21*$E$8*Annahmen!$B$20</f>
        <v>141.745772890221</v>
      </c>
      <c r="AC66" s="41" t="n">
        <f aca="false">AB66*(1-Annahmen!$B$32*$C$8)+AC$21*$E$8*Annahmen!$B$20</f>
        <v>151.161332069758</v>
      </c>
      <c r="AD66" s="41" t="n">
        <f aca="false">AC66*(1-Annahmen!$B$32*$C$8)+AD$21*$E$8*Annahmen!$B$20</f>
        <v>161.585073420781</v>
      </c>
      <c r="AE66" s="41" t="n">
        <f aca="false">AD66*(1-Annahmen!$B$32*$C$8)+AE$21*$E$8*Annahmen!$B$20</f>
        <v>171.86288239289</v>
      </c>
      <c r="AF66" s="41" t="n">
        <f aca="false">AE66*(1-Annahmen!$B$32*$C$8)+AF$21*$E$8*Annahmen!$B$20</f>
        <v>181.99680203939</v>
      </c>
      <c r="AG66" s="41" t="n">
        <f aca="false">AF66*(1-Annahmen!$B$32*$C$8)+AG$21*$E$8*Annahmen!$B$20</f>
        <v>193.128846810838</v>
      </c>
      <c r="AH66" s="41" t="n">
        <f aca="false">AG66*(1-Annahmen!$B$32*$C$8)+AH$21*$E$8*Annahmen!$B$20</f>
        <v>204.105042955486</v>
      </c>
      <c r="AI66" s="41" t="n">
        <f aca="false">AH66*(1-Annahmen!$B$32*$C$8)+AI$21*$E$8*Annahmen!$B$20</f>
        <v>214.92757235411</v>
      </c>
      <c r="AJ66" s="41" t="n">
        <f aca="false">AI66*(1-Annahmen!$B$32*$C$8)+AJ$21*$E$8*Annahmen!$B$20</f>
        <v>227.118586341152</v>
      </c>
      <c r="AK66" s="41" t="n">
        <f aca="false">AJ66*(1-Annahmen!$B$32*$C$8)+AK$21*$E$8*Annahmen!$B$20</f>
        <v>239.138926132376</v>
      </c>
      <c r="AL66" s="41" t="n">
        <f aca="false">AK66*(1-Annahmen!$B$32*$C$8)+AL$21*$E$8*Annahmen!$B$20</f>
        <v>250.990981166523</v>
      </c>
      <c r="AM66" s="41" t="n">
        <f aca="false">AL66*(1-Annahmen!$B$32*$C$8)+AM$21*$E$8*Annahmen!$B$20</f>
        <v>264.577107430191</v>
      </c>
      <c r="AN66" s="41" t="n">
        <f aca="false">AM66*(1-Annahmen!$B$32*$C$8)+AN$21*$E$8*Annahmen!$B$20</f>
        <v>277.973027926169</v>
      </c>
      <c r="AO66" s="41" t="n">
        <f aca="false">AN66*(1-Annahmen!$B$32*$C$8)+AO$21*$E$8*Annahmen!$B$20</f>
        <v>291.181405535202</v>
      </c>
      <c r="AP66" s="41" t="n">
        <f aca="false">AO66*(1-Annahmen!$B$32*$C$8)+AP$21*$E$8*Annahmen!$B$20</f>
        <v>304.20486585771</v>
      </c>
      <c r="AQ66" s="41" t="n">
        <f aca="false">AP66*(1-Annahmen!$B$32*$C$8)+AQ$21*$E$8*Annahmen!$B$20</f>
        <v>317.045997735702</v>
      </c>
      <c r="AR66" s="41" t="n">
        <f aca="false">AQ66*(1-Annahmen!$B$32*$C$8)+AR$21*$E$8*Annahmen!$B$20</f>
        <v>329.707353767402</v>
      </c>
      <c r="AS66" s="41" t="n">
        <f aca="false">AR66*(1-Annahmen!$B$32*$C$8)+AS$21*$E$8*Annahmen!$B$20</f>
        <v>342.191450814658</v>
      </c>
      <c r="AT66" s="41" t="n">
        <f aca="false">AS66*(1-Annahmen!$B$32*$C$8)+AT$21*$E$8*Annahmen!$B$20</f>
        <v>354.500770503253</v>
      </c>
      <c r="AU66" s="41" t="n">
        <f aca="false">AT66*(1-Annahmen!$B$32*$C$8)+AU$21*$E$8*Annahmen!$B$20</f>
        <v>366.637759716208</v>
      </c>
      <c r="AV66" s="41" t="n">
        <f aca="false">AU66*(1-Annahmen!$B$32*$C$8)+AV$21*$E$8*Annahmen!$B$20</f>
        <v>378.604831080181</v>
      </c>
      <c r="AW66" s="41" t="n">
        <f aca="false">AV66*(1-Annahmen!$B$32*$C$8)+AW$21*$E$8*Annahmen!$B$20</f>
        <v>390.404363445058</v>
      </c>
      <c r="AX66" s="41" t="n">
        <f aca="false">AW66*(1-Annahmen!$B$32*$C$8)+AX$21*$E$8*Annahmen!$B$20</f>
        <v>402.038702356827</v>
      </c>
      <c r="AY66" s="41" t="n">
        <f aca="false">AX66*(1-Annahmen!$B$32*$C$8)+AY$21*$E$8*Annahmen!$B$20</f>
        <v>417.310160523832</v>
      </c>
      <c r="AZ66" s="41" t="n">
        <f aca="false">AY66*(1-Annahmen!$B$32*$C$8)+AZ$21*$E$8*Annahmen!$B$20</f>
        <v>432.367818276498</v>
      </c>
      <c r="BA66" s="41" t="n">
        <f aca="false">AZ66*(1-Annahmen!$B$32*$C$8)+BA$21*$E$8*Annahmen!$B$20</f>
        <v>447.214668820627</v>
      </c>
      <c r="BB66" s="41" t="n">
        <f aca="false">BA66*(1-Annahmen!$B$32*$C$8)+BB$21*$E$8*Annahmen!$B$20</f>
        <v>461.853663457138</v>
      </c>
      <c r="BC66" s="41" t="n">
        <f aca="false">BB66*(1-Annahmen!$B$32*$C$8)+BC$21*$E$8*Annahmen!$B$20</f>
        <v>476.287712168738</v>
      </c>
      <c r="BD66" s="41" t="n">
        <f aca="false">BC66*(1-Annahmen!$B$32*$C$8)+BD$21*$E$8*Annahmen!$B$20</f>
        <v>490.519684198376</v>
      </c>
      <c r="BE66" s="41" t="n">
        <f aca="false">BD66*(1-Annahmen!$B$32*$C$8)+BE$21*$E$8*Annahmen!$B$20</f>
        <v>504.552408619599</v>
      </c>
      <c r="BF66" s="41" t="n">
        <f aca="false">BE66*(1-Annahmen!$B$32*$C$8)+BF$21*$E$8*Annahmen!$B$20</f>
        <v>518.388674898924</v>
      </c>
      <c r="BG66" s="41" t="n">
        <f aca="false">BF66*(1-Annahmen!$B$32*$C$8)+BG$21*$E$8*Annahmen!$B$20</f>
        <v>532.031233450339</v>
      </c>
      <c r="BH66" s="41" t="n">
        <f aca="false">BG66*(1-Annahmen!$B$32*$C$8)+BH$21*$E$8*Annahmen!$B$20</f>
        <v>545.482796182035</v>
      </c>
      <c r="BI66" s="41" t="n">
        <f aca="false">BH66*(1-Annahmen!$B$32*$C$8)+BI$21*$E$8*Annahmen!$B$20</f>
        <v>558.746037035486</v>
      </c>
      <c r="BJ66" s="41" t="n">
        <f aca="false">BI66*(1-Annahmen!$B$32*$C$8)+BJ$21*$E$8*Annahmen!$B$20</f>
        <v>571.823592516989</v>
      </c>
    </row>
    <row r="67" customFormat="false" ht="15" hidden="false" customHeight="false" outlineLevel="0" collapsed="false">
      <c r="B67" s="5" t="s">
        <v>398</v>
      </c>
      <c r="C67" s="41" t="n">
        <f aca="false">Annahmen!$B$7*Annahmen!$B$21*(1-Annahmen!$B$33*$C$8)+C$21*$E$8*Annahmen!$B$21</f>
        <v>0.95496</v>
      </c>
      <c r="D67" s="41" t="n">
        <f aca="false">C67*(1-Annahmen!$B$33*$C$8)+D$21*$E$8*Annahmen!$B$21</f>
        <v>1.306938336</v>
      </c>
      <c r="E67" s="41" t="n">
        <f aca="false">D67*(1-Annahmen!$B$33*$C$8)+E$21*$E$8*Annahmen!$B$21</f>
        <v>1.6559600539776</v>
      </c>
      <c r="F67" s="41" t="n">
        <f aca="false">E67*(1-Annahmen!$B$33*$C$8)+F$21*$E$8*Annahmen!$B$21</f>
        <v>2.36204998952419</v>
      </c>
      <c r="G67" s="41" t="n">
        <f aca="false">F67*(1-Annahmen!$B$33*$C$8)+G$21*$E$8*Annahmen!$B$21</f>
        <v>3.06220876961218</v>
      </c>
      <c r="H67" s="41" t="n">
        <f aca="false">G67*(1-Annahmen!$B$33*$C$8)+H$21*$E$8*Annahmen!$B$21</f>
        <v>3.75648621594744</v>
      </c>
      <c r="I67" s="41" t="n">
        <f aca="false">H67*(1-Annahmen!$B$33*$C$8)+I$21*$E$8*Annahmen!$B$21</f>
        <v>4.80493173173348</v>
      </c>
      <c r="J67" s="41" t="n">
        <f aca="false">I67*(1-Annahmen!$B$33*$C$8)+J$21*$E$8*Annahmen!$B$21</f>
        <v>5.84457030518692</v>
      </c>
      <c r="K67" s="41" t="n">
        <f aca="false">J67*(1-Annahmen!$B$33*$C$8)+K$21*$E$8*Annahmen!$B$21</f>
        <v>6.87547591462335</v>
      </c>
      <c r="L67" s="41" t="n">
        <f aca="false">K67*(1-Annahmen!$B$33*$C$8)+L$21*$E$8*Annahmen!$B$21</f>
        <v>8.25772191694052</v>
      </c>
      <c r="M67" s="41" t="n">
        <f aca="false">L67*(1-Annahmen!$B$33*$C$8)+M$21*$E$8*Annahmen!$B$21</f>
        <v>9.62835705283822</v>
      </c>
      <c r="N67" s="41" t="n">
        <f aca="false">M67*(1-Annahmen!$B$33*$C$8)+N$21*$E$8*Annahmen!$B$21</f>
        <v>10.9874788535944</v>
      </c>
      <c r="O67" s="41" t="n">
        <f aca="false">N67*(1-Annahmen!$B$33*$C$8)+O$21*$E$8*Annahmen!$B$21</f>
        <v>12.8151840312242</v>
      </c>
      <c r="P67" s="41" t="n">
        <f aca="false">O67*(1-Annahmen!$B$33*$C$8)+P$21*$E$8*Annahmen!$B$21</f>
        <v>14.6275364853619</v>
      </c>
      <c r="Q67" s="41" t="n">
        <f aca="false">P67*(1-Annahmen!$B$33*$C$8)+Q$21*$E$8*Annahmen!$B$21</f>
        <v>16.4246651788849</v>
      </c>
      <c r="R67" s="41" t="n">
        <f aca="false">Q67*(1-Annahmen!$B$33*$C$8)+R$21*$E$8*Annahmen!$B$21</f>
        <v>18.6866979913822</v>
      </c>
      <c r="S67" s="41" t="n">
        <f aca="false">R67*(1-Annahmen!$B$33*$C$8)+S$21*$E$8*Annahmen!$B$21</f>
        <v>20.9297297282546</v>
      </c>
      <c r="T67" s="41" t="n">
        <f aca="false">S67*(1-Annahmen!$B$33*$C$8)+T$21*$E$8*Annahmen!$B$21</f>
        <v>23.1539199985373</v>
      </c>
      <c r="U67" s="41" t="n">
        <f aca="false">T67*(1-Annahmen!$B$33*$C$8)+U$21*$E$8*Annahmen!$B$21</f>
        <v>25.8394270705496</v>
      </c>
      <c r="V67" s="41" t="n">
        <f aca="false">U67*(1-Annahmen!$B$33*$C$8)+V$21*$E$8*Annahmen!$B$21</f>
        <v>28.5023758831569</v>
      </c>
      <c r="W67" s="41" t="n">
        <f aca="false">V67*(1-Annahmen!$B$33*$C$8)+W$21*$E$8*Annahmen!$B$21</f>
        <v>31.1429559257384</v>
      </c>
      <c r="X67" s="41" t="n">
        <f aca="false">W67*(1-Annahmen!$B$33*$C$8)+X$21*$E$8*Annahmen!$B$21</f>
        <v>34.2413550959622</v>
      </c>
      <c r="Y67" s="41" t="n">
        <f aca="false">X67*(1-Annahmen!$B$33*$C$8)+Y$21*$E$8*Annahmen!$B$21</f>
        <v>37.3137277131562</v>
      </c>
      <c r="Z67" s="41" t="n">
        <f aca="false">Y67*(1-Annahmen!$B$33*$C$8)+Z$21*$E$8*Annahmen!$B$21</f>
        <v>40.3602924003656</v>
      </c>
      <c r="AA67" s="41" t="n">
        <f aca="false">Z67*(1-Annahmen!$B$33*$C$8)+AA$21*$E$8*Annahmen!$B$21</f>
        <v>43.6212659442026</v>
      </c>
      <c r="AB67" s="41" t="n">
        <f aca="false">AA67*(1-Annahmen!$B$33*$C$8)+AB$21*$E$8*Annahmen!$B$21</f>
        <v>46.8548473102713</v>
      </c>
      <c r="AC67" s="41" t="n">
        <f aca="false">AB67*(1-Annahmen!$B$33*$C$8)+AC$21*$E$8*Annahmen!$B$21</f>
        <v>50.061266592865</v>
      </c>
      <c r="AD67" s="41" t="n">
        <f aca="false">AC67*(1-Annahmen!$B$33*$C$8)+AD$21*$E$8*Annahmen!$B$21</f>
        <v>53.6007519534849</v>
      </c>
      <c r="AE67" s="41" t="n">
        <f aca="false">AD67*(1-Annahmen!$B$33*$C$8)+AE$21*$E$8*Annahmen!$B$21</f>
        <v>57.1105056370757</v>
      </c>
      <c r="AF67" s="41" t="n">
        <f aca="false">AE67*(1-Annahmen!$B$33*$C$8)+AF$21*$E$8*Annahmen!$B$21</f>
        <v>60.5907773897242</v>
      </c>
      <c r="AG67" s="41" t="n">
        <f aca="false">AF67*(1-Annahmen!$B$33*$C$8)+AG$21*$E$8*Annahmen!$B$21</f>
        <v>64.4018148596505</v>
      </c>
      <c r="AH67" s="41" t="n">
        <f aca="false">AG67*(1-Annahmen!$B$33*$C$8)+AH$21*$E$8*Annahmen!$B$21</f>
        <v>68.1808396148295</v>
      </c>
      <c r="AI67" s="41" t="n">
        <f aca="false">AH67*(1-Annahmen!$B$33*$C$8)+AI$21*$E$8*Annahmen!$B$21</f>
        <v>71.9281205620649</v>
      </c>
      <c r="AJ67" s="41" t="n">
        <f aca="false">AI67*(1-Annahmen!$B$33*$C$8)+AJ$21*$E$8*Annahmen!$B$21</f>
        <v>76.1239243493436</v>
      </c>
      <c r="AK67" s="41" t="n">
        <f aca="false">AJ67*(1-Annahmen!$B$33*$C$8)+AK$21*$E$8*Annahmen!$B$21</f>
        <v>80.2844833848091</v>
      </c>
      <c r="AL67" s="41" t="n">
        <f aca="false">AK67*(1-Annahmen!$B$33*$C$8)+AL$21*$E$8*Annahmen!$B$21</f>
        <v>84.4100937243767</v>
      </c>
      <c r="AM67" s="41" t="n">
        <f aca="false">AL67*(1-Annahmen!$B$33*$C$8)+AM$21*$E$8*Annahmen!$B$21</f>
        <v>89.1010489370919</v>
      </c>
      <c r="AN67" s="41" t="n">
        <f aca="false">AM67*(1-Annahmen!$B$33*$C$8)+AN$21*$E$8*Annahmen!$B$21</f>
        <v>93.7526001260204</v>
      </c>
      <c r="AO67" s="41" t="n">
        <f aca="false">AN67*(1-Annahmen!$B$33*$C$8)+AO$21*$E$8*Annahmen!$B$21</f>
        <v>98.3650782849618</v>
      </c>
      <c r="AP67" s="41" t="n">
        <f aca="false">AO67*(1-Annahmen!$B$33*$C$8)+AP$21*$E$8*Annahmen!$B$21</f>
        <v>102.938811627368</v>
      </c>
      <c r="AQ67" s="41" t="n">
        <f aca="false">AP67*(1-Annahmen!$B$33*$C$8)+AQ$21*$E$8*Annahmen!$B$21</f>
        <v>107.474125609698</v>
      </c>
      <c r="AR67" s="41" t="n">
        <f aca="false">AQ67*(1-Annahmen!$B$33*$C$8)+AR$21*$E$8*Annahmen!$B$21</f>
        <v>111.971342954577</v>
      </c>
      <c r="AS67" s="41" t="n">
        <f aca="false">AR67*(1-Annahmen!$B$33*$C$8)+AS$21*$E$8*Annahmen!$B$21</f>
        <v>116.430783673758</v>
      </c>
      <c r="AT67" s="41" t="n">
        <f aca="false">AS67*(1-Annahmen!$B$33*$C$8)+AT$21*$E$8*Annahmen!$B$21</f>
        <v>120.852765090899</v>
      </c>
      <c r="AU67" s="41" t="n">
        <f aca="false">AT67*(1-Annahmen!$B$33*$C$8)+AU$21*$E$8*Annahmen!$B$21</f>
        <v>125.237601864135</v>
      </c>
      <c r="AV67" s="41" t="n">
        <f aca="false">AU67*(1-Annahmen!$B$33*$C$8)+AV$21*$E$8*Annahmen!$B$21</f>
        <v>129.585606008477</v>
      </c>
      <c r="AW67" s="41" t="n">
        <f aca="false">AV67*(1-Annahmen!$B$33*$C$8)+AW$21*$E$8*Annahmen!$B$21</f>
        <v>133.897086918005</v>
      </c>
      <c r="AX67" s="41" t="n">
        <f aca="false">AW67*(1-Annahmen!$B$33*$C$8)+AX$21*$E$8*Annahmen!$B$21</f>
        <v>138.172351387894</v>
      </c>
      <c r="AY67" s="41" t="n">
        <f aca="false">AX67*(1-Annahmen!$B$33*$C$8)+AY$21*$E$8*Annahmen!$B$21</f>
        <v>143.611703636236</v>
      </c>
      <c r="AZ67" s="41" t="n">
        <f aca="false">AY67*(1-Annahmen!$B$33*$C$8)+AZ$21*$E$8*Annahmen!$B$21</f>
        <v>149.005365325691</v>
      </c>
      <c r="BA67" s="41" t="n">
        <f aca="false">AZ67*(1-Annahmen!$B$33*$C$8)+BA$21*$E$8*Annahmen!$B$21</f>
        <v>154.353720256956</v>
      </c>
      <c r="BB67" s="41" t="n">
        <f aca="false">BA67*(1-Annahmen!$B$33*$C$8)+BB$21*$E$8*Annahmen!$B$21</f>
        <v>159.657149006797</v>
      </c>
      <c r="BC67" s="41" t="n">
        <f aca="false">BB67*(1-Annahmen!$B$33*$C$8)+BC$21*$E$8*Annahmen!$B$21</f>
        <v>164.91602895514</v>
      </c>
      <c r="BD67" s="41" t="n">
        <f aca="false">BC67*(1-Annahmen!$B$33*$C$8)+BD$21*$E$8*Annahmen!$B$21</f>
        <v>170.130734311917</v>
      </c>
      <c r="BE67" s="41" t="n">
        <f aca="false">BD67*(1-Annahmen!$B$33*$C$8)+BE$21*$E$8*Annahmen!$B$21</f>
        <v>175.301636143697</v>
      </c>
      <c r="BF67" s="41" t="n">
        <f aca="false">BE67*(1-Annahmen!$B$33*$C$8)+BF$21*$E$8*Annahmen!$B$21</f>
        <v>180.42910240009</v>
      </c>
      <c r="BG67" s="41" t="n">
        <f aca="false">BF67*(1-Annahmen!$B$33*$C$8)+BG$21*$E$8*Annahmen!$B$21</f>
        <v>185.513497939929</v>
      </c>
      <c r="BH67" s="41" t="n">
        <f aca="false">BG67*(1-Annahmen!$B$33*$C$8)+BH$21*$E$8*Annahmen!$B$21</f>
        <v>190.555184557234</v>
      </c>
      <c r="BI67" s="41" t="n">
        <f aca="false">BH67*(1-Annahmen!$B$33*$C$8)+BI$21*$E$8*Annahmen!$B$21</f>
        <v>195.554521006953</v>
      </c>
      <c r="BJ67" s="41" t="n">
        <f aca="false">BI67*(1-Annahmen!$B$33*$C$8)+BJ$21*$E$8*Annahmen!$B$21</f>
        <v>200.511863030494</v>
      </c>
    </row>
    <row r="68" customFormat="false" ht="15" hidden="false" customHeight="false" outlineLevel="0" collapsed="false">
      <c r="B68" s="5" t="s">
        <v>399</v>
      </c>
      <c r="C68" s="41" t="n">
        <f aca="false">Annahmen!$B$7*Annahmen!$B$21*Annahmen!$B$24*(1-Annahmen!$B$33*$C$8)+C$21*$E$8*Annahmen!$B$21*Annahmen!$B$24</f>
        <v>0.190992</v>
      </c>
      <c r="D68" s="41" t="n">
        <f aca="false">C68*(1-Annahmen!$B$33*$C$8)+D$21*$E$8*Annahmen!$B$21*Annahmen!$B$24</f>
        <v>0.2613876672</v>
      </c>
      <c r="E68" s="41" t="n">
        <f aca="false">D68*(1-Annahmen!$B$33*$C$8)+E$21*$E$8*Annahmen!$B$21*Annahmen!$B$24</f>
        <v>0.33119201079552</v>
      </c>
      <c r="F68" s="41" t="n">
        <f aca="false">E68*(1-Annahmen!$B$33*$C$8)+F$21*$E$8*Annahmen!$B$21*Annahmen!$B$24</f>
        <v>0.472409997904838</v>
      </c>
      <c r="G68" s="41" t="n">
        <f aca="false">F68*(1-Annahmen!$B$33*$C$8)+G$21*$E$8*Annahmen!$B$21*Annahmen!$B$24</f>
        <v>0.612441753922437</v>
      </c>
      <c r="H68" s="41" t="n">
        <f aca="false">G68*(1-Annahmen!$B$33*$C$8)+H$21*$E$8*Annahmen!$B$21*Annahmen!$B$24</f>
        <v>0.751297243189489</v>
      </c>
      <c r="I68" s="41" t="n">
        <f aca="false">H68*(1-Annahmen!$B$33*$C$8)+I$21*$E$8*Annahmen!$B$21*Annahmen!$B$24</f>
        <v>0.960986346346697</v>
      </c>
      <c r="J68" s="41" t="n">
        <f aca="false">I68*(1-Annahmen!$B$33*$C$8)+J$21*$E$8*Annahmen!$B$21*Annahmen!$B$24</f>
        <v>1.16891406103738</v>
      </c>
      <c r="K68" s="41" t="n">
        <f aca="false">J68*(1-Annahmen!$B$33*$C$8)+K$21*$E$8*Annahmen!$B$21*Annahmen!$B$24</f>
        <v>1.37509518292467</v>
      </c>
      <c r="L68" s="41" t="n">
        <f aca="false">K68*(1-Annahmen!$B$33*$C$8)+L$21*$E$8*Annahmen!$B$21*Annahmen!$B$24</f>
        <v>1.6515443833881</v>
      </c>
      <c r="M68" s="41" t="n">
        <f aca="false">L68*(1-Annahmen!$B$33*$C$8)+M$21*$E$8*Annahmen!$B$21*Annahmen!$B$24</f>
        <v>1.92567141056764</v>
      </c>
      <c r="N68" s="41" t="n">
        <f aca="false">M68*(1-Annahmen!$B$33*$C$8)+N$21*$E$8*Annahmen!$B$21*Annahmen!$B$24</f>
        <v>2.19749577071888</v>
      </c>
      <c r="O68" s="41" t="n">
        <f aca="false">N68*(1-Annahmen!$B$33*$C$8)+O$21*$E$8*Annahmen!$B$21*Annahmen!$B$24</f>
        <v>2.56303680624484</v>
      </c>
      <c r="P68" s="41" t="n">
        <f aca="false">O68*(1-Annahmen!$B$33*$C$8)+P$21*$E$8*Annahmen!$B$21*Annahmen!$B$24</f>
        <v>2.92550729707238</v>
      </c>
      <c r="Q68" s="41" t="n">
        <f aca="false">P68*(1-Annahmen!$B$33*$C$8)+Q$21*$E$8*Annahmen!$B$21*Annahmen!$B$24</f>
        <v>3.28493303577697</v>
      </c>
      <c r="R68" s="41" t="n">
        <f aca="false">Q68*(1-Annahmen!$B$33*$C$8)+R$21*$E$8*Annahmen!$B$21*Annahmen!$B$24</f>
        <v>3.73733959827645</v>
      </c>
      <c r="S68" s="41" t="n">
        <f aca="false">R68*(1-Annahmen!$B$33*$C$8)+S$21*$E$8*Annahmen!$B$21*Annahmen!$B$24</f>
        <v>4.18594594565092</v>
      </c>
      <c r="T68" s="41" t="n">
        <f aca="false">S68*(1-Annahmen!$B$33*$C$8)+T$21*$E$8*Annahmen!$B$21*Annahmen!$B$24</f>
        <v>4.63078399970746</v>
      </c>
      <c r="U68" s="41" t="n">
        <f aca="false">T68*(1-Annahmen!$B$33*$C$8)+U$21*$E$8*Annahmen!$B$21*Annahmen!$B$24</f>
        <v>5.16788541410991</v>
      </c>
      <c r="V68" s="41" t="n">
        <f aca="false">U68*(1-Annahmen!$B$33*$C$8)+V$21*$E$8*Annahmen!$B$21*Annahmen!$B$24</f>
        <v>5.70047517663139</v>
      </c>
      <c r="W68" s="41" t="n">
        <f aca="false">V68*(1-Annahmen!$B$33*$C$8)+W$21*$E$8*Annahmen!$B$21*Annahmen!$B$24</f>
        <v>6.22859118514769</v>
      </c>
      <c r="X68" s="41" t="n">
        <f aca="false">W68*(1-Annahmen!$B$33*$C$8)+X$21*$E$8*Annahmen!$B$21*Annahmen!$B$24</f>
        <v>6.84827101919244</v>
      </c>
      <c r="Y68" s="41" t="n">
        <f aca="false">X68*(1-Annahmen!$B$33*$C$8)+Y$21*$E$8*Annahmen!$B$21*Annahmen!$B$24</f>
        <v>7.46274554263123</v>
      </c>
      <c r="Z68" s="41" t="n">
        <f aca="false">Y68*(1-Annahmen!$B$33*$C$8)+Z$21*$E$8*Annahmen!$B$21*Annahmen!$B$24</f>
        <v>8.07205848007313</v>
      </c>
      <c r="AA68" s="41" t="n">
        <f aca="false">Z68*(1-Annahmen!$B$33*$C$8)+AA$21*$E$8*Annahmen!$B$21*Annahmen!$B$24</f>
        <v>8.72425318884051</v>
      </c>
      <c r="AB68" s="41" t="n">
        <f aca="false">AA68*(1-Annahmen!$B$33*$C$8)+AB$21*$E$8*Annahmen!$B$21*Annahmen!$B$24</f>
        <v>9.37096946205425</v>
      </c>
      <c r="AC68" s="41" t="n">
        <f aca="false">AB68*(1-Annahmen!$B$33*$C$8)+AC$21*$E$8*Annahmen!$B$21*Annahmen!$B$24</f>
        <v>10.012253318573</v>
      </c>
      <c r="AD68" s="41" t="n">
        <f aca="false">AC68*(1-Annahmen!$B$33*$C$8)+AD$21*$E$8*Annahmen!$B$21*Annahmen!$B$24</f>
        <v>10.720150390697</v>
      </c>
      <c r="AE68" s="41" t="n">
        <f aca="false">AD68*(1-Annahmen!$B$33*$C$8)+AE$21*$E$8*Annahmen!$B$21*Annahmen!$B$24</f>
        <v>11.4221011274151</v>
      </c>
      <c r="AF68" s="41" t="n">
        <f aca="false">AE68*(1-Annahmen!$B$33*$C$8)+AF$21*$E$8*Annahmen!$B$21*Annahmen!$B$24</f>
        <v>12.1181554779448</v>
      </c>
      <c r="AG68" s="41" t="n">
        <f aca="false">AF68*(1-Annahmen!$B$33*$C$8)+AG$21*$E$8*Annahmen!$B$21*Annahmen!$B$24</f>
        <v>12.8803629719301</v>
      </c>
      <c r="AH68" s="41" t="n">
        <f aca="false">AG68*(1-Annahmen!$B$33*$C$8)+AH$21*$E$8*Annahmen!$B$21*Annahmen!$B$24</f>
        <v>13.6361679229659</v>
      </c>
      <c r="AI68" s="41" t="n">
        <f aca="false">AH68*(1-Annahmen!$B$33*$C$8)+AI$21*$E$8*Annahmen!$B$21*Annahmen!$B$24</f>
        <v>14.385624112413</v>
      </c>
      <c r="AJ68" s="41" t="n">
        <f aca="false">AI68*(1-Annahmen!$B$33*$C$8)+AJ$21*$E$8*Annahmen!$B$21*Annahmen!$B$24</f>
        <v>15.2247848698687</v>
      </c>
      <c r="AK68" s="41" t="n">
        <f aca="false">AJ68*(1-Annahmen!$B$33*$C$8)+AK$21*$E$8*Annahmen!$B$21*Annahmen!$B$24</f>
        <v>16.0568966769618</v>
      </c>
      <c r="AL68" s="41" t="n">
        <f aca="false">AK68*(1-Annahmen!$B$33*$C$8)+AL$21*$E$8*Annahmen!$B$21*Annahmen!$B$24</f>
        <v>16.8820187448753</v>
      </c>
      <c r="AM68" s="41" t="n">
        <f aca="false">AL68*(1-Annahmen!$B$33*$C$8)+AM$21*$E$8*Annahmen!$B$21*Annahmen!$B$24</f>
        <v>17.8202097874184</v>
      </c>
      <c r="AN68" s="41" t="n">
        <f aca="false">AM68*(1-Annahmen!$B$33*$C$8)+AN$21*$E$8*Annahmen!$B$21*Annahmen!$B$24</f>
        <v>18.7505200252041</v>
      </c>
      <c r="AO68" s="41" t="n">
        <f aca="false">AN68*(1-Annahmen!$B$33*$C$8)+AO$21*$E$8*Annahmen!$B$21*Annahmen!$B$24</f>
        <v>19.6730156569924</v>
      </c>
      <c r="AP68" s="41" t="n">
        <f aca="false">AO68*(1-Annahmen!$B$33*$C$8)+AP$21*$E$8*Annahmen!$B$21*Annahmen!$B$24</f>
        <v>20.5877623254736</v>
      </c>
      <c r="AQ68" s="41" t="n">
        <f aca="false">AP68*(1-Annahmen!$B$33*$C$8)+AQ$21*$E$8*Annahmen!$B$21*Annahmen!$B$24</f>
        <v>21.4948251219396</v>
      </c>
      <c r="AR68" s="41" t="n">
        <f aca="false">AQ68*(1-Annahmen!$B$33*$C$8)+AR$21*$E$8*Annahmen!$B$21*Annahmen!$B$24</f>
        <v>22.3942685909154</v>
      </c>
      <c r="AS68" s="41" t="n">
        <f aca="false">AR68*(1-Annahmen!$B$33*$C$8)+AS$21*$E$8*Annahmen!$B$21*Annahmen!$B$24</f>
        <v>23.2861567347517</v>
      </c>
      <c r="AT68" s="41" t="n">
        <f aca="false">AS68*(1-Annahmen!$B$33*$C$8)+AT$21*$E$8*Annahmen!$B$21*Annahmen!$B$24</f>
        <v>24.1705530181797</v>
      </c>
      <c r="AU68" s="41" t="n">
        <f aca="false">AT68*(1-Annahmen!$B$33*$C$8)+AU$21*$E$8*Annahmen!$B$21*Annahmen!$B$24</f>
        <v>25.047520372827</v>
      </c>
      <c r="AV68" s="41" t="n">
        <f aca="false">AU68*(1-Annahmen!$B$33*$C$8)+AV$21*$E$8*Annahmen!$B$21*Annahmen!$B$24</f>
        <v>25.9171212016953</v>
      </c>
      <c r="AW68" s="41" t="n">
        <f aca="false">AV68*(1-Annahmen!$B$33*$C$8)+AW$21*$E$8*Annahmen!$B$21*Annahmen!$B$24</f>
        <v>26.779417383601</v>
      </c>
      <c r="AX68" s="41" t="n">
        <f aca="false">AW68*(1-Annahmen!$B$33*$C$8)+AX$21*$E$8*Annahmen!$B$21*Annahmen!$B$24</f>
        <v>27.6344702775788</v>
      </c>
      <c r="AY68" s="41" t="n">
        <f aca="false">AX68*(1-Annahmen!$B$33*$C$8)+AY$21*$E$8*Annahmen!$B$21*Annahmen!$B$24</f>
        <v>28.7223407272471</v>
      </c>
      <c r="AZ68" s="41" t="n">
        <f aca="false">AY68*(1-Annahmen!$B$33*$C$8)+AZ$21*$E$8*Annahmen!$B$21*Annahmen!$B$24</f>
        <v>29.8010730651383</v>
      </c>
      <c r="BA68" s="41" t="n">
        <f aca="false">AZ68*(1-Annahmen!$B$33*$C$8)+BA$21*$E$8*Annahmen!$B$21*Annahmen!$B$24</f>
        <v>30.8707440513911</v>
      </c>
      <c r="BB68" s="41" t="n">
        <f aca="false">BA68*(1-Annahmen!$B$33*$C$8)+BB$21*$E$8*Annahmen!$B$21*Annahmen!$B$24</f>
        <v>31.9314298013594</v>
      </c>
      <c r="BC68" s="41" t="n">
        <f aca="false">BB68*(1-Annahmen!$B$33*$C$8)+BC$21*$E$8*Annahmen!$B$21*Annahmen!$B$24</f>
        <v>32.983205791028</v>
      </c>
      <c r="BD68" s="41" t="n">
        <f aca="false">BC68*(1-Annahmen!$B$33*$C$8)+BD$21*$E$8*Annahmen!$B$21*Annahmen!$B$24</f>
        <v>34.0261468623834</v>
      </c>
      <c r="BE68" s="41" t="n">
        <f aca="false">BD68*(1-Annahmen!$B$33*$C$8)+BE$21*$E$8*Annahmen!$B$21*Annahmen!$B$24</f>
        <v>35.0603272287393</v>
      </c>
      <c r="BF68" s="41" t="n">
        <f aca="false">BE68*(1-Annahmen!$B$33*$C$8)+BF$21*$E$8*Annahmen!$B$21*Annahmen!$B$24</f>
        <v>36.0858204800179</v>
      </c>
      <c r="BG68" s="41" t="n">
        <f aca="false">BF68*(1-Annahmen!$B$33*$C$8)+BG$21*$E$8*Annahmen!$B$21*Annahmen!$B$24</f>
        <v>37.1026995879858</v>
      </c>
      <c r="BH68" s="41" t="n">
        <f aca="false">BG68*(1-Annahmen!$B$33*$C$8)+BH$21*$E$8*Annahmen!$B$21*Annahmen!$B$24</f>
        <v>38.1110369114467</v>
      </c>
      <c r="BI68" s="41" t="n">
        <f aca="false">BH68*(1-Annahmen!$B$33*$C$8)+BI$21*$E$8*Annahmen!$B$21*Annahmen!$B$24</f>
        <v>39.1109042013906</v>
      </c>
      <c r="BJ68" s="41" t="n">
        <f aca="false">BI68*(1-Annahmen!$B$33*$C$8)+BJ$21*$E$8*Annahmen!$B$21*Annahmen!$B$24</f>
        <v>40.1023726060989</v>
      </c>
    </row>
    <row r="69" customFormat="false" ht="15" hidden="false" customHeight="false" outlineLevel="0" collapsed="false">
      <c r="B69" s="5" t="s">
        <v>223</v>
      </c>
      <c r="C69" s="38" t="n">
        <f aca="false">C65+C66+C67</f>
        <v>7.91586</v>
      </c>
      <c r="D69" s="38" t="n">
        <f aca="false">D65+D66+D67</f>
        <v>10.782753236</v>
      </c>
      <c r="E69" s="38" t="n">
        <f aca="false">E65+E66+E67</f>
        <v>13.6015613278776</v>
      </c>
      <c r="F69" s="38" t="n">
        <f aca="false">F65+F66+F67</f>
        <v>19.3731492246571</v>
      </c>
      <c r="G69" s="38" t="n">
        <f aca="false">G65+G66+G67</f>
        <v>25.0478815305603</v>
      </c>
      <c r="H69" s="38" t="n">
        <f aca="false">H65+H66+H67</f>
        <v>30.6275011661321</v>
      </c>
      <c r="I69" s="38" t="n">
        <f aca="false">I65+I66+I67</f>
        <v>39.1137181067397</v>
      </c>
      <c r="J69" s="38" t="n">
        <f aca="false">J65+J66+J67</f>
        <v>47.4577260267506</v>
      </c>
      <c r="K69" s="38" t="n">
        <f aca="false">K65+K66+K67</f>
        <v>55.6620812724207</v>
      </c>
      <c r="L69" s="38" t="n">
        <f aca="false">L65+L66+L67</f>
        <v>66.7292919059213</v>
      </c>
      <c r="M69" s="38" t="n">
        <f aca="false">M65+M66+M67</f>
        <v>77.6113346489357</v>
      </c>
      <c r="N69" s="38" t="n">
        <f aca="false">N65+N66+N67</f>
        <v>88.3115341489828</v>
      </c>
      <c r="O69" s="38" t="n">
        <f aca="false">O65+O66+O67</f>
        <v>102.833152311015</v>
      </c>
      <c r="P69" s="38" t="n">
        <f aca="false">P65+P66+P67</f>
        <v>117.112077522844</v>
      </c>
      <c r="Q69" s="38" t="n">
        <f aca="false">Q65+Q66+Q67</f>
        <v>131.152663644865</v>
      </c>
      <c r="R69" s="38" t="n">
        <f aca="false">R65+R66+R67</f>
        <v>148.959182420798</v>
      </c>
      <c r="S69" s="38" t="n">
        <f aca="false">S65+S66+S67</f>
        <v>166.468513080837</v>
      </c>
      <c r="T69" s="38" t="n">
        <f aca="false">T65+T66+T67</f>
        <v>183.685981701553</v>
      </c>
      <c r="U69" s="38" t="n">
        <f aca="false">U65+U66+U67</f>
        <v>204.616813979428</v>
      </c>
      <c r="V69" s="38" t="n">
        <f aca="false">V65+V66+V67</f>
        <v>225.198825189552</v>
      </c>
      <c r="W69" s="38" t="n">
        <f aca="false">W65+W66+W67</f>
        <v>245.438259893986</v>
      </c>
      <c r="X69" s="38" t="n">
        <f aca="false">X65+X66+X67</f>
        <v>269.341245056801</v>
      </c>
      <c r="Y69" s="38" t="n">
        <f aca="false">Y65+Y66+Y67</f>
        <v>292.846480337479</v>
      </c>
      <c r="Z69" s="38" t="n">
        <f aca="false">Z65+Z66+Z67</f>
        <v>315.961078127302</v>
      </c>
      <c r="AA69" s="38" t="n">
        <f aca="false">AA65+AA66+AA67</f>
        <v>340.69201698589</v>
      </c>
      <c r="AB69" s="38" t="n">
        <f aca="false">AB65+AB66+AB67</f>
        <v>365.012488249689</v>
      </c>
      <c r="AC69" s="38" t="n">
        <f aca="false">AC65+AC66+AC67</f>
        <v>388.929817482786</v>
      </c>
      <c r="AD69" s="38" t="n">
        <f aca="false">AD65+AD66+AD67</f>
        <v>415.451192599206</v>
      </c>
      <c r="AE69" s="38" t="n">
        <f aca="false">AE65+AE66+AE67</f>
        <v>441.533182543182</v>
      </c>
      <c r="AF69" s="38" t="n">
        <f aca="false">AF65+AF66+AF67</f>
        <v>467.183618257553</v>
      </c>
      <c r="AG69" s="38" t="n">
        <f aca="false">AG65+AG66+AG67</f>
        <v>495.41018368353</v>
      </c>
      <c r="AH69" s="38" t="n">
        <f aca="false">AH65+AH66+AH67</f>
        <v>523.169934621084</v>
      </c>
      <c r="AI69" s="38" t="n">
        <f aca="false">AI65+AI66+AI67</f>
        <v>550.471179873876</v>
      </c>
      <c r="AJ69" s="38" t="n">
        <f aca="false">AJ65+AJ66+AJ67</f>
        <v>581.322072422086</v>
      </c>
      <c r="AK69" s="38" t="n">
        <f aca="false">AK65+AK66+AK67</f>
        <v>611.663300452412</v>
      </c>
      <c r="AL69" s="38" t="n">
        <f aca="false">AL65+AL66+AL67</f>
        <v>641.503928116486</v>
      </c>
      <c r="AM69" s="38" t="n">
        <f aca="false">AM65+AM66+AM67</f>
        <v>675.852849675133</v>
      </c>
      <c r="AN69" s="38" t="n">
        <f aca="false">AN65+AN66+AN67</f>
        <v>709.634652800574</v>
      </c>
      <c r="AO69" s="38" t="n">
        <f aca="false">AO65+AO66+AO67</f>
        <v>742.859419048833</v>
      </c>
      <c r="AP69" s="38" t="n">
        <f aca="false">AP65+AP66+AP67</f>
        <v>775.537041073944</v>
      </c>
      <c r="AQ69" s="38" t="n">
        <f aca="false">AQ65+AQ66+AQ67</f>
        <v>807.6772262989</v>
      </c>
      <c r="AR69" s="38" t="n">
        <f aca="false">AR65+AR66+AR67</f>
        <v>839.289500513456</v>
      </c>
      <c r="AS69" s="38" t="n">
        <f aca="false">AS65+AS66+AS67</f>
        <v>870.383211400272</v>
      </c>
      <c r="AT69" s="38" t="n">
        <f aca="false">AT65+AT66+AT67</f>
        <v>900.967531990859</v>
      </c>
      <c r="AU69" s="38" t="n">
        <f aca="false">AU65+AU66+AU67</f>
        <v>931.051464052719</v>
      </c>
      <c r="AV69" s="38" t="n">
        <f aca="false">AV65+AV66+AV67</f>
        <v>960.643841409113</v>
      </c>
      <c r="AW69" s="38" t="n">
        <f aca="false">AW65+AW66+AW67</f>
        <v>989.75333319279</v>
      </c>
      <c r="AX69" s="38" t="n">
        <f aca="false">AX65+AX66+AX67</f>
        <v>1018.38844703502</v>
      </c>
      <c r="AY69" s="38" t="n">
        <f aca="false">AY65+AY66+AY67</f>
        <v>1056.55753219127</v>
      </c>
      <c r="AZ69" s="38" t="n">
        <f aca="false">AZ65+AZ66+AZ67</f>
        <v>1094.10050260474</v>
      </c>
      <c r="BA69" s="38" t="n">
        <f aca="false">BA65+BA66+BA67</f>
        <v>1131.02843438108</v>
      </c>
      <c r="BB69" s="38" t="n">
        <f aca="false">BB65+BB66+BB67</f>
        <v>1167.35219681606</v>
      </c>
      <c r="BC69" s="38" t="n">
        <f aca="false">BC65+BC66+BC67</f>
        <v>1203.08245640461</v>
      </c>
      <c r="BD69" s="38" t="n">
        <f aca="false">BD65+BD66+BD67</f>
        <v>1238.22968077013</v>
      </c>
      <c r="BE69" s="38" t="n">
        <f aca="false">BE65+BE66+BE67</f>
        <v>1272.80414251567</v>
      </c>
      <c r="BF69" s="38" t="n">
        <f aca="false">BF65+BF66+BF67</f>
        <v>1306.81592299859</v>
      </c>
      <c r="BG69" s="38" t="n">
        <f aca="false">BG65+BG66+BG67</f>
        <v>1340.27491603015</v>
      </c>
      <c r="BH69" s="38" t="n">
        <f aca="false">BH65+BH66+BH67</f>
        <v>1373.19083150172</v>
      </c>
      <c r="BI69" s="38" t="n">
        <f aca="false">BI65+BI66+BI67</f>
        <v>1405.57319893888</v>
      </c>
      <c r="BJ69" s="38" t="n">
        <f aca="false">BJ65+BJ66+BJ67</f>
        <v>1437.4313709851</v>
      </c>
    </row>
    <row r="70" customFormat="false" ht="15" hidden="false" customHeight="false" outlineLevel="0" collapsed="false">
      <c r="B70" s="5" t="s">
        <v>400</v>
      </c>
      <c r="C70" s="37" t="n">
        <f aca="false">(C65*Annahmen!$B$10+C66*(Annahmen!$B$11+Annahmen!$B$13*Annahmen!$B$22)+C67*(Annahmen!$B$12+Annahmen!$B$14*Annahmen!$B$23)+C68*Annahmen!$B$16)*$D$8</f>
        <v>946.886848</v>
      </c>
      <c r="D70" s="37" t="n">
        <f aca="false">(D65*Annahmen!$B$10+D66*(Annahmen!$B$11+Annahmen!$B$13*Annahmen!$B$22)+D67*(Annahmen!$B$12+Annahmen!$B$14*Annahmen!$B$23)+D68*Annahmen!$B$16)*$D$8</f>
        <v>1292.2397438968</v>
      </c>
      <c r="E70" s="37" t="n">
        <f aca="false">(E65*Annahmen!$B$10+E66*(Annahmen!$B$11+Annahmen!$B$13*Annahmen!$B$22)+E67*(Annahmen!$B$12+Annahmen!$B$14*Annahmen!$B$23)+E68*Annahmen!$B$16)*$D$8</f>
        <v>1632.95914533769</v>
      </c>
      <c r="F70" s="37" t="n">
        <f aca="false">(F65*Annahmen!$B$10+F66*(Annahmen!$B$11+Annahmen!$B$13*Annahmen!$B$22)+F67*(Annahmen!$B$12+Annahmen!$B$14*Annahmen!$B$23)+F68*Annahmen!$B$16)*$D$8</f>
        <v>2327.2123535315</v>
      </c>
      <c r="G70" s="37" t="n">
        <f aca="false">(G65*Annahmen!$B$10+G66*(Annahmen!$B$11+Annahmen!$B$13*Annahmen!$B$22)+G67*(Annahmen!$B$12+Annahmen!$B$14*Annahmen!$B$23)+G68*Annahmen!$B$16)*$D$8</f>
        <v>3012.14484242584</v>
      </c>
      <c r="H70" s="37" t="n">
        <f aca="false">(H65*Annahmen!$B$10+H66*(Annahmen!$B$11+Annahmen!$B$13*Annahmen!$B$22)+H67*(Annahmen!$B$12+Annahmen!$B$14*Annahmen!$B$23)+H68*Annahmen!$B$16)*$D$8</f>
        <v>3687.89610456399</v>
      </c>
      <c r="I70" s="37" t="n">
        <f aca="false">(I65*Annahmen!$B$10+I66*(Annahmen!$B$11+Annahmen!$B$13*Annahmen!$B$22)+I67*(Annahmen!$B$12+Annahmen!$B$14*Annahmen!$B$23)+I68*Annahmen!$B$16)*$D$8</f>
        <v>4712.70134456807</v>
      </c>
      <c r="J70" s="37" t="n">
        <f aca="false">(J65*Annahmen!$B$10+J66*(Annahmen!$B$11+Annahmen!$B$13*Annahmen!$B$22)+J67*(Annahmen!$B$12+Annahmen!$B$14*Annahmen!$B$23)+J68*Annahmen!$B$16)*$D$8</f>
        <v>5723.77282823164</v>
      </c>
      <c r="K70" s="37" t="n">
        <f aca="false">(K65*Annahmen!$B$10+K66*(Annahmen!$B$11+Annahmen!$B$13*Annahmen!$B$22)+K67*(Annahmen!$B$12+Annahmen!$B$14*Annahmen!$B$23)+K68*Annahmen!$B$16)*$D$8</f>
        <v>6721.31574792256</v>
      </c>
      <c r="L70" s="37" t="n">
        <f aca="false">(L65*Annahmen!$B$10+L66*(Annahmen!$B$11+Annahmen!$B$13*Annahmen!$B$22)+L67*(Annahmen!$B$12+Annahmen!$B$14*Annahmen!$B$23)+L68*Annahmen!$B$16)*$D$8</f>
        <v>8063.62993524959</v>
      </c>
      <c r="M70" s="37" t="n">
        <f aca="false">(M65*Annahmen!$B$10+M66*(Annahmen!$B$11+Annahmen!$B$13*Annahmen!$B$22)+M67*(Annahmen!$B$12+Annahmen!$B$14*Annahmen!$B$23)+M68*Annahmen!$B$16)*$D$8</f>
        <v>9387.99122898318</v>
      </c>
      <c r="N70" s="37" t="n">
        <f aca="false">(N65*Annahmen!$B$10+N66*(Annahmen!$B$11+Annahmen!$B$13*Annahmen!$B$22)+N67*(Annahmen!$B$12+Annahmen!$B$14*Annahmen!$B$23)+N68*Annahmen!$B$16)*$D$8</f>
        <v>10694.6673589378</v>
      </c>
      <c r="O70" s="37" t="n">
        <f aca="false">(O65*Annahmen!$B$10+O66*(Annahmen!$B$11+Annahmen!$B$13*Annahmen!$B$22)+O67*(Annahmen!$B$12+Annahmen!$B$14*Annahmen!$B$23)+O68*Annahmen!$B$16)*$D$8</f>
        <v>12461.3856767761</v>
      </c>
      <c r="P70" s="37" t="n">
        <f aca="false">(P65*Annahmen!$B$10+P66*(Annahmen!$B$11+Annahmen!$B$13*Annahmen!$B$22)+P67*(Annahmen!$B$12+Annahmen!$B$14*Annahmen!$B$23)+P68*Annahmen!$B$16)*$D$8</f>
        <v>14204.5083113326</v>
      </c>
      <c r="Q70" s="37" t="n">
        <f aca="false">(Q65*Annahmen!$B$10+Q66*(Annahmen!$B$11+Annahmen!$B$13*Annahmen!$B$22)+Q67*(Annahmen!$B$12+Annahmen!$B$14*Annahmen!$B$23)+Q68*Annahmen!$B$16)*$D$8</f>
        <v>15924.3866785882</v>
      </c>
      <c r="R70" s="37" t="n">
        <f aca="false">(R65*Annahmen!$B$10+R66*(Annahmen!$B$11+Annahmen!$B$13*Annahmen!$B$22)+R67*(Annahmen!$B$12+Annahmen!$B$14*Annahmen!$B$23)+R68*Annahmen!$B$16)*$D$8</f>
        <v>18098.8304542446</v>
      </c>
      <c r="S70" s="37" t="n">
        <f aca="false">(S65*Annahmen!$B$10+S66*(Annahmen!$B$11+Annahmen!$B$13*Annahmen!$B$22)+S67*(Annahmen!$B$12+Annahmen!$B$14*Annahmen!$B$23)+S68*Annahmen!$B$16)*$D$8</f>
        <v>20244.2827528915</v>
      </c>
      <c r="T70" s="37" t="n">
        <f aca="false">(T65*Annahmen!$B$10+T66*(Annahmen!$B$11+Annahmen!$B$13*Annahmen!$B$22)+T67*(Annahmen!$B$12+Annahmen!$B$14*Annahmen!$B$23)+T68*Annahmen!$B$16)*$D$8</f>
        <v>22361.1746613857</v>
      </c>
      <c r="U70" s="37" t="n">
        <f aca="false">(U65*Annahmen!$B$10+U66*(Annahmen!$B$11+Annahmen!$B$13*Annahmen!$B$22)+U67*(Annahmen!$B$12+Annahmen!$B$14*Annahmen!$B$23)+U68*Annahmen!$B$16)*$D$8</f>
        <v>24927.3942343966</v>
      </c>
      <c r="V70" s="37" t="n">
        <f aca="false">(V65*Annahmen!$B$10+V66*(Annahmen!$B$11+Annahmen!$B$13*Annahmen!$B$22)+V67*(Annahmen!$B$12+Annahmen!$B$14*Annahmen!$B$23)+V68*Annahmen!$B$16)*$D$8</f>
        <v>27459.4616961212</v>
      </c>
      <c r="W70" s="37" t="n">
        <f aca="false">(W65*Annahmen!$B$10+W66*(Annahmen!$B$11+Annahmen!$B$13*Annahmen!$B$22)+W67*(Annahmen!$B$12+Annahmen!$B$14*Annahmen!$B$23)+W68*Annahmen!$B$16)*$D$8</f>
        <v>29957.8839957955</v>
      </c>
      <c r="X70" s="37" t="n">
        <f aca="false">(X65*Annahmen!$B$10+X66*(Annahmen!$B$11+Annahmen!$B$13*Annahmen!$B$22)+X67*(Annahmen!$B$12+Annahmen!$B$14*Annahmen!$B$23)+X68*Annahmen!$B$16)*$D$8</f>
        <v>32900.6238249642</v>
      </c>
      <c r="Y70" s="37" t="n">
        <f aca="false">(Y65*Annahmen!$B$10+Y66*(Annahmen!$B$11+Annahmen!$B$13*Annahmen!$B$22)+Y67*(Annahmen!$B$12+Annahmen!$B$14*Annahmen!$B$23)+Y68*Annahmen!$B$16)*$D$8</f>
        <v>35804.2748405204</v>
      </c>
      <c r="Z70" s="37" t="n">
        <f aca="false">(Z65*Annahmen!$B$10+Z66*(Annahmen!$B$11+Annahmen!$B$13*Annahmen!$B$22)+Z67*(Annahmen!$B$12+Annahmen!$B$14*Annahmen!$B$23)+Z68*Annahmen!$B$16)*$D$8</f>
        <v>38669.416241149</v>
      </c>
      <c r="AA70" s="37" t="n">
        <f aca="false">(AA65*Annahmen!$B$10+AA66*(Annahmen!$B$11+Annahmen!$B$13*Annahmen!$B$22)+AA67*(Annahmen!$B$12+Annahmen!$B$14*Annahmen!$B$23)+AA68*Annahmen!$B$16)*$D$8</f>
        <v>41735.3498051442</v>
      </c>
      <c r="AB70" s="37" t="n">
        <f aca="false">(AB65*Annahmen!$B$10+AB66*(Annahmen!$B$11+Annahmen!$B$13*Annahmen!$B$22)+AB67*(Annahmen!$B$12+Annahmen!$B$14*Annahmen!$B$23)+AB68*Annahmen!$B$16)*$D$8</f>
        <v>44760.6875944191</v>
      </c>
      <c r="AC70" s="37" t="n">
        <f aca="false">(AC65*Annahmen!$B$10+AC66*(Annahmen!$B$11+Annahmen!$B$13*Annahmen!$B$22)+AC67*(Annahmen!$B$12+Annahmen!$B$14*Annahmen!$B$23)+AC68*Annahmen!$B$16)*$D$8</f>
        <v>47746.0293335105</v>
      </c>
      <c r="AD70" s="37" t="n">
        <f aca="false">(AD65*Annahmen!$B$10+AD66*(Annahmen!$B$11+Annahmen!$B$13*Annahmen!$B$22)+AD67*(Annahmen!$B$12+Annahmen!$B$14*Annahmen!$B$23)+AD68*Annahmen!$B$16)*$D$8</f>
        <v>51050.0630175966</v>
      </c>
      <c r="AE70" s="37" t="n">
        <f aca="false">(AE65*Annahmen!$B$10+AE66*(Annahmen!$B$11+Annahmen!$B$13*Annahmen!$B$22)+AE67*(Annahmen!$B$12+Annahmen!$B$14*Annahmen!$B$23)+AE68*Annahmen!$B$16)*$D$8</f>
        <v>54310.4463911678</v>
      </c>
      <c r="AF70" s="37" t="n">
        <f aca="false">(AF65*Annahmen!$B$10+AF66*(Annahmen!$B$11+Annahmen!$B$13*Annahmen!$B$22)+AF67*(Annahmen!$B$12+Annahmen!$B$14*Annahmen!$B$23)+AF68*Annahmen!$B$16)*$D$8</f>
        <v>57527.8229406242</v>
      </c>
      <c r="AG70" s="37" t="n">
        <f aca="false">(AG65*Annahmen!$B$10+AG66*(Annahmen!$B$11+Annahmen!$B$13*Annahmen!$B$22)+AG67*(Annahmen!$B$12+Annahmen!$B$14*Annahmen!$B$23)+AG68*Annahmen!$B$16)*$D$8</f>
        <v>61060.9237317971</v>
      </c>
      <c r="AH70" s="37" t="n">
        <f aca="false">(AH65*Annahmen!$B$10+AH66*(Annahmen!$B$11+Annahmen!$B$13*Annahmen!$B$22)+AH67*(Annahmen!$B$12+Annahmen!$B$14*Annahmen!$B$23)+AH68*Annahmen!$B$16)*$D$8</f>
        <v>64547.4489004305</v>
      </c>
      <c r="AI70" s="37" t="n">
        <f aca="false">(AI65*Annahmen!$B$10+AI66*(Annahmen!$B$11+Annahmen!$B$13*Annahmen!$B$22)+AI67*(Annahmen!$B$12+Annahmen!$B$14*Annahmen!$B$23)+AI68*Annahmen!$B$16)*$D$8</f>
        <v>67988.0836563739</v>
      </c>
      <c r="AJ70" s="37" t="n">
        <f aca="false">(AJ65*Annahmen!$B$10+AJ66*(Annahmen!$B$11+Annahmen!$B$13*Annahmen!$B$22)+AJ67*(Annahmen!$B$12+Annahmen!$B$14*Annahmen!$B$23)+AJ68*Annahmen!$B$16)*$D$8</f>
        <v>71860.9661324897</v>
      </c>
      <c r="AK70" s="37" t="n">
        <f aca="false">(AK65*Annahmen!$B$10+AK66*(Annahmen!$B$11+Annahmen!$B$13*Annahmen!$B$22)+AK67*(Annahmen!$B$12+Annahmen!$B$14*Annahmen!$B$23)+AK68*Annahmen!$B$16)*$D$8</f>
        <v>75682.862655914</v>
      </c>
      <c r="AL70" s="37" t="n">
        <f aca="false">(AL65*Annahmen!$B$10+AL66*(Annahmen!$B$11+Annahmen!$B$13*Annahmen!$B$22)+AL67*(Annahmen!$B$12+Annahmen!$B$14*Annahmen!$B$23)+AL68*Annahmen!$B$16)*$D$8</f>
        <v>79454.5223718463</v>
      </c>
      <c r="AM70" s="37" t="n">
        <f aca="false">(AM65*Annahmen!$B$10+AM66*(Annahmen!$B$11+Annahmen!$B$13*Annahmen!$B$22)+AM67*(Annahmen!$B$12+Annahmen!$B$14*Annahmen!$B$23)+AM68*Annahmen!$B$16)*$D$8</f>
        <v>83773.512327854</v>
      </c>
      <c r="AN70" s="37" t="n">
        <f aca="false">(AN65*Annahmen!$B$10+AN66*(Annahmen!$B$11+Annahmen!$B$13*Annahmen!$B$22)+AN67*(Annahmen!$B$12+Annahmen!$B$14*Annahmen!$B$23)+AN68*Annahmen!$B$16)*$D$8</f>
        <v>88035.6865323273</v>
      </c>
      <c r="AO70" s="37" t="n">
        <f aca="false">(AO65*Annahmen!$B$10+AO66*(Annahmen!$B$11+Annahmen!$B$13*Annahmen!$B$22)+AO67*(Annahmen!$B$12+Annahmen!$B$14*Annahmen!$B$23)+AO68*Annahmen!$B$16)*$D$8</f>
        <v>92241.8792041602</v>
      </c>
      <c r="AP70" s="37" t="n">
        <f aca="false">(AP65*Annahmen!$B$10+AP66*(Annahmen!$B$11+Annahmen!$B$13*Annahmen!$B$22)+AP67*(Annahmen!$B$12+Annahmen!$B$14*Annahmen!$B$23)+AP68*Annahmen!$B$16)*$D$8</f>
        <v>96392.9110986309</v>
      </c>
      <c r="AQ70" s="37" t="n">
        <f aca="false">(AQ65*Annahmen!$B$10+AQ66*(Annahmen!$B$11+Annahmen!$B$13*Annahmen!$B$22)+AQ67*(Annahmen!$B$12+Annahmen!$B$14*Annahmen!$B$23)+AQ68*Annahmen!$B$16)*$D$8</f>
        <v>100489.589741515</v>
      </c>
      <c r="AR70" s="37" t="n">
        <f aca="false">(AR65*Annahmen!$B$10+AR66*(Annahmen!$B$11+Annahmen!$B$13*Annahmen!$B$22)+AR67*(Annahmen!$B$12+Annahmen!$B$14*Annahmen!$B$23)+AR68*Annahmen!$B$16)*$D$8</f>
        <v>104532.709658891</v>
      </c>
      <c r="AS70" s="37" t="n">
        <f aca="false">(AS65*Annahmen!$B$10+AS66*(Annahmen!$B$11+Annahmen!$B$13*Annahmen!$B$22)+AS67*(Annahmen!$B$12+Annahmen!$B$14*Annahmen!$B$23)+AS68*Annahmen!$B$16)*$D$8</f>
        <v>108523.052602733</v>
      </c>
      <c r="AT70" s="37" t="n">
        <f aca="false">(AT65*Annahmen!$B$10+AT66*(Annahmen!$B$11+Annahmen!$B$13*Annahmen!$B$22)+AT67*(Annahmen!$B$12+Annahmen!$B$14*Annahmen!$B$23)+AT68*Annahmen!$B$16)*$D$8</f>
        <v>112461.387772348</v>
      </c>
      <c r="AU70" s="37" t="n">
        <f aca="false">(AU65*Annahmen!$B$10+AU66*(Annahmen!$B$11+Annahmen!$B$13*Annahmen!$B$22)+AU67*(Annahmen!$B$12+Annahmen!$B$14*Annahmen!$B$23)+AU68*Annahmen!$B$16)*$D$8</f>
        <v>116348.472031768</v>
      </c>
      <c r="AV70" s="37" t="n">
        <f aca="false">(AV65*Annahmen!$B$10+AV66*(Annahmen!$B$11+Annahmen!$B$13*Annahmen!$B$22)+AV67*(Annahmen!$B$12+Annahmen!$B$14*Annahmen!$B$23)+AV68*Annahmen!$B$16)*$D$8</f>
        <v>120185.050123144</v>
      </c>
      <c r="AW70" s="37" t="n">
        <f aca="false">(AW65*Annahmen!$B$10+AW66*(Annahmen!$B$11+Annahmen!$B$13*Annahmen!$B$22)+AW67*(Annahmen!$B$12+Annahmen!$B$14*Annahmen!$B$23)+AW68*Annahmen!$B$16)*$D$8</f>
        <v>123971.854876242</v>
      </c>
      <c r="AX70" s="37" t="n">
        <f aca="false">(AX65*Annahmen!$B$10+AX66*(Annahmen!$B$11+Annahmen!$B$13*Annahmen!$B$22)+AX67*(Annahmen!$B$12+Annahmen!$B$14*Annahmen!$B$23)+AX68*Annahmen!$B$16)*$D$8</f>
        <v>127709.6074141</v>
      </c>
      <c r="AY70" s="37" t="n">
        <f aca="false">(AY65*Annahmen!$B$10+AY66*(Annahmen!$B$11+Annahmen!$B$13*Annahmen!$B$22)+AY67*(Annahmen!$B$12+Annahmen!$B$14*Annahmen!$B$23)+AY68*Annahmen!$B$16)*$D$8</f>
        <v>132592.677354923</v>
      </c>
      <c r="AZ70" s="37" t="n">
        <f aca="false">(AZ65*Annahmen!$B$10+AZ66*(Annahmen!$B$11+Annahmen!$B$13*Annahmen!$B$22)+AZ67*(Annahmen!$B$12+Annahmen!$B$14*Annahmen!$B$23)+AZ68*Annahmen!$B$16)*$D$8</f>
        <v>137412.020706298</v>
      </c>
      <c r="BA70" s="37" t="n">
        <f aca="false">(BA65*Annahmen!$B$10+BA66*(Annahmen!$B$11+Annahmen!$B$13*Annahmen!$B$22)+BA67*(Annahmen!$B$12+Annahmen!$B$14*Annahmen!$B$23)+BA68*Annahmen!$B$16)*$D$8</f>
        <v>142168.566145975</v>
      </c>
      <c r="BB70" s="37" t="n">
        <f aca="false">(BB65*Annahmen!$B$10+BB66*(Annahmen!$B$11+Annahmen!$B$13*Annahmen!$B$22)+BB67*(Annahmen!$B$12+Annahmen!$B$14*Annahmen!$B$23)+BB68*Annahmen!$B$16)*$D$8</f>
        <v>146863.227459096</v>
      </c>
      <c r="BC70" s="37" t="n">
        <f aca="false">(BC65*Annahmen!$B$10+BC66*(Annahmen!$B$11+Annahmen!$B$13*Annahmen!$B$22)+BC67*(Annahmen!$B$12+Annahmen!$B$14*Annahmen!$B$23)+BC68*Annahmen!$B$16)*$D$8</f>
        <v>151496.903795848</v>
      </c>
      <c r="BD70" s="37" t="n">
        <f aca="false">(BD65*Annahmen!$B$10+BD66*(Annahmen!$B$11+Annahmen!$B$13*Annahmen!$B$22)+BD67*(Annahmen!$B$12+Annahmen!$B$14*Annahmen!$B$23)+BD68*Annahmen!$B$16)*$D$8</f>
        <v>156070.479924402</v>
      </c>
      <c r="BE70" s="37" t="n">
        <f aca="false">(BE65*Annahmen!$B$10+BE66*(Annahmen!$B$11+Annahmen!$B$13*Annahmen!$B$22)+BE67*(Annahmen!$B$12+Annahmen!$B$14*Annahmen!$B$23)+BE68*Annahmen!$B$16)*$D$8</f>
        <v>160584.826479222</v>
      </c>
      <c r="BF70" s="37" t="n">
        <f aca="false">(BF65*Annahmen!$B$10+BF66*(Annahmen!$B$11+Annahmen!$B$13*Annahmen!$B$22)+BF67*(Annahmen!$B$12+Annahmen!$B$14*Annahmen!$B$23)+BF68*Annahmen!$B$16)*$D$8</f>
        <v>165040.800204831</v>
      </c>
      <c r="BG70" s="37" t="n">
        <f aca="false">(BG65*Annahmen!$B$10+BG66*(Annahmen!$B$11+Annahmen!$B$13*Annahmen!$B$22)+BG67*(Annahmen!$B$12+Annahmen!$B$14*Annahmen!$B$23)+BG68*Annahmen!$B$16)*$D$8</f>
        <v>169439.244195124</v>
      </c>
      <c r="BH70" s="37" t="n">
        <f aca="false">(BH65*Annahmen!$B$10+BH66*(Annahmen!$B$11+Annahmen!$B$13*Annahmen!$B$22)+BH67*(Annahmen!$B$12+Annahmen!$B$14*Annahmen!$B$23)+BH68*Annahmen!$B$16)*$D$8</f>
        <v>173780.988128317</v>
      </c>
      <c r="BI70" s="37" t="n">
        <f aca="false">(BI65*Annahmen!$B$10+BI66*(Annahmen!$B$11+Annahmen!$B$13*Annahmen!$B$22)+BI67*(Annahmen!$B$12+Annahmen!$B$14*Annahmen!$B$23)+BI68*Annahmen!$B$16)*$D$8</f>
        <v>178066.848497601</v>
      </c>
      <c r="BJ70" s="37" t="n">
        <f aca="false">(BJ65*Annahmen!$B$10+BJ66*(Annahmen!$B$11+Annahmen!$B$13*Annahmen!$B$22)+BJ67*(Annahmen!$B$12+Annahmen!$B$14*Annahmen!$B$23)+BJ68*Annahmen!$B$16)*$D$8</f>
        <v>182297.628837599</v>
      </c>
    </row>
    <row r="71" customFormat="false" ht="15" hidden="false" customHeight="false" outlineLevel="0" collapsed="false">
      <c r="B71" s="5" t="s">
        <v>228</v>
      </c>
      <c r="C71" s="37" t="n">
        <f aca="false">C70*(1-Annahmen!$B$27)+C$21*$E$8*Annahmen!$B$21*Annahmen!$B$24*Annahmen!$B$15*$D$8</f>
        <v>1042.8225056</v>
      </c>
      <c r="D71" s="37" t="n">
        <f aca="false">D70*(1-Annahmen!$B$27)+D$21*$E$8*Annahmen!$B$21*Annahmen!$B$24*Annahmen!$B$15*$D$8</f>
        <v>1370.90775670196</v>
      </c>
      <c r="E71" s="37" t="n">
        <f aca="false">E70*(1-Annahmen!$B$27)+E$21*$E$8*Annahmen!$B$21*Annahmen!$B$24*Annahmen!$B$15*$D$8</f>
        <v>1694.5911880708</v>
      </c>
      <c r="F71" s="37" t="n">
        <f aca="false">F70*(1-Annahmen!$B$27)+F$21*$E$8*Annahmen!$B$21*Annahmen!$B$24*Annahmen!$B$15*$D$8</f>
        <v>2497.41173585493</v>
      </c>
      <c r="G71" s="37" t="n">
        <f aca="false">G70*(1-Annahmen!$B$27)+G$21*$E$8*Annahmen!$B$21*Annahmen!$B$24*Annahmen!$B$15*$D$8</f>
        <v>3148.09760030455</v>
      </c>
      <c r="H71" s="37" t="n">
        <f aca="false">H70*(1-Annahmen!$B$27)+H$21*$E$8*Annahmen!$B$21*Annahmen!$B$24*Annahmen!$B$15*$D$8</f>
        <v>3790.06129933579</v>
      </c>
      <c r="I71" s="37" t="n">
        <f aca="false">I70*(1-Annahmen!$B$27)+I$21*$E$8*Annahmen!$B$21*Annahmen!$B$24*Annahmen!$B$15*$D$8</f>
        <v>4906.90627733966</v>
      </c>
      <c r="J71" s="37" t="n">
        <f aca="false">J70*(1-Annahmen!$B$27)+J$21*$E$8*Annahmen!$B$21*Annahmen!$B$24*Annahmen!$B$15*$D$8</f>
        <v>5867.42418682006</v>
      </c>
      <c r="K71" s="37" t="n">
        <f aca="false">K70*(1-Annahmen!$B$27)+K$21*$E$8*Annahmen!$B$21*Annahmen!$B$24*Annahmen!$B$15*$D$8</f>
        <v>6815.08996052643</v>
      </c>
      <c r="L71" s="37" t="n">
        <f aca="false">L70*(1-Annahmen!$B$27)+L$21*$E$8*Annahmen!$B$21*Annahmen!$B$24*Annahmen!$B$15*$D$8</f>
        <v>8233.56843848711</v>
      </c>
      <c r="M71" s="37" t="n">
        <f aca="false">M70*(1-Annahmen!$B$27)+M$21*$E$8*Annahmen!$B$21*Annahmen!$B$24*Annahmen!$B$15*$D$8</f>
        <v>9491.71166753402</v>
      </c>
      <c r="N71" s="37" t="n">
        <f aca="false">N70*(1-Annahmen!$B$27)+N$21*$E$8*Annahmen!$B$21*Annahmen!$B$24*Annahmen!$B$15*$D$8</f>
        <v>10733.0539909909</v>
      </c>
      <c r="O71" s="37" t="n">
        <f aca="false">O70*(1-Annahmen!$B$27)+O$21*$E$8*Annahmen!$B$21*Annahmen!$B$24*Annahmen!$B$15*$D$8</f>
        <v>12602.4763929373</v>
      </c>
      <c r="P71" s="37" t="n">
        <f aca="false">P70*(1-Annahmen!$B$27)+P$21*$E$8*Annahmen!$B$21*Annahmen!$B$24*Annahmen!$B$15*$D$8</f>
        <v>14258.442895766</v>
      </c>
      <c r="Q71" s="37" t="n">
        <f aca="false">Q70*(1-Annahmen!$B$27)+Q$21*$E$8*Annahmen!$B$21*Annahmen!$B$24*Annahmen!$B$15*$D$8</f>
        <v>15892.3273446588</v>
      </c>
      <c r="R71" s="37" t="n">
        <f aca="false">R70*(1-Annahmen!$B$27)+R$21*$E$8*Annahmen!$B$21*Annahmen!$B$24*Annahmen!$B$15*$D$8</f>
        <v>18149.0889315324</v>
      </c>
      <c r="S71" s="37" t="n">
        <f aca="false">S70*(1-Annahmen!$B$27)+S$21*$E$8*Annahmen!$B$21*Annahmen!$B$24*Annahmen!$B$15*$D$8</f>
        <v>20187.2686152469</v>
      </c>
      <c r="T71" s="37" t="n">
        <f aca="false">T70*(1-Annahmen!$B$27)+T$21*$E$8*Annahmen!$B$21*Annahmen!$B$24*Annahmen!$B$15*$D$8</f>
        <v>22198.3159283164</v>
      </c>
      <c r="U71" s="37" t="n">
        <f aca="false">U70*(1-Annahmen!$B$27)+U$21*$E$8*Annahmen!$B$21*Annahmen!$B$24*Annahmen!$B$15*$D$8</f>
        <v>24827.2645226768</v>
      </c>
      <c r="V71" s="37" t="n">
        <f aca="false">V70*(1-Annahmen!$B$27)+V$21*$E$8*Annahmen!$B$21*Annahmen!$B$24*Annahmen!$B$15*$D$8</f>
        <v>27232.7286113152</v>
      </c>
      <c r="W71" s="37" t="n">
        <f aca="false">W70*(1-Annahmen!$B$27)+W$21*$E$8*Annahmen!$B$21*Annahmen!$B$24*Annahmen!$B$15*$D$8</f>
        <v>29606.2297960057</v>
      </c>
      <c r="X71" s="37" t="n">
        <f aca="false">X70*(1-Annahmen!$B$27)+X$21*$E$8*Annahmen!$B$21*Annahmen!$B$24*Annahmen!$B$15*$D$8</f>
        <v>32592.872633716</v>
      </c>
      <c r="Y71" s="37" t="n">
        <f aca="false">Y70*(1-Annahmen!$B$27)+Y$21*$E$8*Annahmen!$B$21*Annahmen!$B$24*Annahmen!$B$15*$D$8</f>
        <v>35351.3410984944</v>
      </c>
      <c r="Z71" s="37" t="n">
        <f aca="false">Z70*(1-Annahmen!$B$27)+Z$21*$E$8*Annahmen!$B$21*Annahmen!$B$24*Annahmen!$B$15*$D$8</f>
        <v>38073.2254290916</v>
      </c>
      <c r="AA71" s="37" t="n">
        <f aca="false">AA70*(1-Annahmen!$B$27)+AA$21*$E$8*Annahmen!$B$21*Annahmen!$B$24*Annahmen!$B$15*$D$8</f>
        <v>41081.382314887</v>
      </c>
      <c r="AB71" s="37" t="n">
        <f aca="false">AB70*(1-Annahmen!$B$27)+AB$21*$E$8*Annahmen!$B$21*Annahmen!$B$24*Annahmen!$B$15*$D$8</f>
        <v>43955.4532146981</v>
      </c>
      <c r="AC71" s="37" t="n">
        <f aca="false">AC70*(1-Annahmen!$B$27)+AC$21*$E$8*Annahmen!$B$21*Annahmen!$B$24*Annahmen!$B$15*$D$8</f>
        <v>46791.527866835</v>
      </c>
      <c r="AD71" s="37" t="n">
        <f aca="false">AD70*(1-Annahmen!$B$27)+AD$21*$E$8*Annahmen!$B$21*Annahmen!$B$24*Annahmen!$B$15*$D$8</f>
        <v>50073.6398667167</v>
      </c>
      <c r="AE71" s="37" t="n">
        <f aca="false">AE70*(1-Annahmen!$B$27)+AE$21*$E$8*Annahmen!$B$21*Annahmen!$B$24*Annahmen!$B$15*$D$8</f>
        <v>53171.0040716094</v>
      </c>
      <c r="AF71" s="37" t="n">
        <f aca="false">AF70*(1-Annahmen!$B$27)+AF$21*$E$8*Annahmen!$B$21*Annahmen!$B$24*Annahmen!$B$15*$D$8</f>
        <v>56227.511793593</v>
      </c>
      <c r="AG71" s="37" t="n">
        <f aca="false">AG70*(1-Annahmen!$B$27)+AG$21*$E$8*Annahmen!$B$21*Annahmen!$B$24*Annahmen!$B$15*$D$8</f>
        <v>59727.2375452072</v>
      </c>
      <c r="AH71" s="37" t="n">
        <f aca="false">AH70*(1-Annahmen!$B$27)+AH$21*$E$8*Annahmen!$B$21*Annahmen!$B$24*Annahmen!$B$15*$D$8</f>
        <v>63039.436455409</v>
      </c>
      <c r="AI71" s="37" t="n">
        <f aca="false">AI70*(1-Annahmen!$B$27)+AI$21*$E$8*Annahmen!$B$21*Annahmen!$B$24*Annahmen!$B$15*$D$8</f>
        <v>66308.0394735552</v>
      </c>
      <c r="AJ71" s="37" t="n">
        <f aca="false">AJ70*(1-Annahmen!$B$27)+AJ$21*$E$8*Annahmen!$B$21*Annahmen!$B$24*Annahmen!$B$15*$D$8</f>
        <v>70178.3178258652</v>
      </c>
      <c r="AK71" s="37" t="n">
        <f aca="false">AK70*(1-Annahmen!$B$27)+AK$21*$E$8*Annahmen!$B$21*Annahmen!$B$24*Annahmen!$B$15*$D$8</f>
        <v>73809.1195231183</v>
      </c>
      <c r="AL71" s="37" t="n">
        <f aca="false">AL70*(1-Annahmen!$B$27)+AL$21*$E$8*Annahmen!$B$21*Annahmen!$B$24*Annahmen!$B$15*$D$8</f>
        <v>77392.196253254</v>
      </c>
      <c r="AM71" s="37" t="n">
        <f aca="false">AM70*(1-Annahmen!$B$27)+AM$21*$E$8*Annahmen!$B$21*Annahmen!$B$24*Annahmen!$B$15*$D$8</f>
        <v>81734.0367114613</v>
      </c>
      <c r="AN71" s="37" t="n">
        <f aca="false">AN70*(1-Annahmen!$B$27)+AN$21*$E$8*Annahmen!$B$21*Annahmen!$B$24*Annahmen!$B$15*$D$8</f>
        <v>85783.1022057109</v>
      </c>
      <c r="AO71" s="37" t="n">
        <f aca="false">AO70*(1-Annahmen!$B$27)+AO$21*$E$8*Annahmen!$B$21*Annahmen!$B$24*Annahmen!$B$15*$D$8</f>
        <v>89778.9852439522</v>
      </c>
      <c r="AP71" s="37" t="n">
        <f aca="false">AP70*(1-Annahmen!$B$27)+AP$21*$E$8*Annahmen!$B$21*Annahmen!$B$24*Annahmen!$B$15*$D$8</f>
        <v>93722.4655436994</v>
      </c>
      <c r="AQ71" s="37" t="n">
        <f aca="false">AQ70*(1-Annahmen!$B$27)+AQ$21*$E$8*Annahmen!$B$21*Annahmen!$B$24*Annahmen!$B$15*$D$8</f>
        <v>97614.3102544389</v>
      </c>
      <c r="AR71" s="37" t="n">
        <f aca="false">AR70*(1-Annahmen!$B$27)+AR$21*$E$8*Annahmen!$B$21*Annahmen!$B$24*Annahmen!$B$15*$D$8</f>
        <v>101455.274175947</v>
      </c>
      <c r="AS71" s="37" t="n">
        <f aca="false">AS70*(1-Annahmen!$B$27)+AS$21*$E$8*Annahmen!$B$21*Annahmen!$B$24*Annahmen!$B$15*$D$8</f>
        <v>105246.099972596</v>
      </c>
      <c r="AT71" s="37" t="n">
        <f aca="false">AT70*(1-Annahmen!$B$27)+AT$21*$E$8*Annahmen!$B$21*Annahmen!$B$24*Annahmen!$B$15*$D$8</f>
        <v>108987.518383731</v>
      </c>
      <c r="AU71" s="37" t="n">
        <f aca="false">AU70*(1-Annahmen!$B$27)+AU$21*$E$8*Annahmen!$B$21*Annahmen!$B$24*Annahmen!$B$15*$D$8</f>
        <v>112680.248430179</v>
      </c>
      <c r="AV71" s="37" t="n">
        <f aca="false">AV70*(1-Annahmen!$B$27)+AV$21*$E$8*Annahmen!$B$21*Annahmen!$B$24*Annahmen!$B$15*$D$8</f>
        <v>116324.997616987</v>
      </c>
      <c r="AW71" s="37" t="n">
        <f aca="false">AW70*(1-Annahmen!$B$27)+AW$21*$E$8*Annahmen!$B$21*Annahmen!$B$24*Annahmen!$B$15*$D$8</f>
        <v>119922.46213243</v>
      </c>
      <c r="AX71" s="37" t="n">
        <f aca="false">AX70*(1-Annahmen!$B$27)+AX$21*$E$8*Annahmen!$B$21*Annahmen!$B$24*Annahmen!$B$15*$D$8</f>
        <v>123473.327043395</v>
      </c>
      <c r="AY71" s="37" t="n">
        <f aca="false">AY70*(1-Annahmen!$B$27)+AY$21*$E$8*Annahmen!$B$21*Annahmen!$B$24*Annahmen!$B$15*$D$8</f>
        <v>128589.843487177</v>
      </c>
      <c r="AZ71" s="37" t="n">
        <f aca="false">AZ70*(1-Annahmen!$B$27)+AZ$21*$E$8*Annahmen!$B$21*Annahmen!$B$24*Annahmen!$B$15*$D$8</f>
        <v>133168.219670983</v>
      </c>
      <c r="BA71" s="37" t="n">
        <f aca="false">BA70*(1-Annahmen!$B$27)+BA$21*$E$8*Annahmen!$B$21*Annahmen!$B$24*Annahmen!$B$15*$D$8</f>
        <v>137686.937838676</v>
      </c>
      <c r="BB71" s="37" t="n">
        <f aca="false">BB70*(1-Annahmen!$B$27)+BB$21*$E$8*Annahmen!$B$21*Annahmen!$B$24*Annahmen!$B$15*$D$8</f>
        <v>142146.866086141</v>
      </c>
      <c r="BC71" s="37" t="n">
        <f aca="false">BC70*(1-Annahmen!$B$27)+BC$21*$E$8*Annahmen!$B$21*Annahmen!$B$24*Annahmen!$B$15*$D$8</f>
        <v>146548.858606055</v>
      </c>
      <c r="BD71" s="37" t="n">
        <f aca="false">BD70*(1-Annahmen!$B$27)+BD$21*$E$8*Annahmen!$B$21*Annahmen!$B$24*Annahmen!$B$15*$D$8</f>
        <v>150893.755928182</v>
      </c>
      <c r="BE71" s="37" t="n">
        <f aca="false">BE70*(1-Annahmen!$B$27)+BE$21*$E$8*Annahmen!$B$21*Annahmen!$B$24*Annahmen!$B$15*$D$8</f>
        <v>155182.385155261</v>
      </c>
      <c r="BF71" s="37" t="n">
        <f aca="false">BF70*(1-Annahmen!$B$27)+BF$21*$E$8*Annahmen!$B$21*Annahmen!$B$24*Annahmen!$B$15*$D$8</f>
        <v>159415.560194589</v>
      </c>
      <c r="BG71" s="37" t="n">
        <f aca="false">BG70*(1-Annahmen!$B$27)+BG$21*$E$8*Annahmen!$B$21*Annahmen!$B$24*Annahmen!$B$15*$D$8</f>
        <v>163594.081985368</v>
      </c>
      <c r="BH71" s="37" t="n">
        <f aca="false">BH70*(1-Annahmen!$B$27)+BH$21*$E$8*Annahmen!$B$21*Annahmen!$B$24*Annahmen!$B$15*$D$8</f>
        <v>167718.738721901</v>
      </c>
      <c r="BI71" s="37" t="n">
        <f aca="false">BI70*(1-Annahmen!$B$27)+BI$21*$E$8*Annahmen!$B$21*Annahmen!$B$24*Annahmen!$B$15*$D$8</f>
        <v>171790.306072721</v>
      </c>
      <c r="BJ71" s="37" t="n">
        <f aca="false">BJ70*(1-Annahmen!$B$27)+BJ$21*$E$8*Annahmen!$B$21*Annahmen!$B$24*Annahmen!$B$15*$D$8</f>
        <v>175809.547395719</v>
      </c>
    </row>
    <row r="72" customFormat="false" ht="15" hidden="false" customHeight="false" outlineLevel="0" collapsed="false">
      <c r="B72" s="5" t="s">
        <v>239</v>
      </c>
      <c r="C72" s="37" t="n">
        <f aca="false">C65*Annahmen!$B$52+C66*Annahmen!$B$53+C67*Annahmen!$B$54+C71*Annahmen!$B$55+C69*Annahmen!$B$56+C71*INDEX(Annahmen!$B$58:$F$58,1,C$20)*Annahmen!$B$57+C$21*$E$8*Annahmen!$B$21*Annahmen!$B$24*Annahmen!$B$59</f>
        <v>35.8727310448</v>
      </c>
      <c r="D72" s="37" t="n">
        <f aca="false">D65*Annahmen!$B$52+D66*Annahmen!$B$53+D67*Annahmen!$B$54+D71*Annahmen!$B$55+D69*Annahmen!$B$56+D71*INDEX(Annahmen!$B$58:$F$58,1,D$20)*Annahmen!$B$57+D$21*$E$8*Annahmen!$B$21*Annahmen!$B$24*Annahmen!$B$59</f>
        <v>44.5900241662157</v>
      </c>
      <c r="E72" s="37" t="n">
        <f aca="false">E65*Annahmen!$B$52+E66*Annahmen!$B$53+E67*Annahmen!$B$54+E71*Annahmen!$B$55+E69*Annahmen!$B$56+E71*INDEX(Annahmen!$B$58:$F$58,1,E$20)*Annahmen!$B$57+E$21*$E$8*Annahmen!$B$21*Annahmen!$B$24*Annahmen!$B$59</f>
        <v>53.1859437700116</v>
      </c>
      <c r="F72" s="37" t="n">
        <f aca="false">F65*Annahmen!$B$52+F66*Annahmen!$B$53+F67*Annahmen!$B$54+F71*Annahmen!$B$55+F69*Annahmen!$B$56+F71*INDEX(Annahmen!$B$58:$F$58,1,F$20)*Annahmen!$B$57+F$21*$E$8*Annahmen!$B$21*Annahmen!$B$24*Annahmen!$B$59</f>
        <v>82.6601585517131</v>
      </c>
      <c r="G72" s="37" t="n">
        <f aca="false">G65*Annahmen!$B$52+G66*Annahmen!$B$53+G67*Annahmen!$B$54+G71*Annahmen!$B$55+G69*Annahmen!$B$56+G71*INDEX(Annahmen!$B$58:$F$58,1,G$20)*Annahmen!$B$57+G$21*$E$8*Annahmen!$B$21*Annahmen!$B$24*Annahmen!$B$59</f>
        <v>99.9439186320612</v>
      </c>
      <c r="H72" s="37" t="n">
        <f aca="false">H65*Annahmen!$B$52+H66*Annahmen!$B$53+H67*Annahmen!$B$54+H71*Annahmen!$B$55+H69*Annahmen!$B$56+H71*INDEX(Annahmen!$B$58:$F$58,1,H$20)*Annahmen!$B$57+H$21*$E$8*Annahmen!$B$21*Annahmen!$B$24*Annahmen!$B$59</f>
        <v>116.987256918507</v>
      </c>
      <c r="I72" s="37" t="n">
        <f aca="false">I65*Annahmen!$B$52+I66*Annahmen!$B$53+I67*Annahmen!$B$54+I71*Annahmen!$B$55+I69*Annahmen!$B$56+I71*INDEX(Annahmen!$B$58:$F$58,1,I$20)*Annahmen!$B$57+I$21*$E$8*Annahmen!$B$21*Annahmen!$B$24*Annahmen!$B$59</f>
        <v>154.791686817477</v>
      </c>
      <c r="J72" s="37" t="n">
        <f aca="false">J65*Annahmen!$B$52+J66*Annahmen!$B$53+J67*Annahmen!$B$54+J71*Annahmen!$B$55+J69*Annahmen!$B$56+J71*INDEX(Annahmen!$B$58:$F$58,1,J$20)*Annahmen!$B$57+J$21*$E$8*Annahmen!$B$21*Annahmen!$B$24*Annahmen!$B$59</f>
        <v>180.290271944799</v>
      </c>
      <c r="K72" s="37" t="n">
        <f aca="false">K65*Annahmen!$B$52+K66*Annahmen!$B$53+K67*Annahmen!$B$54+K71*Annahmen!$B$55+K69*Annahmen!$B$56+K71*INDEX(Annahmen!$B$58:$F$58,1,K$20)*Annahmen!$B$57+K$21*$E$8*Annahmen!$B$21*Annahmen!$B$24*Annahmen!$B$59</f>
        <v>205.434828051276</v>
      </c>
      <c r="L72" s="37" t="n">
        <f aca="false">L65*Annahmen!$B$52+L66*Annahmen!$B$53+L67*Annahmen!$B$54+L71*Annahmen!$B$55+L69*Annahmen!$B$56+L71*INDEX(Annahmen!$B$58:$F$58,1,L$20)*Annahmen!$B$57+L$21*$E$8*Annahmen!$B$21*Annahmen!$B$24*Annahmen!$B$59</f>
        <v>251.228621288346</v>
      </c>
      <c r="M72" s="37" t="n">
        <f aca="false">M65*Annahmen!$B$52+M66*Annahmen!$B$53+M67*Annahmen!$B$54+M71*Annahmen!$B$55+M69*Annahmen!$B$56+M71*INDEX(Annahmen!$B$58:$F$58,1,M$20)*Annahmen!$B$57+M$21*$E$8*Annahmen!$B$21*Annahmen!$B$24*Annahmen!$B$59</f>
        <v>284.606438461434</v>
      </c>
      <c r="N72" s="37" t="n">
        <f aca="false">N65*Annahmen!$B$52+N66*Annahmen!$B$53+N67*Annahmen!$B$54+N71*Annahmen!$B$55+N69*Annahmen!$B$56+N71*INDEX(Annahmen!$B$58:$F$58,1,N$20)*Annahmen!$B$57+N$21*$E$8*Annahmen!$B$21*Annahmen!$B$24*Annahmen!$B$59</f>
        <v>317.521789488177</v>
      </c>
      <c r="O72" s="37" t="n">
        <f aca="false">O65*Annahmen!$B$52+O66*Annahmen!$B$53+O67*Annahmen!$B$54+O71*Annahmen!$B$55+O69*Annahmen!$B$56+O71*INDEX(Annahmen!$B$58:$F$58,1,O$20)*Annahmen!$B$57+O$21*$E$8*Annahmen!$B$21*Annahmen!$B$24*Annahmen!$B$59</f>
        <v>693.040777610111</v>
      </c>
      <c r="P72" s="37" t="n">
        <f aca="false">P65*Annahmen!$B$52+P66*Annahmen!$B$53+P67*Annahmen!$B$54+P71*Annahmen!$B$55+P69*Annahmen!$B$56+P71*INDEX(Annahmen!$B$58:$F$58,1,P$20)*Annahmen!$B$57+P$21*$E$8*Annahmen!$B$21*Annahmen!$B$24*Annahmen!$B$59</f>
        <v>778.351636284677</v>
      </c>
      <c r="Q72" s="37" t="n">
        <f aca="false">Q65*Annahmen!$B$52+Q66*Annahmen!$B$53+Q67*Annahmen!$B$54+Q71*Annahmen!$B$55+Q69*Annahmen!$B$56+Q71*INDEX(Annahmen!$B$58:$F$58,1,Q$20)*Annahmen!$B$57+Q$21*$E$8*Annahmen!$B$21*Annahmen!$B$24*Annahmen!$B$59</f>
        <v>862.502918954576</v>
      </c>
      <c r="R72" s="37" t="n">
        <f aca="false">R65*Annahmen!$B$52+R66*Annahmen!$B$53+R67*Annahmen!$B$54+R71*Annahmen!$B$55+R69*Annahmen!$B$56+R71*INDEX(Annahmen!$B$58:$F$58,1,R$20)*Annahmen!$B$57+R$21*$E$8*Annahmen!$B$21*Annahmen!$B$24*Annahmen!$B$59</f>
        <v>989.625028291284</v>
      </c>
      <c r="S72" s="37" t="n">
        <f aca="false">S65*Annahmen!$B$52+S66*Annahmen!$B$53+S67*Annahmen!$B$54+S71*Annahmen!$B$55+S69*Annahmen!$B$56+S71*INDEX(Annahmen!$B$58:$F$58,1,S$20)*Annahmen!$B$57+S$21*$E$8*Annahmen!$B$21*Annahmen!$B$24*Annahmen!$B$59</f>
        <v>1094.59657077693</v>
      </c>
      <c r="T72" s="37" t="n">
        <f aca="false">T65*Annahmen!$B$52+T66*Annahmen!$B$53+T67*Annahmen!$B$54+T71*Annahmen!$B$55+T69*Annahmen!$B$56+T71*INDEX(Annahmen!$B$58:$F$58,1,T$20)*Annahmen!$B$57+T$21*$E$8*Annahmen!$B$21*Annahmen!$B$24*Annahmen!$B$59</f>
        <v>1198.14379743523</v>
      </c>
      <c r="U72" s="37" t="n">
        <f aca="false">U65*Annahmen!$B$52+U66*Annahmen!$B$53+U67*Annahmen!$B$54+U71*Annahmen!$B$55+U69*Annahmen!$B$56+U71*INDEX(Annahmen!$B$58:$F$58,1,U$20)*Annahmen!$B$57+U$21*$E$8*Annahmen!$B$21*Annahmen!$B$24*Annahmen!$B$59</f>
        <v>1344.40109146722</v>
      </c>
      <c r="V72" s="37" t="n">
        <f aca="false">V65*Annahmen!$B$52+V66*Annahmen!$B$53+V67*Annahmen!$B$54+V71*Annahmen!$B$55+V69*Annahmen!$B$56+V71*INDEX(Annahmen!$B$58:$F$58,1,V$20)*Annahmen!$B$57+V$21*$E$8*Annahmen!$B$21*Annahmen!$B$24*Annahmen!$B$59</f>
        <v>1468.25097424264</v>
      </c>
      <c r="W72" s="37" t="n">
        <f aca="false">W65*Annahmen!$B$52+W66*Annahmen!$B$53+W67*Annahmen!$B$54+W71*Annahmen!$B$55+W69*Annahmen!$B$56+W71*INDEX(Annahmen!$B$58:$F$58,1,W$20)*Annahmen!$B$57+W$21*$E$8*Annahmen!$B$21*Annahmen!$B$24*Annahmen!$B$59</f>
        <v>1590.42354719288</v>
      </c>
      <c r="X72" s="37" t="n">
        <f aca="false">X65*Annahmen!$B$52+X66*Annahmen!$B$53+X67*Annahmen!$B$54+X71*Annahmen!$B$55+X69*Annahmen!$B$56+X71*INDEX(Annahmen!$B$58:$F$58,1,X$20)*Annahmen!$B$57+X$21*$E$8*Annahmen!$B$21*Annahmen!$B$24*Annahmen!$B$59</f>
        <v>1755.05698058728</v>
      </c>
      <c r="Y72" s="37" t="n">
        <f aca="false">Y65*Annahmen!$B$52+Y66*Annahmen!$B$53+Y67*Annahmen!$B$54+Y71*Annahmen!$B$55+Y69*Annahmen!$B$56+Y71*INDEX(Annahmen!$B$58:$F$58,1,Y$20)*Annahmen!$B$57+Y$21*$E$8*Annahmen!$B$21*Annahmen!$B$24*Annahmen!$B$59</f>
        <v>1897.03752064357</v>
      </c>
      <c r="Z72" s="37" t="n">
        <f aca="false">Z65*Annahmen!$B$52+Z66*Annahmen!$B$53+Z67*Annahmen!$B$54+Z71*Annahmen!$B$55+Z69*Annahmen!$B$56+Z71*INDEX(Annahmen!$B$58:$F$58,1,Z$20)*Annahmen!$B$57+Z$21*$E$8*Annahmen!$B$21*Annahmen!$B$24*Annahmen!$B$59</f>
        <v>2037.09893251931</v>
      </c>
      <c r="AA72" s="37" t="n">
        <f aca="false">AA65*Annahmen!$B$52+AA66*Annahmen!$B$53+AA67*Annahmen!$B$54+AA71*Annahmen!$B$55+AA69*Annahmen!$B$56+AA71*INDEX(Annahmen!$B$58:$F$58,1,AA$20)*Annahmen!$B$57+AA$21*$E$8*Annahmen!$B$21*Annahmen!$B$24*Annahmen!$B$59</f>
        <v>3224.36113983819</v>
      </c>
      <c r="AB72" s="37" t="n">
        <f aca="false">AB65*Annahmen!$B$52+AB66*Annahmen!$B$53+AB67*Annahmen!$B$54+AB71*Annahmen!$B$55+AB69*Annahmen!$B$56+AB71*INDEX(Annahmen!$B$58:$F$58,1,AB$20)*Annahmen!$B$57+AB$21*$E$8*Annahmen!$B$21*Annahmen!$B$24*Annahmen!$B$59</f>
        <v>3444.06593411104</v>
      </c>
      <c r="AC72" s="37" t="n">
        <f aca="false">AC65*Annahmen!$B$52+AC66*Annahmen!$B$53+AC67*Annahmen!$B$54+AC71*Annahmen!$B$55+AC69*Annahmen!$B$56+AC71*INDEX(Annahmen!$B$58:$F$58,1,AC$20)*Annahmen!$B$57+AC$21*$E$8*Annahmen!$B$21*Annahmen!$B$24*Annahmen!$B$59</f>
        <v>3660.82882455538</v>
      </c>
      <c r="AD72" s="37" t="n">
        <f aca="false">AD65*Annahmen!$B$52+AD66*Annahmen!$B$53+AD67*Annahmen!$B$54+AD71*Annahmen!$B$55+AD69*Annahmen!$B$56+AD71*INDEX(Annahmen!$B$58:$F$58,1,AD$20)*Annahmen!$B$57+AD$21*$E$8*Annahmen!$B$21*Annahmen!$B$24*Annahmen!$B$59</f>
        <v>3919.86523006823</v>
      </c>
      <c r="AE72" s="37" t="n">
        <f aca="false">AE65*Annahmen!$B$52+AE66*Annahmen!$B$53+AE67*Annahmen!$B$54+AE71*Annahmen!$B$55+AE69*Annahmen!$B$56+AE71*INDEX(Annahmen!$B$58:$F$58,1,AE$20)*Annahmen!$B$57+AE$21*$E$8*Annahmen!$B$21*Annahmen!$B$24*Annahmen!$B$59</f>
        <v>4156.58097862519</v>
      </c>
      <c r="AF72" s="37" t="n">
        <f aca="false">AF65*Annahmen!$B$52+AF66*Annahmen!$B$53+AF67*Annahmen!$B$54+AF71*Annahmen!$B$55+AF69*Annahmen!$B$56+AF71*INDEX(Annahmen!$B$58:$F$58,1,AF$20)*Annahmen!$B$57+AF$21*$E$8*Annahmen!$B$21*Annahmen!$B$24*Annahmen!$B$59</f>
        <v>4390.13427250869</v>
      </c>
      <c r="AG72" s="37" t="n">
        <f aca="false">AG65*Annahmen!$B$52+AG66*Annahmen!$B$53+AG67*Annahmen!$B$54+AG71*Annahmen!$B$55+AG69*Annahmen!$B$56+AG71*INDEX(Annahmen!$B$58:$F$58,1,AG$20)*Annahmen!$B$57+AG$21*$E$8*Annahmen!$B$21*Annahmen!$B$24*Annahmen!$B$59</f>
        <v>4665.74372744162</v>
      </c>
      <c r="AH72" s="37" t="n">
        <f aca="false">AH65*Annahmen!$B$52+AH66*Annahmen!$B$53+AH67*Annahmen!$B$54+AH71*Annahmen!$B$55+AH69*Annahmen!$B$56+AH71*INDEX(Annahmen!$B$58:$F$58,1,AH$20)*Annahmen!$B$57+AH$21*$E$8*Annahmen!$B$21*Annahmen!$B$24*Annahmen!$B$59</f>
        <v>4918.81831715684</v>
      </c>
      <c r="AI72" s="37" t="n">
        <f aca="false">AI65*Annahmen!$B$52+AI66*Annahmen!$B$53+AI67*Annahmen!$B$54+AI71*Annahmen!$B$55+AI69*Annahmen!$B$56+AI71*INDEX(Annahmen!$B$58:$F$58,1,AI$20)*Annahmen!$B$57+AI$21*$E$8*Annahmen!$B$21*Annahmen!$B$24*Annahmen!$B$59</f>
        <v>5168.51933950677</v>
      </c>
      <c r="AJ72" s="37" t="n">
        <f aca="false">AJ65*Annahmen!$B$52+AJ66*Annahmen!$B$53+AJ67*Annahmen!$B$54+AJ71*Annahmen!$B$55+AJ69*Annahmen!$B$56+AJ71*INDEX(Annahmen!$B$58:$F$58,1,AJ$20)*Annahmen!$B$57+AJ$21*$E$8*Annahmen!$B$21*Annahmen!$B$24*Annahmen!$B$59</f>
        <v>5475.1256030622</v>
      </c>
      <c r="AK72" s="37" t="n">
        <f aca="false">AK65*Annahmen!$B$52+AK66*Annahmen!$B$53+AK67*Annahmen!$B$54+AK71*Annahmen!$B$55+AK69*Annahmen!$B$56+AK71*INDEX(Annahmen!$B$58:$F$58,1,AK$20)*Annahmen!$B$57+AK$21*$E$8*Annahmen!$B$21*Annahmen!$B$24*Annahmen!$B$59</f>
        <v>5752.50326943618</v>
      </c>
      <c r="AL72" s="37" t="n">
        <f aca="false">AL65*Annahmen!$B$52+AL66*Annahmen!$B$53+AL67*Annahmen!$B$54+AL71*Annahmen!$B$55+AL69*Annahmen!$B$56+AL71*INDEX(Annahmen!$B$58:$F$58,1,AL$20)*Annahmen!$B$57+AL$21*$E$8*Annahmen!$B$21*Annahmen!$B$24*Annahmen!$B$59</f>
        <v>6026.1884710649</v>
      </c>
      <c r="AM72" s="37" t="n">
        <f aca="false">AM65*Annahmen!$B$52+AM66*Annahmen!$B$53+AM67*Annahmen!$B$54+AM71*Annahmen!$B$55+AM69*Annahmen!$B$56+AM71*INDEX(Annahmen!$B$58:$F$58,1,AM$20)*Annahmen!$B$57+AM$21*$E$8*Annahmen!$B$21*Annahmen!$B$24*Annahmen!$B$59</f>
        <v>7393.19729973644</v>
      </c>
      <c r="AN72" s="37" t="n">
        <f aca="false">AN65*Annahmen!$B$52+AN66*Annahmen!$B$53+AN67*Annahmen!$B$54+AN71*Annahmen!$B$55+AN69*Annahmen!$B$56+AN71*INDEX(Annahmen!$B$58:$F$58,1,AN$20)*Annahmen!$B$57+AN$21*$E$8*Annahmen!$B$21*Annahmen!$B$24*Annahmen!$B$59</f>
        <v>7753.11711026397</v>
      </c>
      <c r="AO72" s="37" t="n">
        <f aca="false">AO65*Annahmen!$B$52+AO66*Annahmen!$B$53+AO67*Annahmen!$B$54+AO71*Annahmen!$B$55+AO69*Annahmen!$B$56+AO71*INDEX(Annahmen!$B$58:$F$58,1,AO$20)*Annahmen!$B$57+AO$21*$E$8*Annahmen!$B$21*Annahmen!$B$24*Annahmen!$B$59</f>
        <v>8108.25780704387</v>
      </c>
      <c r="AP72" s="37" t="n">
        <f aca="false">AP65*Annahmen!$B$52+AP66*Annahmen!$B$53+AP67*Annahmen!$B$54+AP71*Annahmen!$B$55+AP69*Annahmen!$B$56+AP71*INDEX(Annahmen!$B$58:$F$58,1,AP$20)*Annahmen!$B$57+AP$21*$E$8*Annahmen!$B$21*Annahmen!$B$24*Annahmen!$B$59</f>
        <v>8458.69026593004</v>
      </c>
      <c r="AQ72" s="37" t="n">
        <f aca="false">AQ65*Annahmen!$B$52+AQ66*Annahmen!$B$53+AQ67*Annahmen!$B$54+AQ71*Annahmen!$B$55+AQ69*Annahmen!$B$56+AQ71*INDEX(Annahmen!$B$58:$F$58,1,AQ$20)*Annahmen!$B$57+AQ$21*$E$8*Annahmen!$B$21*Annahmen!$B$24*Annahmen!$B$59</f>
        <v>8804.48420802525</v>
      </c>
      <c r="AR72" s="37" t="n">
        <f aca="false">AR65*Annahmen!$B$52+AR66*Annahmen!$B$53+AR67*Annahmen!$B$54+AR71*Annahmen!$B$55+AR69*Annahmen!$B$56+AR71*INDEX(Annahmen!$B$58:$F$58,1,AR$20)*Annahmen!$B$57+AR$21*$E$8*Annahmen!$B$21*Annahmen!$B$24*Annahmen!$B$59</f>
        <v>9145.70821992482</v>
      </c>
      <c r="AS72" s="37" t="n">
        <f aca="false">AS65*Annahmen!$B$52+AS66*Annahmen!$B$53+AS67*Annahmen!$B$54+AS71*Annahmen!$B$55+AS69*Annahmen!$B$56+AS71*INDEX(Annahmen!$B$58:$F$58,1,AS$20)*Annahmen!$B$57+AS$21*$E$8*Annahmen!$B$21*Annahmen!$B$24*Annahmen!$B$59</f>
        <v>9482.42977358571</v>
      </c>
      <c r="AT72" s="37" t="n">
        <f aca="false">AT65*Annahmen!$B$52+AT66*Annahmen!$B$53+AT67*Annahmen!$B$54+AT71*Annahmen!$B$55+AT69*Annahmen!$B$56+AT71*INDEX(Annahmen!$B$58:$F$58,1,AT$20)*Annahmen!$B$57+AT$21*$E$8*Annahmen!$B$21*Annahmen!$B$24*Annahmen!$B$59</f>
        <v>9814.71524582817</v>
      </c>
      <c r="AU72" s="37" t="n">
        <f aca="false">AU65*Annahmen!$B$52+AU66*Annahmen!$B$53+AU67*Annahmen!$B$54+AU71*Annahmen!$B$55+AU69*Annahmen!$B$56+AU71*INDEX(Annahmen!$B$58:$F$58,1,AU$20)*Annahmen!$B$57+AU$21*$E$8*Annahmen!$B$21*Annahmen!$B$24*Annahmen!$B$59</f>
        <v>10142.6299374771</v>
      </c>
      <c r="AV72" s="37" t="n">
        <f aca="false">AV65*Annahmen!$B$52+AV66*Annahmen!$B$53+AV67*Annahmen!$B$54+AV71*Annahmen!$B$55+AV69*Annahmen!$B$56+AV71*INDEX(Annahmen!$B$58:$F$58,1,AV$20)*Annahmen!$B$57+AV$21*$E$8*Annahmen!$B$21*Annahmen!$B$24*Annahmen!$B$59</f>
        <v>10466.2380921499</v>
      </c>
      <c r="AW72" s="37" t="n">
        <f aca="false">AW65*Annahmen!$B$52+AW66*Annahmen!$B$53+AW67*Annahmen!$B$54+AW71*Annahmen!$B$55+AW69*Annahmen!$B$56+AW71*INDEX(Annahmen!$B$58:$F$58,1,AW$20)*Annahmen!$B$57+AW$21*$E$8*Annahmen!$B$21*Annahmen!$B$24*Annahmen!$B$59</f>
        <v>10785.6029146977</v>
      </c>
      <c r="AX72" s="37" t="n">
        <f aca="false">AX65*Annahmen!$B$52+AX66*Annahmen!$B$53+AX67*Annahmen!$B$54+AX71*Annahmen!$B$55+AX69*Annahmen!$B$56+AX71*INDEX(Annahmen!$B$58:$F$58,1,AX$20)*Annahmen!$B$57+AX$21*$E$8*Annahmen!$B$21*Annahmen!$B$24*Annahmen!$B$59</f>
        <v>11100.7865893069</v>
      </c>
      <c r="AY72" s="37" t="n">
        <f aca="false">AY65*Annahmen!$B$52+AY66*Annahmen!$B$53+AY67*Annahmen!$B$54+AY71*Annahmen!$B$55+AY69*Annahmen!$B$56+AY71*INDEX(Annahmen!$B$58:$F$58,1,AY$20)*Annahmen!$B$57+AY$21*$E$8*Annahmen!$B$21*Annahmen!$B$24*Annahmen!$B$59</f>
        <v>13189.9395193564</v>
      </c>
      <c r="AZ72" s="37" t="n">
        <f aca="false">AZ65*Annahmen!$B$52+AZ66*Annahmen!$B$53+AZ67*Annahmen!$B$54+AZ71*Annahmen!$B$55+AZ69*Annahmen!$B$56+AZ71*INDEX(Annahmen!$B$58:$F$58,1,AZ$20)*Annahmen!$B$57+AZ$21*$E$8*Annahmen!$B$21*Annahmen!$B$24*Annahmen!$B$59</f>
        <v>13653.8417269867</v>
      </c>
      <c r="BA72" s="37" t="n">
        <f aca="false">BA65*Annahmen!$B$52+BA66*Annahmen!$B$53+BA67*Annahmen!$B$54+BA71*Annahmen!$B$55+BA69*Annahmen!$B$56+BA71*INDEX(Annahmen!$B$58:$F$58,1,BA$20)*Annahmen!$B$57+BA$21*$E$8*Annahmen!$B$21*Annahmen!$B$24*Annahmen!$B$59</f>
        <v>14111.6417678123</v>
      </c>
      <c r="BB72" s="37" t="n">
        <f aca="false">BB65*Annahmen!$B$52+BB66*Annahmen!$B$53+BB67*Annahmen!$B$54+BB71*Annahmen!$B$55+BB69*Annahmen!$B$56+BB71*INDEX(Annahmen!$B$58:$F$58,1,BB$20)*Annahmen!$B$57+BB$21*$E$8*Annahmen!$B$21*Annahmen!$B$24*Annahmen!$B$59</f>
        <v>14563.4293334653</v>
      </c>
      <c r="BC72" s="37" t="n">
        <f aca="false">BC65*Annahmen!$B$52+BC66*Annahmen!$B$53+BC67*Annahmen!$B$54+BC71*Annahmen!$B$55+BC69*Annahmen!$B$56+BC71*INDEX(Annahmen!$B$58:$F$58,1,BC$20)*Annahmen!$B$57+BC$21*$E$8*Annahmen!$B$21*Annahmen!$B$24*Annahmen!$B$59</f>
        <v>15009.2926653819</v>
      </c>
      <c r="BD72" s="37" t="n">
        <f aca="false">BD65*Annahmen!$B$52+BD66*Annahmen!$B$53+BD67*Annahmen!$B$54+BD71*Annahmen!$B$55+BD69*Annahmen!$B$56+BD71*INDEX(Annahmen!$B$58:$F$58,1,BD$20)*Annahmen!$B$57+BD$21*$E$8*Annahmen!$B$21*Annahmen!$B$24*Annahmen!$B$59</f>
        <v>15449.3185800728</v>
      </c>
      <c r="BE72" s="37" t="n">
        <f aca="false">BE65*Annahmen!$B$52+BE66*Annahmen!$B$53+BE67*Annahmen!$B$54+BE71*Annahmen!$B$55+BE69*Annahmen!$B$56+BE71*INDEX(Annahmen!$B$58:$F$58,1,BE$20)*Annahmen!$B$57+BE$21*$E$8*Annahmen!$B$21*Annahmen!$B$24*Annahmen!$B$59</f>
        <v>15883.5924939267</v>
      </c>
      <c r="BF72" s="37" t="n">
        <f aca="false">BF65*Annahmen!$B$52+BF66*Annahmen!$B$53+BF67*Annahmen!$B$54+BF71*Annahmen!$B$55+BF69*Annahmen!$B$56+BF71*INDEX(Annahmen!$B$58:$F$58,1,BF$20)*Annahmen!$B$57+BF$21*$E$8*Annahmen!$B$21*Annahmen!$B$24*Annahmen!$B$59</f>
        <v>16312.1984475583</v>
      </c>
      <c r="BG72" s="37" t="n">
        <f aca="false">BG65*Annahmen!$B$52+BG66*Annahmen!$B$53+BG67*Annahmen!$B$54+BG71*Annahmen!$B$55+BG69*Annahmen!$B$56+BG71*INDEX(Annahmen!$B$58:$F$58,1,BG$20)*Annahmen!$B$57+BG$21*$E$8*Annahmen!$B$21*Annahmen!$B$24*Annahmen!$B$59</f>
        <v>16735.2191297083</v>
      </c>
      <c r="BH72" s="37" t="n">
        <f aca="false">BH65*Annahmen!$B$52+BH66*Annahmen!$B$53+BH67*Annahmen!$B$54+BH71*Annahmen!$B$55+BH69*Annahmen!$B$56+BH71*INDEX(Annahmen!$B$58:$F$58,1,BH$20)*Annahmen!$B$57+BH$21*$E$8*Annahmen!$B$21*Annahmen!$B$24*Annahmen!$B$59</f>
        <v>17152.7359007036</v>
      </c>
      <c r="BI72" s="37" t="n">
        <f aca="false">BI65*Annahmen!$B$52+BI66*Annahmen!$B$53+BI67*Annahmen!$B$54+BI71*Annahmen!$B$55+BI69*Annahmen!$B$56+BI71*INDEX(Annahmen!$B$58:$F$58,1,BI$20)*Annahmen!$B$57+BI$21*$E$8*Annahmen!$B$21*Annahmen!$B$24*Annahmen!$B$59</f>
        <v>17564.8288154873</v>
      </c>
      <c r="BJ72" s="37" t="n">
        <f aca="false">BJ65*Annahmen!$B$52+BJ66*Annahmen!$B$53+BJ67*Annahmen!$B$54+BJ71*Annahmen!$B$55+BJ69*Annahmen!$B$56+BJ71*INDEX(Annahmen!$B$58:$F$58,1,BJ$20)*Annahmen!$B$57+BJ$21*$E$8*Annahmen!$B$21*Annahmen!$B$24*Annahmen!$B$59</f>
        <v>17971.576646226</v>
      </c>
    </row>
    <row r="73" customFormat="false" ht="15" hidden="false" customHeight="false" outlineLevel="0" collapsed="false">
      <c r="B73" s="5" t="s">
        <v>267</v>
      </c>
      <c r="C73" s="37" t="n">
        <f aca="false">C71-C72-C$22</f>
        <v>-15953.0502254448</v>
      </c>
      <c r="D73" s="37" t="n">
        <f aca="false">D71-D72-D$22</f>
        <v>-5833.68226746426</v>
      </c>
      <c r="E73" s="37" t="n">
        <f aca="false">E71-E72-E$22</f>
        <v>-6318.59475569921</v>
      </c>
      <c r="F73" s="37" t="n">
        <f aca="false">F71-F72-F$22</f>
        <v>-13745.2484226968</v>
      </c>
      <c r="G73" s="37" t="n">
        <f aca="false">G71-G72-G$22</f>
        <v>-4111.84631832751</v>
      </c>
      <c r="H73" s="37" t="n">
        <f aca="false">H71-H72-H$22</f>
        <v>-3486.92595758272</v>
      </c>
      <c r="I73" s="37" t="n">
        <f aca="false">I71-I72-I$22</f>
        <v>-8845.88540947781</v>
      </c>
      <c r="J73" s="37" t="n">
        <f aca="false">J71-J72-J$22</f>
        <v>-6110.86608512474</v>
      </c>
      <c r="K73" s="37" t="n">
        <f aca="false">K71-K72-K$22</f>
        <v>-5188.34486752485</v>
      </c>
      <c r="L73" s="37" t="n">
        <f aca="false">L71-L72-L$22</f>
        <v>-14447.6601828012</v>
      </c>
      <c r="M73" s="37" t="n">
        <f aca="false">M71-M72-M$22</f>
        <v>-8922.89477092741</v>
      </c>
      <c r="N73" s="37" t="n">
        <f aca="false">N71-N72-N$22</f>
        <v>-7714.4677984973</v>
      </c>
      <c r="O73" s="37" t="n">
        <f aca="false">O71-O72-O$22</f>
        <v>-21485.8043846728</v>
      </c>
      <c r="P73" s="37" t="n">
        <f aca="false">P71-P72-P$22</f>
        <v>-16315.1487405187</v>
      </c>
      <c r="Q73" s="37" t="n">
        <f aca="false">Q71-Q72-Q$22</f>
        <v>-21765.4155742958</v>
      </c>
      <c r="R73" s="37" t="n">
        <f aca="false">R71-R72-R$22</f>
        <v>-12635.7760967589</v>
      </c>
      <c r="S73" s="37" t="n">
        <f aca="false">S71-S72-S$22</f>
        <v>-10702.56795553</v>
      </c>
      <c r="T73" s="37" t="n">
        <f aca="false">T71-T72-T$22</f>
        <v>-8795.06786911879</v>
      </c>
      <c r="U73" s="37" t="n">
        <f aca="false">U71-U72-U$22</f>
        <v>-6312.37656879045</v>
      </c>
      <c r="V73" s="37" t="n">
        <f aca="false">V71-V72-V$22</f>
        <v>-4030.76236292748</v>
      </c>
      <c r="W73" s="37" t="n">
        <f aca="false">W71-W72-W$22</f>
        <v>-15779.4337511871</v>
      </c>
      <c r="X73" s="37" t="n">
        <f aca="false">X71-X72-X$22</f>
        <v>-10278.1843468713</v>
      </c>
      <c r="Y73" s="37" t="n">
        <f aca="false">Y71-Y72-Y$22</f>
        <v>-2861.69642214919</v>
      </c>
      <c r="Z73" s="37" t="n">
        <f aca="false">Z71-Z72-Z$22</f>
        <v>-279.873503427749</v>
      </c>
      <c r="AA73" s="37" t="n">
        <f aca="false">AA71-AA72-AA$22</f>
        <v>-4776.75882495122</v>
      </c>
      <c r="AB73" s="37" t="n">
        <f aca="false">AB71-AB72-AB$22</f>
        <v>-2122.39271941294</v>
      </c>
      <c r="AC73" s="37" t="n">
        <f aca="false">AC71-AC72-AC$22</f>
        <v>496.919042279624</v>
      </c>
      <c r="AD73" s="37" t="n">
        <f aca="false">AD71-AD72-AD$22</f>
        <v>-18198.0235633515</v>
      </c>
      <c r="AE73" s="37" t="n">
        <f aca="false">AE71-AE72-AE$22</f>
        <v>1462.62489298418</v>
      </c>
      <c r="AF73" s="37" t="n">
        <f aca="false">AF71-AF72-AF$22</f>
        <v>4285.57932108428</v>
      </c>
      <c r="AG73" s="37" t="n">
        <f aca="false">AG71-AG72-AG$22</f>
        <v>534.939617765609</v>
      </c>
      <c r="AH73" s="37" t="n">
        <f aca="false">AH71-AH72-AH$22</f>
        <v>5394.06393825214</v>
      </c>
      <c r="AI73" s="37" t="n">
        <f aca="false">AI71-AI72-AI$22</f>
        <v>8412.96593404847</v>
      </c>
      <c r="AJ73" s="37" t="n">
        <f aca="false">AJ71-AJ72-AJ$22</f>
        <v>7976.63802280296</v>
      </c>
      <c r="AK73" s="37" t="n">
        <f aca="false">AK71-AK72-AK$22</f>
        <v>15330.0620536821</v>
      </c>
      <c r="AL73" s="37" t="n">
        <f aca="false">AL71-AL72-AL$22</f>
        <v>18639.453582189</v>
      </c>
      <c r="AM73" s="37" t="n">
        <f aca="false">AM71-AM72-AM$22</f>
        <v>-609.428246275158</v>
      </c>
      <c r="AN73" s="37" t="n">
        <f aca="false">AN71-AN72-AN$22</f>
        <v>6679.71743744693</v>
      </c>
      <c r="AO73" s="37" t="n">
        <f aca="false">AO71-AO72-AO$22</f>
        <v>320.459778908291</v>
      </c>
      <c r="AP73" s="37" t="n">
        <f aca="false">AP71-AP72-AP$22</f>
        <v>13913.5076197693</v>
      </c>
      <c r="AQ73" s="37" t="n">
        <f aca="false">AQ71-AQ72-AQ$22</f>
        <v>17459.5583884137</v>
      </c>
      <c r="AR73" s="37" t="n">
        <f aca="false">AR71-AR72-AR$22</f>
        <v>20959.2982980219</v>
      </c>
      <c r="AS73" s="37" t="n">
        <f aca="false">AS71-AS72-AS$22</f>
        <v>17549.0437950103</v>
      </c>
      <c r="AT73" s="37" t="n">
        <f aca="false">AT71-AT72-AT$22</f>
        <v>22758.1767339024</v>
      </c>
      <c r="AU73" s="37" t="n">
        <f aca="false">AU71-AU72-AU$22</f>
        <v>8122.99208870226</v>
      </c>
      <c r="AV73" s="37" t="n">
        <f aca="false">AV71-AV72-AV$22</f>
        <v>29444.1331208371</v>
      </c>
      <c r="AW73" s="37" t="n">
        <f aca="false">AW71-AW72-AW$22</f>
        <v>32722.2328137326</v>
      </c>
      <c r="AX73" s="37" t="n">
        <f aca="false">AX71-AX72-AX$22</f>
        <v>35957.9140500877</v>
      </c>
      <c r="AY73" s="37" t="n">
        <f aca="false">AY71-AY72-AY$22</f>
        <v>19735.6060189801</v>
      </c>
      <c r="AZ73" s="37" t="n">
        <f aca="false">AZ71-AZ72-AZ$22</f>
        <v>27450.079995156</v>
      </c>
      <c r="BA73" s="37" t="n">
        <f aca="false">BA71-BA72-BA$22</f>
        <v>31510.9981220238</v>
      </c>
      <c r="BB73" s="37" t="n">
        <f aca="false">BB71-BB72-BB$22</f>
        <v>17519.1388038356</v>
      </c>
      <c r="BC73" s="37" t="n">
        <f aca="false">BC71-BC72-BC$22</f>
        <v>39475.2679918332</v>
      </c>
      <c r="BD73" s="37" t="n">
        <f aca="false">BD71-BD72-BD$22</f>
        <v>43380.1393992689</v>
      </c>
      <c r="BE73" s="37" t="n">
        <f aca="false">BE71-BE72-BE$22</f>
        <v>47234.4947124941</v>
      </c>
      <c r="BF73" s="37" t="n">
        <f aca="false">BF71-BF72-BF$22</f>
        <v>51039.0637981906</v>
      </c>
      <c r="BG73" s="37" t="n">
        <f aca="false">BG71-BG72-BG$22</f>
        <v>54794.5649068194</v>
      </c>
      <c r="BH73" s="37" t="n">
        <f aca="false">BH71-BH72-BH$22</f>
        <v>53501.7048723574</v>
      </c>
      <c r="BI73" s="37" t="n">
        <f aca="false">BI71-BI72-BI$22</f>
        <v>62161.1793083934</v>
      </c>
      <c r="BJ73" s="37" t="n">
        <f aca="false">BJ71-BJ72-BJ$22</f>
        <v>65773.6728006534</v>
      </c>
    </row>
    <row r="74" customFormat="false" ht="15" hidden="false" customHeight="false" outlineLevel="0" collapsed="false">
      <c r="B74" s="5" t="s">
        <v>401</v>
      </c>
      <c r="C74" s="37" t="n">
        <f aca="false">0+C73-C$23-C$24</f>
        <v>-16369.7168921115</v>
      </c>
      <c r="D74" s="37" t="n">
        <f aca="false">C74+D73-D$23-D$24</f>
        <v>-22620.0658262424</v>
      </c>
      <c r="E74" s="37" t="n">
        <f aca="false">D74+E73-E$23-E$24</f>
        <v>-29355.3272486083</v>
      </c>
      <c r="F74" s="37" t="n">
        <f aca="false">E74+F73-F$23-F$24</f>
        <v>-43517.2423379717</v>
      </c>
      <c r="G74" s="37" t="n">
        <f aca="false">F74+G73-G$23-G$24</f>
        <v>-48045.7553229659</v>
      </c>
      <c r="H74" s="37" t="n">
        <f aca="false">G74+H73-H$23-H$24</f>
        <v>-51949.3479472153</v>
      </c>
      <c r="I74" s="37" t="n">
        <f aca="false">H74+I73-I$23-I$24</f>
        <v>-61211.9000233598</v>
      </c>
      <c r="J74" s="37" t="n">
        <f aca="false">I74+J73-J$23-J$24</f>
        <v>-67739.4327751512</v>
      </c>
      <c r="K74" s="37" t="n">
        <f aca="false">J74+K73-K$23-K$24</f>
        <v>-73344.4443093427</v>
      </c>
      <c r="L74" s="37" t="n">
        <f aca="false">K74+L73-L$23-L$24</f>
        <v>-88208.7711588106</v>
      </c>
      <c r="M74" s="37" t="n">
        <f aca="false">L74+M73-M$23-M$24</f>
        <v>-97548.3325964047</v>
      </c>
      <c r="N74" s="37" t="n">
        <f aca="false">M74+N73-N$23-N$24</f>
        <v>-105679.467061569</v>
      </c>
      <c r="O74" s="37" t="n">
        <f aca="false">N74+O73-O$23-O$24</f>
        <v>-127581.938112908</v>
      </c>
      <c r="P74" s="37" t="n">
        <f aca="false">O74+P73-P$23-P$24</f>
        <v>-144313.753520093</v>
      </c>
      <c r="Q74" s="37" t="n">
        <f aca="false">P74+Q73-Q$23-Q$24</f>
        <v>-166495.835761056</v>
      </c>
      <c r="R74" s="37" t="n">
        <f aca="false">Q74+R73-R$23-R$24</f>
        <v>-179548.278524482</v>
      </c>
      <c r="S74" s="37" t="n">
        <f aca="false">R74+S73-S$23-S$24</f>
        <v>-190667.513146678</v>
      </c>
      <c r="T74" s="37" t="n">
        <f aca="false">S74+T73-T$23-T$24</f>
        <v>-199879.247682464</v>
      </c>
      <c r="U74" s="37" t="n">
        <f aca="false">T74+U73-U$23-U$24</f>
        <v>-206608.290917921</v>
      </c>
      <c r="V74" s="37" t="n">
        <f aca="false">U74+V73-V$23-V$24</f>
        <v>-211055.719947515</v>
      </c>
      <c r="W74" s="37" t="n">
        <f aca="false">V74+W73-W$23-W$24</f>
        <v>-227251.820365369</v>
      </c>
      <c r="X74" s="37" t="n">
        <f aca="false">W74+X73-X$23-X$24</f>
        <v>-237946.671378907</v>
      </c>
      <c r="Y74" s="37" t="n">
        <f aca="false">X74+Y73-Y$23-Y$24</f>
        <v>-241225.034467722</v>
      </c>
      <c r="Z74" s="37" t="n">
        <f aca="false">Y74+Z73-Z$23-Z$24</f>
        <v>-241921.574637817</v>
      </c>
      <c r="AA74" s="37" t="n">
        <f aca="false">Z74+AA73-AA$23-AA$24</f>
        <v>-248417.083462768</v>
      </c>
      <c r="AB74" s="37" t="n">
        <f aca="false">AA74+AB73-AB$23-AB$24</f>
        <v>-252253.885904403</v>
      </c>
      <c r="AC74" s="37" t="n">
        <f aca="false">AB74+AC73-AC$23-AC$24</f>
        <v>-253467.036306568</v>
      </c>
      <c r="AD74" s="37" t="n">
        <f aca="false">AC74+AD73-AD$23-AD$24</f>
        <v>-273370.789036586</v>
      </c>
      <c r="AE74" s="37" t="n">
        <f aca="false">AD74+AE73-AE$23-AE$24</f>
        <v>-273609.553032491</v>
      </c>
      <c r="AF74" s="37" t="n">
        <f aca="false">AE74+AF73-AF$23-AF$24</f>
        <v>-271021.022322518</v>
      </c>
      <c r="AG74" s="37" t="n">
        <f aca="false">AF74+AG73-AG$23-AG$24</f>
        <v>-272178.791038085</v>
      </c>
      <c r="AH74" s="37" t="n">
        <f aca="false">AG74+AH73-AH$23-AH$24</f>
        <v>-268473.095155389</v>
      </c>
      <c r="AI74" s="37" t="n">
        <f aca="false">AH74+AI73-AI$23-AI$24</f>
        <v>-261744.156999118</v>
      </c>
      <c r="AJ74" s="37" t="n">
        <f aca="false">AI74+AJ73-AJ$23-AJ$24</f>
        <v>-255447.206476315</v>
      </c>
      <c r="AK74" s="37" t="n">
        <f aca="false">AJ74+AK73-AK$23-AK$24</f>
        <v>-241792.491644855</v>
      </c>
      <c r="AL74" s="37" t="n">
        <f aca="false">AK74+AL73-AL$23-AL$24</f>
        <v>-224824.045007111</v>
      </c>
      <c r="AM74" s="37" t="n">
        <f aca="false">AL74+AM73-AM$23-AM$24</f>
        <v>-227100.139920053</v>
      </c>
      <c r="AN74" s="37" t="n">
        <f aca="false">AM74+AN73-AN$23-AN$24</f>
        <v>-222082.748871494</v>
      </c>
      <c r="AO74" s="37" t="n">
        <f aca="false">AN74+AO73-AO$23-AO$24</f>
        <v>-223420.275203697</v>
      </c>
      <c r="AP74" s="37" t="n">
        <f aca="false">AO74+AP73-AP$23-AP$24</f>
        <v>-211160.413417261</v>
      </c>
      <c r="AQ74" s="37" t="n">
        <f aca="false">AP74+AQ73-AQ$23-AQ$24</f>
        <v>-195350.160584403</v>
      </c>
      <c r="AR74" s="37" t="n">
        <f aca="false">AQ74+AR73-AR$23-AR$24</f>
        <v>-176035.827564159</v>
      </c>
      <c r="AS74" s="37" t="n">
        <f aca="false">AR74+AS73-AS$23-AS$24</f>
        <v>-160127.408769149</v>
      </c>
      <c r="AT74" s="37" t="n">
        <f aca="false">AS74+AT73-AT$23-AT$24</f>
        <v>-139005.516757469</v>
      </c>
      <c r="AU74" s="37" t="n">
        <f aca="false">AT74+AU73-AU$23-AU$24</f>
        <v>-132514.469113211</v>
      </c>
      <c r="AV74" s="37" t="n">
        <f aca="false">AU74+AV73-AV$23-AV$24</f>
        <v>-104697.94015904</v>
      </c>
      <c r="AW74" s="37" t="n">
        <f aca="false">AV74+AW73-AW$23-AW$24</f>
        <v>-73598.9712341967</v>
      </c>
      <c r="AX74" s="37" t="n">
        <f aca="false">AW74+AX73-AX$23-AX$24</f>
        <v>-39259.9807952201</v>
      </c>
      <c r="AY74" s="37" t="n">
        <f aca="false">AX74+AY73-AY$23-AY$24</f>
        <v>-21138.9581095733</v>
      </c>
      <c r="AZ74" s="37" t="n">
        <f aca="false">AY74+AZ73-AZ$23-AZ$24</f>
        <v>4700.87883002709</v>
      </c>
      <c r="BA74" s="37" t="n">
        <f aca="false">AZ74+BA73-BA$23-BA$24</f>
        <v>34605.9741742732</v>
      </c>
      <c r="BB74" s="37" t="n">
        <f aca="false">BA74+BB73-BB$23-BB$24</f>
        <v>50523.5504781087</v>
      </c>
      <c r="BC74" s="37" t="n">
        <f aca="false">BB74+BC73-BC$23-BC$24</f>
        <v>88401.5962477197</v>
      </c>
      <c r="BD74" s="37" t="n">
        <f aca="false">BC74+BD73-BD$23-BD$24</f>
        <v>130188.853702544</v>
      </c>
      <c r="BE74" s="37" t="n">
        <f aca="false">BD74+BE73-BE$23-BE$24</f>
        <v>175834.806748372</v>
      </c>
      <c r="BF74" s="37" t="n">
        <f aca="false">BE74+BF73-BF$23-BF$24</f>
        <v>225289.669157673</v>
      </c>
      <c r="BG74" s="37" t="n">
        <f aca="false">BF74+BG73-BG$23-BG$24</f>
        <v>278504.372953382</v>
      </c>
      <c r="BH74" s="37" t="n">
        <f aca="false">BG74+BH73-BH$23-BH$24</f>
        <v>330430.556992406</v>
      </c>
      <c r="BI74" s="37" t="n">
        <f aca="false">BH74+BI73-BI$23-BI$24</f>
        <v>391020.555745244</v>
      </c>
      <c r="BJ74" s="37" t="n">
        <f aca="false">BI74+BJ73-BJ$23-BJ$24</f>
        <v>455227.388268119</v>
      </c>
    </row>
    <row r="75" customFormat="false" ht="15" hidden="false" customHeight="false" outlineLevel="0" collapsed="false">
      <c r="B75" s="5" t="s">
        <v>402</v>
      </c>
      <c r="C75" s="38" t="n">
        <f aca="false">IF(C73&gt;=0,C$19,999)</f>
        <v>999</v>
      </c>
      <c r="D75" s="38" t="n">
        <f aca="false">IF(D73&gt;=0,D$19,999)</f>
        <v>999</v>
      </c>
      <c r="E75" s="38" t="n">
        <f aca="false">IF(E73&gt;=0,E$19,999)</f>
        <v>999</v>
      </c>
      <c r="F75" s="38" t="n">
        <f aca="false">IF(F73&gt;=0,F$19,999)</f>
        <v>999</v>
      </c>
      <c r="G75" s="38" t="n">
        <f aca="false">IF(G73&gt;=0,G$19,999)</f>
        <v>999</v>
      </c>
      <c r="H75" s="38" t="n">
        <f aca="false">IF(H73&gt;=0,H$19,999)</f>
        <v>999</v>
      </c>
      <c r="I75" s="38" t="n">
        <f aca="false">IF(I73&gt;=0,I$19,999)</f>
        <v>999</v>
      </c>
      <c r="J75" s="38" t="n">
        <f aca="false">IF(J73&gt;=0,J$19,999)</f>
        <v>999</v>
      </c>
      <c r="K75" s="38" t="n">
        <f aca="false">IF(K73&gt;=0,K$19,999)</f>
        <v>999</v>
      </c>
      <c r="L75" s="38" t="n">
        <f aca="false">IF(L73&gt;=0,L$19,999)</f>
        <v>999</v>
      </c>
      <c r="M75" s="38" t="n">
        <f aca="false">IF(M73&gt;=0,M$19,999)</f>
        <v>999</v>
      </c>
      <c r="N75" s="38" t="n">
        <f aca="false">IF(N73&gt;=0,N$19,999)</f>
        <v>999</v>
      </c>
      <c r="O75" s="38" t="n">
        <f aca="false">IF(O73&gt;=0,O$19,999)</f>
        <v>999</v>
      </c>
      <c r="P75" s="38" t="n">
        <f aca="false">IF(P73&gt;=0,P$19,999)</f>
        <v>999</v>
      </c>
      <c r="Q75" s="38" t="n">
        <f aca="false">IF(Q73&gt;=0,Q$19,999)</f>
        <v>999</v>
      </c>
      <c r="R75" s="38" t="n">
        <f aca="false">IF(R73&gt;=0,R$19,999)</f>
        <v>999</v>
      </c>
      <c r="S75" s="38" t="n">
        <f aca="false">IF(S73&gt;=0,S$19,999)</f>
        <v>999</v>
      </c>
      <c r="T75" s="38" t="n">
        <f aca="false">IF(T73&gt;=0,T$19,999)</f>
        <v>999</v>
      </c>
      <c r="U75" s="38" t="n">
        <f aca="false">IF(U73&gt;=0,U$19,999)</f>
        <v>999</v>
      </c>
      <c r="V75" s="38" t="n">
        <f aca="false">IF(V73&gt;=0,V$19,999)</f>
        <v>999</v>
      </c>
      <c r="W75" s="38" t="n">
        <f aca="false">IF(W73&gt;=0,W$19,999)</f>
        <v>999</v>
      </c>
      <c r="X75" s="38" t="n">
        <f aca="false">IF(X73&gt;=0,X$19,999)</f>
        <v>999</v>
      </c>
      <c r="Y75" s="38" t="n">
        <f aca="false">IF(Y73&gt;=0,Y$19,999)</f>
        <v>999</v>
      </c>
      <c r="Z75" s="38" t="n">
        <f aca="false">IF(Z73&gt;=0,Z$19,999)</f>
        <v>999</v>
      </c>
      <c r="AA75" s="38" t="n">
        <f aca="false">IF(AA73&gt;=0,AA$19,999)</f>
        <v>999</v>
      </c>
      <c r="AB75" s="38" t="n">
        <f aca="false">IF(AB73&gt;=0,AB$19,999)</f>
        <v>999</v>
      </c>
      <c r="AC75" s="38" t="n">
        <f aca="false">IF(AC73&gt;=0,AC$19,999)</f>
        <v>27</v>
      </c>
      <c r="AD75" s="38" t="n">
        <f aca="false">IF(AD73&gt;=0,AD$19,999)</f>
        <v>999</v>
      </c>
      <c r="AE75" s="38" t="n">
        <f aca="false">IF(AE73&gt;=0,AE$19,999)</f>
        <v>29</v>
      </c>
      <c r="AF75" s="38" t="n">
        <f aca="false">IF(AF73&gt;=0,AF$19,999)</f>
        <v>30</v>
      </c>
      <c r="AG75" s="38" t="n">
        <f aca="false">IF(AG73&gt;=0,AG$19,999)</f>
        <v>31</v>
      </c>
      <c r="AH75" s="38" t="n">
        <f aca="false">IF(AH73&gt;=0,AH$19,999)</f>
        <v>32</v>
      </c>
      <c r="AI75" s="38" t="n">
        <f aca="false">IF(AI73&gt;=0,AI$19,999)</f>
        <v>33</v>
      </c>
      <c r="AJ75" s="38" t="n">
        <f aca="false">IF(AJ73&gt;=0,AJ$19,999)</f>
        <v>34</v>
      </c>
      <c r="AK75" s="38" t="n">
        <f aca="false">IF(AK73&gt;=0,AK$19,999)</f>
        <v>35</v>
      </c>
      <c r="AL75" s="38" t="n">
        <f aca="false">IF(AL73&gt;=0,AL$19,999)</f>
        <v>36</v>
      </c>
      <c r="AM75" s="38" t="n">
        <f aca="false">IF(AM73&gt;=0,AM$19,999)</f>
        <v>999</v>
      </c>
      <c r="AN75" s="38" t="n">
        <f aca="false">IF(AN73&gt;=0,AN$19,999)</f>
        <v>38</v>
      </c>
      <c r="AO75" s="38" t="n">
        <f aca="false">IF(AO73&gt;=0,AO$19,999)</f>
        <v>39</v>
      </c>
      <c r="AP75" s="38" t="n">
        <f aca="false">IF(AP73&gt;=0,AP$19,999)</f>
        <v>40</v>
      </c>
      <c r="AQ75" s="38" t="n">
        <f aca="false">IF(AQ73&gt;=0,AQ$19,999)</f>
        <v>41</v>
      </c>
      <c r="AR75" s="38" t="n">
        <f aca="false">IF(AR73&gt;=0,AR$19,999)</f>
        <v>42</v>
      </c>
      <c r="AS75" s="38" t="n">
        <f aca="false">IF(AS73&gt;=0,AS$19,999)</f>
        <v>43</v>
      </c>
      <c r="AT75" s="38" t="n">
        <f aca="false">IF(AT73&gt;=0,AT$19,999)</f>
        <v>44</v>
      </c>
      <c r="AU75" s="38" t="n">
        <f aca="false">IF(AU73&gt;=0,AU$19,999)</f>
        <v>45</v>
      </c>
      <c r="AV75" s="38" t="n">
        <f aca="false">IF(AV73&gt;=0,AV$19,999)</f>
        <v>46</v>
      </c>
      <c r="AW75" s="38" t="n">
        <f aca="false">IF(AW73&gt;=0,AW$19,999)</f>
        <v>47</v>
      </c>
      <c r="AX75" s="38" t="n">
        <f aca="false">IF(AX73&gt;=0,AX$19,999)</f>
        <v>48</v>
      </c>
      <c r="AY75" s="38" t="n">
        <f aca="false">IF(AY73&gt;=0,AY$19,999)</f>
        <v>49</v>
      </c>
      <c r="AZ75" s="38" t="n">
        <f aca="false">IF(AZ73&gt;=0,AZ$19,999)</f>
        <v>50</v>
      </c>
      <c r="BA75" s="38" t="n">
        <f aca="false">IF(BA73&gt;=0,BA$19,999)</f>
        <v>51</v>
      </c>
      <c r="BB75" s="38" t="n">
        <f aca="false">IF(BB73&gt;=0,BB$19,999)</f>
        <v>52</v>
      </c>
      <c r="BC75" s="38" t="n">
        <f aca="false">IF(BC73&gt;=0,BC$19,999)</f>
        <v>53</v>
      </c>
      <c r="BD75" s="38" t="n">
        <f aca="false">IF(BD73&gt;=0,BD$19,999)</f>
        <v>54</v>
      </c>
      <c r="BE75" s="38" t="n">
        <f aca="false">IF(BE73&gt;=0,BE$19,999)</f>
        <v>55</v>
      </c>
      <c r="BF75" s="38" t="n">
        <f aca="false">IF(BF73&gt;=0,BF$19,999)</f>
        <v>56</v>
      </c>
      <c r="BG75" s="38" t="n">
        <f aca="false">IF(BG73&gt;=0,BG$19,999)</f>
        <v>57</v>
      </c>
      <c r="BH75" s="38" t="n">
        <f aca="false">IF(BH73&gt;=0,BH$19,999)</f>
        <v>58</v>
      </c>
      <c r="BI75" s="38" t="n">
        <f aca="false">IF(BI73&gt;=0,BI$19,999)</f>
        <v>59</v>
      </c>
      <c r="BJ75" s="38" t="n">
        <f aca="false">IF(BJ73&gt;=0,BJ$19,999)</f>
        <v>60</v>
      </c>
    </row>
    <row r="76" customFormat="false" ht="15" hidden="false" customHeight="false" outlineLevel="0" collapsed="false">
      <c r="B76" s="19" t="str">
        <f aca="false">"Szenario "&amp;A9&amp;": "&amp;B9</f>
        <v>Szenario 5: Preise −15 %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</row>
    <row r="77" customFormat="false" ht="15" hidden="false" customHeight="false" outlineLevel="0" collapsed="false">
      <c r="B77" s="5" t="s">
        <v>396</v>
      </c>
      <c r="C77" s="41" t="n">
        <f aca="false">Annahmen!$B$7*Annahmen!$B$19*(1-Annahmen!$B$31*$C$9)+C$21*$E$9*Annahmen!$B$19</f>
        <v>3.925</v>
      </c>
      <c r="D77" s="41" t="n">
        <f aca="false">C77*(1-Annahmen!$B$31*$C$9)+D$21*$E$9*Annahmen!$B$19</f>
        <v>5.30725</v>
      </c>
      <c r="E77" s="41" t="n">
        <f aca="false">D77*(1-Annahmen!$B$31*$C$9)+E$21*$E$9*Annahmen!$B$19</f>
        <v>6.6480325</v>
      </c>
      <c r="F77" s="41" t="n">
        <f aca="false">E77*(1-Annahmen!$B$31*$C$9)+F$21*$E$9*Annahmen!$B$19</f>
        <v>9.448591525</v>
      </c>
      <c r="G77" s="41" t="n">
        <f aca="false">F77*(1-Annahmen!$B$31*$C$9)+G$21*$E$9*Annahmen!$B$19</f>
        <v>12.16513377925</v>
      </c>
      <c r="H77" s="41" t="n">
        <f aca="false">G77*(1-Annahmen!$B$31*$C$9)+H$21*$E$9*Annahmen!$B$19</f>
        <v>14.8001797658725</v>
      </c>
      <c r="I77" s="41" t="n">
        <f aca="false">H77*(1-Annahmen!$B$31*$C$9)+I$21*$E$9*Annahmen!$B$19</f>
        <v>18.8561743728963</v>
      </c>
      <c r="J77" s="41" t="n">
        <f aca="false">I77*(1-Annahmen!$B$31*$C$9)+J$21*$E$9*Annahmen!$B$19</f>
        <v>22.7904891417094</v>
      </c>
      <c r="K77" s="41" t="n">
        <f aca="false">J77*(1-Annahmen!$B$31*$C$9)+K$21*$E$9*Annahmen!$B$19</f>
        <v>26.6067744674582</v>
      </c>
      <c r="L77" s="41" t="n">
        <f aca="false">K77*(1-Annahmen!$B$31*$C$9)+L$21*$E$9*Annahmen!$B$19</f>
        <v>31.8085712334344</v>
      </c>
      <c r="M77" s="41" t="n">
        <f aca="false">L77*(1-Annahmen!$B$31*$C$9)+M$21*$E$9*Annahmen!$B$19</f>
        <v>36.8543140964314</v>
      </c>
      <c r="N77" s="41" t="n">
        <f aca="false">M77*(1-Annahmen!$B$31*$C$9)+N$21*$E$9*Annahmen!$B$19</f>
        <v>41.7486846735384</v>
      </c>
      <c r="O77" s="41" t="n">
        <f aca="false">N77*(1-Annahmen!$B$31*$C$9)+O$21*$E$9*Annahmen!$B$19</f>
        <v>48.4962241333323</v>
      </c>
      <c r="P77" s="41" t="n">
        <f aca="false">O77*(1-Annahmen!$B$31*$C$9)+P$21*$E$9*Annahmen!$B$19</f>
        <v>55.0413374093323</v>
      </c>
      <c r="Q77" s="41" t="n">
        <f aca="false">P77*(1-Annahmen!$B$31*$C$9)+Q$21*$E$9*Annahmen!$B$19</f>
        <v>61.3900972870523</v>
      </c>
      <c r="R77" s="41" t="n">
        <f aca="false">Q77*(1-Annahmen!$B$31*$C$9)+R$21*$E$9*Annahmen!$B$19</f>
        <v>69.5483943684408</v>
      </c>
      <c r="S77" s="41" t="n">
        <f aca="false">R77*(1-Annahmen!$B$31*$C$9)+S$21*$E$9*Annahmen!$B$19</f>
        <v>77.4619425373875</v>
      </c>
      <c r="T77" s="41" t="n">
        <f aca="false">S77*(1-Annahmen!$B$31*$C$9)+T$21*$E$9*Annahmen!$B$19</f>
        <v>85.1380842612659</v>
      </c>
      <c r="U77" s="41" t="n">
        <f aca="false">T77*(1-Annahmen!$B$31*$C$9)+U$21*$E$9*Annahmen!$B$19</f>
        <v>94.5839417334279</v>
      </c>
      <c r="V77" s="41" t="n">
        <f aca="false">U77*(1-Annahmen!$B$31*$C$9)+V$21*$E$9*Annahmen!$B$19</f>
        <v>103.746423481425</v>
      </c>
      <c r="W77" s="41" t="n">
        <f aca="false">V77*(1-Annahmen!$B$31*$C$9)+W$21*$E$9*Annahmen!$B$19</f>
        <v>112.634030776982</v>
      </c>
      <c r="X77" s="41" t="n">
        <f aca="false">W77*(1-Annahmen!$B$31*$C$9)+X$21*$E$9*Annahmen!$B$19</f>
        <v>123.255009853673</v>
      </c>
      <c r="Y77" s="41" t="n">
        <f aca="false">X77*(1-Annahmen!$B$31*$C$9)+Y$21*$E$9*Annahmen!$B$19</f>
        <v>133.557359558063</v>
      </c>
      <c r="Z77" s="41" t="n">
        <f aca="false">Y77*(1-Annahmen!$B$31*$C$9)+Z$21*$E$9*Annahmen!$B$19</f>
        <v>143.550638771321</v>
      </c>
      <c r="AA77" s="41" t="n">
        <f aca="false">Z77*(1-Annahmen!$B$31*$C$9)+AA$21*$E$9*Annahmen!$B$19</f>
        <v>154.244119608181</v>
      </c>
      <c r="AB77" s="41" t="n">
        <f aca="false">AA77*(1-Annahmen!$B$31*$C$9)+AB$21*$E$9*Annahmen!$B$19</f>
        <v>164.616796019936</v>
      </c>
      <c r="AC77" s="41" t="n">
        <f aca="false">AB77*(1-Annahmen!$B$31*$C$9)+AC$21*$E$9*Annahmen!$B$19</f>
        <v>174.678292139338</v>
      </c>
      <c r="AD77" s="41" t="n">
        <f aca="false">AC77*(1-Annahmen!$B$31*$C$9)+AD$21*$E$9*Annahmen!$B$19</f>
        <v>185.937943375158</v>
      </c>
      <c r="AE77" s="41" t="n">
        <f aca="false">AD77*(1-Annahmen!$B$31*$C$9)+AE$21*$E$9*Annahmen!$B$19</f>
        <v>196.859805073903</v>
      </c>
      <c r="AF77" s="41" t="n">
        <f aca="false">AE77*(1-Annahmen!$B$31*$C$9)+AF$21*$E$9*Annahmen!$B$19</f>
        <v>207.454010921686</v>
      </c>
      <c r="AG77" s="41" t="n">
        <f aca="false">AF77*(1-Annahmen!$B$31*$C$9)+AG$21*$E$9*Annahmen!$B$19</f>
        <v>219.230390594035</v>
      </c>
      <c r="AH77" s="41" t="n">
        <f aca="false">AG77*(1-Annahmen!$B$31*$C$9)+AH$21*$E$9*Annahmen!$B$19</f>
        <v>230.653478876214</v>
      </c>
      <c r="AI77" s="41" t="n">
        <f aca="false">AH77*(1-Annahmen!$B$31*$C$9)+AI$21*$E$9*Annahmen!$B$19</f>
        <v>241.733874509928</v>
      </c>
      <c r="AJ77" s="41" t="n">
        <f aca="false">AI77*(1-Annahmen!$B$31*$C$9)+AJ$21*$E$9*Annahmen!$B$19</f>
        <v>254.48185827463</v>
      </c>
      <c r="AK77" s="41" t="n">
        <f aca="false">AJ77*(1-Annahmen!$B$31*$C$9)+AK$21*$E$9*Annahmen!$B$19</f>
        <v>266.847402526391</v>
      </c>
      <c r="AL77" s="41" t="n">
        <f aca="false">AK77*(1-Annahmen!$B$31*$C$9)+AL$21*$E$9*Annahmen!$B$19</f>
        <v>278.841980450599</v>
      </c>
      <c r="AM77" s="41" t="n">
        <f aca="false">AL77*(1-Annahmen!$B$31*$C$9)+AM$21*$E$9*Annahmen!$B$19</f>
        <v>292.976721037081</v>
      </c>
      <c r="AN77" s="41" t="n">
        <f aca="false">AM77*(1-Annahmen!$B$31*$C$9)+AN$21*$E$9*Annahmen!$B$19</f>
        <v>306.687419405969</v>
      </c>
      <c r="AO77" s="41" t="n">
        <f aca="false">AN77*(1-Annahmen!$B$31*$C$9)+AO$21*$E$9*Annahmen!$B$19</f>
        <v>319.98679682379</v>
      </c>
      <c r="AP77" s="41" t="n">
        <f aca="false">AO77*(1-Annahmen!$B$31*$C$9)+AP$21*$E$9*Annahmen!$B$19</f>
        <v>332.887192919076</v>
      </c>
      <c r="AQ77" s="41" t="n">
        <f aca="false">AP77*(1-Annahmen!$B$31*$C$9)+AQ$21*$E$9*Annahmen!$B$19</f>
        <v>345.400577131504</v>
      </c>
      <c r="AR77" s="41" t="n">
        <f aca="false">AQ77*(1-Annahmen!$B$31*$C$9)+AR$21*$E$9*Annahmen!$B$19</f>
        <v>357.538559817559</v>
      </c>
      <c r="AS77" s="41" t="n">
        <f aca="false">AR77*(1-Annahmen!$B$31*$C$9)+AS$21*$E$9*Annahmen!$B$19</f>
        <v>369.312403023032</v>
      </c>
      <c r="AT77" s="41" t="n">
        <f aca="false">AS77*(1-Annahmen!$B$31*$C$9)+AT$21*$E$9*Annahmen!$B$19</f>
        <v>380.733030932341</v>
      </c>
      <c r="AU77" s="41" t="n">
        <f aca="false">AT77*(1-Annahmen!$B$31*$C$9)+AU$21*$E$9*Annahmen!$B$19</f>
        <v>391.811040004371</v>
      </c>
      <c r="AV77" s="41" t="n">
        <f aca="false">AU77*(1-Annahmen!$B$31*$C$9)+AV$21*$E$9*Annahmen!$B$19</f>
        <v>402.556708804239</v>
      </c>
      <c r="AW77" s="41" t="n">
        <f aca="false">AV77*(1-Annahmen!$B$31*$C$9)+AW$21*$E$9*Annahmen!$B$19</f>
        <v>412.980007540112</v>
      </c>
      <c r="AX77" s="41" t="n">
        <f aca="false">AW77*(1-Annahmen!$B$31*$C$9)+AX$21*$E$9*Annahmen!$B$19</f>
        <v>423.090607313909</v>
      </c>
      <c r="AY77" s="41" t="n">
        <f aca="false">AX77*(1-Annahmen!$B$31*$C$9)+AY$21*$E$9*Annahmen!$B$19</f>
        <v>437.897889094492</v>
      </c>
      <c r="AZ77" s="41" t="n">
        <f aca="false">AY77*(1-Annahmen!$B$31*$C$9)+AZ$21*$E$9*Annahmen!$B$19</f>
        <v>452.260952421657</v>
      </c>
      <c r="BA77" s="41" t="n">
        <f aca="false">AZ77*(1-Annahmen!$B$31*$C$9)+BA$21*$E$9*Annahmen!$B$19</f>
        <v>466.193123849007</v>
      </c>
      <c r="BB77" s="41" t="n">
        <f aca="false">BA77*(1-Annahmen!$B$31*$C$9)+BB$21*$E$9*Annahmen!$B$19</f>
        <v>479.707330133537</v>
      </c>
      <c r="BC77" s="41" t="n">
        <f aca="false">BB77*(1-Annahmen!$B$31*$C$9)+BC$21*$E$9*Annahmen!$B$19</f>
        <v>492.816110229531</v>
      </c>
      <c r="BD77" s="41" t="n">
        <f aca="false">BC77*(1-Annahmen!$B$31*$C$9)+BD$21*$E$9*Annahmen!$B$19</f>
        <v>505.531626922645</v>
      </c>
      <c r="BE77" s="41" t="n">
        <f aca="false">BD77*(1-Annahmen!$B$31*$C$9)+BE$21*$E$9*Annahmen!$B$19</f>
        <v>517.865678114966</v>
      </c>
      <c r="BF77" s="41" t="n">
        <f aca="false">BE77*(1-Annahmen!$B$31*$C$9)+BF$21*$E$9*Annahmen!$B$19</f>
        <v>529.829707771517</v>
      </c>
      <c r="BG77" s="41" t="n">
        <f aca="false">BF77*(1-Annahmen!$B$31*$C$9)+BG$21*$E$9*Annahmen!$B$19</f>
        <v>541.434816538371</v>
      </c>
      <c r="BH77" s="41" t="n">
        <f aca="false">BG77*(1-Annahmen!$B$31*$C$9)+BH$21*$E$9*Annahmen!$B$19</f>
        <v>552.69177204222</v>
      </c>
      <c r="BI77" s="41" t="n">
        <f aca="false">BH77*(1-Annahmen!$B$31*$C$9)+BI$21*$E$9*Annahmen!$B$19</f>
        <v>563.611018880953</v>
      </c>
      <c r="BJ77" s="41" t="n">
        <f aca="false">BI77*(1-Annahmen!$B$31*$C$9)+BJ$21*$E$9*Annahmen!$B$19</f>
        <v>574.202688314525</v>
      </c>
    </row>
    <row r="78" customFormat="false" ht="15" hidden="false" customHeight="false" outlineLevel="0" collapsed="false">
      <c r="B78" s="5" t="s">
        <v>397</v>
      </c>
      <c r="C78" s="41" t="n">
        <f aca="false">Annahmen!$B$7*Annahmen!$B$20*(1-Annahmen!$B$32*$C$9)+C$21*$E$9*Annahmen!$B$20</f>
        <v>3.002</v>
      </c>
      <c r="D78" s="41" t="n">
        <f aca="false">C78*(1-Annahmen!$B$32*$C$9)+D$21*$E$9*Annahmen!$B$20</f>
        <v>4.08196</v>
      </c>
      <c r="E78" s="41" t="n">
        <f aca="false">D78*(1-Annahmen!$B$32*$C$9)+E$21*$E$9*Annahmen!$B$20</f>
        <v>5.1403208</v>
      </c>
      <c r="F78" s="41" t="n">
        <f aca="false">E78*(1-Annahmen!$B$32*$C$9)+F$21*$E$9*Annahmen!$B$20</f>
        <v>7.317514384</v>
      </c>
      <c r="G78" s="41" t="n">
        <f aca="false">F78*(1-Annahmen!$B$32*$C$9)+G$21*$E$9*Annahmen!$B$20</f>
        <v>9.45116409632</v>
      </c>
      <c r="H78" s="41" t="n">
        <f aca="false">G78*(1-Annahmen!$B$32*$C$9)+H$21*$E$9*Annahmen!$B$20</f>
        <v>11.5421408143936</v>
      </c>
      <c r="I78" s="41" t="n">
        <f aca="false">H78*(1-Annahmen!$B$32*$C$9)+I$21*$E$9*Annahmen!$B$20</f>
        <v>14.7312979981057</v>
      </c>
      <c r="J78" s="41" t="n">
        <f aca="false">I78*(1-Annahmen!$B$32*$C$9)+J$21*$E$9*Annahmen!$B$20</f>
        <v>17.8566720381436</v>
      </c>
      <c r="K78" s="41" t="n">
        <f aca="false">J78*(1-Annahmen!$B$32*$C$9)+K$21*$E$9*Annahmen!$B$20</f>
        <v>20.9195385973807</v>
      </c>
      <c r="L78" s="41" t="n">
        <f aca="false">K78*(1-Annahmen!$B$32*$C$9)+L$21*$E$9*Annahmen!$B$20</f>
        <v>25.0611478254331</v>
      </c>
      <c r="M78" s="41" t="n">
        <f aca="false">L78*(1-Annahmen!$B$32*$C$9)+M$21*$E$9*Annahmen!$B$20</f>
        <v>29.1199248689245</v>
      </c>
      <c r="N78" s="41" t="n">
        <f aca="false">M78*(1-Annahmen!$B$32*$C$9)+N$21*$E$9*Annahmen!$B$20</f>
        <v>33.097526371546</v>
      </c>
      <c r="O78" s="41" t="n">
        <f aca="false">N78*(1-Annahmen!$B$32*$C$9)+O$21*$E$9*Annahmen!$B$20</f>
        <v>38.5155758441151</v>
      </c>
      <c r="P78" s="41" t="n">
        <f aca="false">O78*(1-Annahmen!$B$32*$C$9)+P$21*$E$9*Annahmen!$B$20</f>
        <v>43.8252643272328</v>
      </c>
      <c r="Q78" s="41" t="n">
        <f aca="false">P78*(1-Annahmen!$B$32*$C$9)+Q$21*$E$9*Annahmen!$B$20</f>
        <v>49.0287590406881</v>
      </c>
      <c r="R78" s="41" t="n">
        <f aca="false">Q78*(1-Annahmen!$B$32*$C$9)+R$21*$E$9*Annahmen!$B$20</f>
        <v>55.6481838598743</v>
      </c>
      <c r="S78" s="41" t="n">
        <f aca="false">R78*(1-Annahmen!$B$32*$C$9)+S$21*$E$9*Annahmen!$B$20</f>
        <v>62.1352201826769</v>
      </c>
      <c r="T78" s="41" t="n">
        <f aca="false">S78*(1-Annahmen!$B$32*$C$9)+T$21*$E$9*Annahmen!$B$20</f>
        <v>68.4925157790233</v>
      </c>
      <c r="U78" s="41" t="n">
        <f aca="false">T78*(1-Annahmen!$B$32*$C$9)+U$21*$E$9*Annahmen!$B$20</f>
        <v>76.2426654634429</v>
      </c>
      <c r="V78" s="41" t="n">
        <f aca="false">U78*(1-Annahmen!$B$32*$C$9)+V$21*$E$9*Annahmen!$B$20</f>
        <v>83.837812154174</v>
      </c>
      <c r="W78" s="41" t="n">
        <f aca="false">V78*(1-Annahmen!$B$32*$C$9)+W$21*$E$9*Annahmen!$B$20</f>
        <v>91.2810559110905</v>
      </c>
      <c r="X78" s="41" t="n">
        <f aca="false">W78*(1-Annahmen!$B$32*$C$9)+X$21*$E$9*Annahmen!$B$20</f>
        <v>100.095434792869</v>
      </c>
      <c r="Y78" s="41" t="n">
        <f aca="false">X78*(1-Annahmen!$B$32*$C$9)+Y$21*$E$9*Annahmen!$B$20</f>
        <v>108.733526097011</v>
      </c>
      <c r="Z78" s="41" t="n">
        <f aca="false">Y78*(1-Annahmen!$B$32*$C$9)+Z$21*$E$9*Annahmen!$B$20</f>
        <v>117.198855575071</v>
      </c>
      <c r="AA78" s="41" t="n">
        <f aca="false">Z78*(1-Annahmen!$B$32*$C$9)+AA$21*$E$9*Annahmen!$B$20</f>
        <v>126.25487846357</v>
      </c>
      <c r="AB78" s="41" t="n">
        <f aca="false">AA78*(1-Annahmen!$B$32*$C$9)+AB$21*$E$9*Annahmen!$B$20</f>
        <v>135.129780894298</v>
      </c>
      <c r="AC78" s="41" t="n">
        <f aca="false">AB78*(1-Annahmen!$B$32*$C$9)+AC$21*$E$9*Annahmen!$B$20</f>
        <v>143.827185276412</v>
      </c>
      <c r="AD78" s="41" t="n">
        <f aca="false">AC78*(1-Annahmen!$B$32*$C$9)+AD$21*$E$9*Annahmen!$B$20</f>
        <v>153.490641570884</v>
      </c>
      <c r="AE78" s="41" t="n">
        <f aca="false">AD78*(1-Annahmen!$B$32*$C$9)+AE$21*$E$9*Annahmen!$B$20</f>
        <v>162.960828739466</v>
      </c>
      <c r="AF78" s="41" t="n">
        <f aca="false">AE78*(1-Annahmen!$B$32*$C$9)+AF$21*$E$9*Annahmen!$B$20</f>
        <v>172.241612164677</v>
      </c>
      <c r="AG78" s="41" t="n">
        <f aca="false">AF78*(1-Annahmen!$B$32*$C$9)+AG$21*$E$9*Annahmen!$B$20</f>
        <v>182.476779921384</v>
      </c>
      <c r="AH78" s="41" t="n">
        <f aca="false">AG78*(1-Annahmen!$B$32*$C$9)+AH$21*$E$9*Annahmen!$B$20</f>
        <v>192.507244322956</v>
      </c>
      <c r="AI78" s="41" t="n">
        <f aca="false">AH78*(1-Annahmen!$B$32*$C$9)+AI$21*$E$9*Annahmen!$B$20</f>
        <v>202.337099436497</v>
      </c>
      <c r="AJ78" s="41" t="n">
        <f aca="false">AI78*(1-Annahmen!$B$32*$C$9)+AJ$21*$E$9*Annahmen!$B$20</f>
        <v>213.490357447767</v>
      </c>
      <c r="AK78" s="41" t="n">
        <f aca="false">AJ78*(1-Annahmen!$B$32*$C$9)+AK$21*$E$9*Annahmen!$B$20</f>
        <v>224.420550298811</v>
      </c>
      <c r="AL78" s="41" t="n">
        <f aca="false">AK78*(1-Annahmen!$B$32*$C$9)+AL$21*$E$9*Annahmen!$B$20</f>
        <v>235.132139292835</v>
      </c>
      <c r="AM78" s="41" t="n">
        <f aca="false">AL78*(1-Annahmen!$B$32*$C$9)+AM$21*$E$9*Annahmen!$B$20</f>
        <v>247.529496506978</v>
      </c>
      <c r="AN78" s="41" t="n">
        <f aca="false">AM78*(1-Annahmen!$B$32*$C$9)+AN$21*$E$9*Annahmen!$B$20</f>
        <v>259.678906576839</v>
      </c>
      <c r="AO78" s="41" t="n">
        <f aca="false">AN78*(1-Annahmen!$B$32*$C$9)+AO$21*$E$9*Annahmen!$B$20</f>
        <v>271.585328445302</v>
      </c>
      <c r="AP78" s="41" t="n">
        <f aca="false">AO78*(1-Annahmen!$B$32*$C$9)+AP$21*$E$9*Annahmen!$B$20</f>
        <v>283.253621876396</v>
      </c>
      <c r="AQ78" s="41" t="n">
        <f aca="false">AP78*(1-Annahmen!$B$32*$C$9)+AQ$21*$E$9*Annahmen!$B$20</f>
        <v>294.688549438868</v>
      </c>
      <c r="AR78" s="41" t="n">
        <f aca="false">AQ78*(1-Annahmen!$B$32*$C$9)+AR$21*$E$9*Annahmen!$B$20</f>
        <v>305.894778450091</v>
      </c>
      <c r="AS78" s="41" t="n">
        <f aca="false">AR78*(1-Annahmen!$B$32*$C$9)+AS$21*$E$9*Annahmen!$B$20</f>
        <v>316.876882881089</v>
      </c>
      <c r="AT78" s="41" t="n">
        <f aca="false">AS78*(1-Annahmen!$B$32*$C$9)+AT$21*$E$9*Annahmen!$B$20</f>
        <v>327.639345223467</v>
      </c>
      <c r="AU78" s="41" t="n">
        <f aca="false">AT78*(1-Annahmen!$B$32*$C$9)+AU$21*$E$9*Annahmen!$B$20</f>
        <v>338.186558318998</v>
      </c>
      <c r="AV78" s="41" t="n">
        <f aca="false">AU78*(1-Annahmen!$B$32*$C$9)+AV$21*$E$9*Annahmen!$B$20</f>
        <v>348.522827152618</v>
      </c>
      <c r="AW78" s="41" t="n">
        <f aca="false">AV78*(1-Annahmen!$B$32*$C$9)+AW$21*$E$9*Annahmen!$B$20</f>
        <v>358.652370609566</v>
      </c>
      <c r="AX78" s="41" t="n">
        <f aca="false">AW78*(1-Annahmen!$B$32*$C$9)+AX$21*$E$9*Annahmen!$B$20</f>
        <v>368.579323197374</v>
      </c>
      <c r="AY78" s="41" t="n">
        <f aca="false">AX78*(1-Annahmen!$B$32*$C$9)+AY$21*$E$9*Annahmen!$B$20</f>
        <v>382.107736733427</v>
      </c>
      <c r="AZ78" s="41" t="n">
        <f aca="false">AY78*(1-Annahmen!$B$32*$C$9)+AZ$21*$E$9*Annahmen!$B$20</f>
        <v>395.365581998758</v>
      </c>
      <c r="BA78" s="41" t="n">
        <f aca="false">AZ78*(1-Annahmen!$B$32*$C$9)+BA$21*$E$9*Annahmen!$B$20</f>
        <v>408.358270358783</v>
      </c>
      <c r="BB78" s="41" t="n">
        <f aca="false">BA78*(1-Annahmen!$B$32*$C$9)+BB$21*$E$9*Annahmen!$B$20</f>
        <v>421.091104951607</v>
      </c>
      <c r="BC78" s="41" t="n">
        <f aca="false">BB78*(1-Annahmen!$B$32*$C$9)+BC$21*$E$9*Annahmen!$B$20</f>
        <v>433.569282852575</v>
      </c>
      <c r="BD78" s="41" t="n">
        <f aca="false">BC78*(1-Annahmen!$B$32*$C$9)+BD$21*$E$9*Annahmen!$B$20</f>
        <v>445.797897195524</v>
      </c>
      <c r="BE78" s="41" t="n">
        <f aca="false">BD78*(1-Annahmen!$B$32*$C$9)+BE$21*$E$9*Annahmen!$B$20</f>
        <v>457.781939251613</v>
      </c>
      <c r="BF78" s="41" t="n">
        <f aca="false">BE78*(1-Annahmen!$B$32*$C$9)+BF$21*$E$9*Annahmen!$B$20</f>
        <v>469.526300466581</v>
      </c>
      <c r="BG78" s="41" t="n">
        <f aca="false">BF78*(1-Annahmen!$B$32*$C$9)+BG$21*$E$9*Annahmen!$B$20</f>
        <v>481.035774457249</v>
      </c>
      <c r="BH78" s="41" t="n">
        <f aca="false">BG78*(1-Annahmen!$B$32*$C$9)+BH$21*$E$9*Annahmen!$B$20</f>
        <v>492.315058968104</v>
      </c>
      <c r="BI78" s="41" t="n">
        <f aca="false">BH78*(1-Annahmen!$B$32*$C$9)+BI$21*$E$9*Annahmen!$B$20</f>
        <v>503.368757788742</v>
      </c>
      <c r="BJ78" s="41" t="n">
        <f aca="false">BI78*(1-Annahmen!$B$32*$C$9)+BJ$21*$E$9*Annahmen!$B$20</f>
        <v>514.201382632967</v>
      </c>
    </row>
    <row r="79" customFormat="false" ht="15" hidden="false" customHeight="false" outlineLevel="0" collapsed="false">
      <c r="B79" s="5" t="s">
        <v>398</v>
      </c>
      <c r="C79" s="41" t="n">
        <f aca="false">Annahmen!$B$7*Annahmen!$B$21*(1-Annahmen!$B$33*$C$9)+C$21*$E$9*Annahmen!$B$21</f>
        <v>0.9528</v>
      </c>
      <c r="D79" s="41" t="n">
        <f aca="false">C79*(1-Annahmen!$B$33*$C$9)+D$21*$E$9*Annahmen!$B$21</f>
        <v>1.3013664</v>
      </c>
      <c r="E79" s="41" t="n">
        <f aca="false">D79*(1-Annahmen!$B$33*$C$9)+E$21*$E$9*Annahmen!$B$21</f>
        <v>1.6457500032</v>
      </c>
      <c r="F79" s="41" t="n">
        <f aca="false">E79*(1-Annahmen!$B$33*$C$9)+F$21*$E$9*Annahmen!$B$21</f>
        <v>2.3460010031616</v>
      </c>
      <c r="G79" s="41" t="n">
        <f aca="false">F79*(1-Annahmen!$B$33*$C$9)+G$21*$E$9*Annahmen!$B$21</f>
        <v>3.03784899112366</v>
      </c>
      <c r="H79" s="41" t="n">
        <f aca="false">G79*(1-Annahmen!$B$33*$C$9)+H$21*$E$9*Annahmen!$B$21</f>
        <v>3.72139480323018</v>
      </c>
      <c r="I79" s="41" t="n">
        <f aca="false">H79*(1-Annahmen!$B$33*$C$9)+I$21*$E$9*Annahmen!$B$21</f>
        <v>4.75673806559141</v>
      </c>
      <c r="J79" s="41" t="n">
        <f aca="false">I79*(1-Annahmen!$B$33*$C$9)+J$21*$E$9*Annahmen!$B$21</f>
        <v>5.77965720880432</v>
      </c>
      <c r="K79" s="41" t="n">
        <f aca="false">J79*(1-Annahmen!$B$33*$C$9)+K$21*$E$9*Annahmen!$B$21</f>
        <v>6.79030132229867</v>
      </c>
      <c r="L79" s="41" t="n">
        <f aca="false">K79*(1-Annahmen!$B$33*$C$9)+L$21*$E$9*Annahmen!$B$21</f>
        <v>8.14881770643108</v>
      </c>
      <c r="M79" s="41" t="n">
        <f aca="false">L79*(1-Annahmen!$B$33*$C$9)+M$21*$E$9*Annahmen!$B$21</f>
        <v>9.49103189395391</v>
      </c>
      <c r="N79" s="41" t="n">
        <f aca="false">M79*(1-Annahmen!$B$33*$C$9)+N$21*$E$9*Annahmen!$B$21</f>
        <v>10.8171395112265</v>
      </c>
      <c r="O79" s="41" t="n">
        <f aca="false">N79*(1-Annahmen!$B$33*$C$9)+O$21*$E$9*Annahmen!$B$21</f>
        <v>12.6073338370917</v>
      </c>
      <c r="P79" s="41" t="n">
        <f aca="false">O79*(1-Annahmen!$B$33*$C$9)+P$21*$E$9*Annahmen!$B$21</f>
        <v>14.3760458310466</v>
      </c>
      <c r="Q79" s="41" t="n">
        <f aca="false">P79*(1-Annahmen!$B$33*$C$9)+Q$21*$E$9*Annahmen!$B$21</f>
        <v>16.1235332810741</v>
      </c>
      <c r="R79" s="41" t="n">
        <f aca="false">Q79*(1-Annahmen!$B$33*$C$9)+R$21*$E$9*Annahmen!$B$21</f>
        <v>18.3300508817012</v>
      </c>
      <c r="S79" s="41" t="n">
        <f aca="false">R79*(1-Annahmen!$B$33*$C$9)+S$21*$E$9*Annahmen!$B$21</f>
        <v>20.5100902711208</v>
      </c>
      <c r="T79" s="41" t="n">
        <f aca="false">S79*(1-Annahmen!$B$33*$C$9)+T$21*$E$9*Annahmen!$B$21</f>
        <v>22.6639691878673</v>
      </c>
      <c r="U79" s="41" t="n">
        <f aca="false">T79*(1-Annahmen!$B$33*$C$9)+U$21*$E$9*Annahmen!$B$21</f>
        <v>25.2720015576129</v>
      </c>
      <c r="V79" s="41" t="n">
        <f aca="false">U79*(1-Annahmen!$B$33*$C$9)+V$21*$E$9*Annahmen!$B$21</f>
        <v>27.8487375389216</v>
      </c>
      <c r="W79" s="41" t="n">
        <f aca="false">V79*(1-Annahmen!$B$33*$C$9)+W$21*$E$9*Annahmen!$B$21</f>
        <v>30.3945526884545</v>
      </c>
      <c r="X79" s="41" t="n">
        <f aca="false">W79*(1-Annahmen!$B$33*$C$9)+X$21*$E$9*Annahmen!$B$21</f>
        <v>33.389818056193</v>
      </c>
      <c r="Y79" s="41" t="n">
        <f aca="false">X79*(1-Annahmen!$B$33*$C$9)+Y$21*$E$9*Annahmen!$B$21</f>
        <v>36.3491402395187</v>
      </c>
      <c r="Z79" s="41" t="n">
        <f aca="false">Y79*(1-Annahmen!$B$33*$C$9)+Z$21*$E$9*Annahmen!$B$21</f>
        <v>39.2729505566445</v>
      </c>
      <c r="AA79" s="41" t="n">
        <f aca="false">Z79*(1-Annahmen!$B$33*$C$9)+AA$21*$E$9*Annahmen!$B$21</f>
        <v>42.4016751499648</v>
      </c>
      <c r="AB79" s="41" t="n">
        <f aca="false">AA79*(1-Annahmen!$B$33*$C$9)+AB$21*$E$9*Annahmen!$B$21</f>
        <v>45.4928550481652</v>
      </c>
      <c r="AC79" s="41" t="n">
        <f aca="false">AB79*(1-Annahmen!$B$33*$C$9)+AC$21*$E$9*Annahmen!$B$21</f>
        <v>48.5469407875872</v>
      </c>
      <c r="AD79" s="41" t="n">
        <f aca="false">AC79*(1-Annahmen!$B$33*$C$9)+AD$21*$E$9*Annahmen!$B$21</f>
        <v>51.9243774981362</v>
      </c>
      <c r="AE79" s="41" t="n">
        <f aca="false">AD79*(1-Annahmen!$B$33*$C$9)+AE$21*$E$9*Annahmen!$B$21</f>
        <v>55.2612849681585</v>
      </c>
      <c r="AF79" s="41" t="n">
        <f aca="false">AE79*(1-Annahmen!$B$33*$C$9)+AF$21*$E$9*Annahmen!$B$21</f>
        <v>58.5581495485406</v>
      </c>
      <c r="AG79" s="41" t="n">
        <f aca="false">AF79*(1-Annahmen!$B$33*$C$9)+AG$21*$E$9*Annahmen!$B$21</f>
        <v>62.1754517539581</v>
      </c>
      <c r="AH79" s="41" t="n">
        <f aca="false">AG79*(1-Annahmen!$B$33*$C$9)+AH$21*$E$9*Annahmen!$B$21</f>
        <v>65.7493463329107</v>
      </c>
      <c r="AI79" s="41" t="n">
        <f aca="false">AH79*(1-Annahmen!$B$33*$C$9)+AI$21*$E$9*Annahmen!$B$21</f>
        <v>69.2803541769157</v>
      </c>
      <c r="AJ79" s="41" t="n">
        <f aca="false">AI79*(1-Annahmen!$B$33*$C$9)+AJ$21*$E$9*Annahmen!$B$21</f>
        <v>73.2489899267927</v>
      </c>
      <c r="AK79" s="41" t="n">
        <f aca="false">AJ79*(1-Annahmen!$B$33*$C$9)+AK$21*$E$9*Annahmen!$B$21</f>
        <v>77.1700020476712</v>
      </c>
      <c r="AL79" s="41" t="n">
        <f aca="false">AK79*(1-Annahmen!$B$33*$C$9)+AL$21*$E$9*Annahmen!$B$21</f>
        <v>81.0439620230992</v>
      </c>
      <c r="AM79" s="41" t="n">
        <f aca="false">AL79*(1-Annahmen!$B$33*$C$9)+AM$21*$E$9*Annahmen!$B$21</f>
        <v>85.471434478822</v>
      </c>
      <c r="AN79" s="41" t="n">
        <f aca="false">AM79*(1-Annahmen!$B$33*$C$9)+AN$21*$E$9*Annahmen!$B$21</f>
        <v>89.8457772650761</v>
      </c>
      <c r="AO79" s="41" t="n">
        <f aca="false">AN79*(1-Annahmen!$B$33*$C$9)+AO$21*$E$9*Annahmen!$B$21</f>
        <v>94.1676279378952</v>
      </c>
      <c r="AP79" s="41" t="n">
        <f aca="false">AO79*(1-Annahmen!$B$33*$C$9)+AP$21*$E$9*Annahmen!$B$21</f>
        <v>98.4376164026405</v>
      </c>
      <c r="AQ79" s="41" t="n">
        <f aca="false">AP79*(1-Annahmen!$B$33*$C$9)+AQ$21*$E$9*Annahmen!$B$21</f>
        <v>102.656365005809</v>
      </c>
      <c r="AR79" s="41" t="n">
        <f aca="false">AQ79*(1-Annahmen!$B$33*$C$9)+AR$21*$E$9*Annahmen!$B$21</f>
        <v>106.824488625739</v>
      </c>
      <c r="AS79" s="41" t="n">
        <f aca="false">AR79*(1-Annahmen!$B$33*$C$9)+AS$21*$E$9*Annahmen!$B$21</f>
        <v>110.94259476223</v>
      </c>
      <c r="AT79" s="41" t="n">
        <f aca="false">AS79*(1-Annahmen!$B$33*$C$9)+AT$21*$E$9*Annahmen!$B$21</f>
        <v>115.011283625083</v>
      </c>
      <c r="AU79" s="41" t="n">
        <f aca="false">AT79*(1-Annahmen!$B$33*$C$9)+AU$21*$E$9*Annahmen!$B$21</f>
        <v>119.031148221582</v>
      </c>
      <c r="AV79" s="41" t="n">
        <f aca="false">AU79*(1-Annahmen!$B$33*$C$9)+AV$21*$E$9*Annahmen!$B$21</f>
        <v>123.002774442924</v>
      </c>
      <c r="AW79" s="41" t="n">
        <f aca="false">AV79*(1-Annahmen!$B$33*$C$9)+AW$21*$E$9*Annahmen!$B$21</f>
        <v>126.926741149608</v>
      </c>
      <c r="AX79" s="41" t="n">
        <f aca="false">AW79*(1-Annahmen!$B$33*$C$9)+AX$21*$E$9*Annahmen!$B$21</f>
        <v>130.803620255813</v>
      </c>
      <c r="AY79" s="41" t="n">
        <f aca="false">AX79*(1-Annahmen!$B$33*$C$9)+AY$21*$E$9*Annahmen!$B$21</f>
        <v>135.833976812743</v>
      </c>
      <c r="AZ79" s="41" t="n">
        <f aca="false">AY79*(1-Annahmen!$B$33*$C$9)+AZ$21*$E$9*Annahmen!$B$21</f>
        <v>140.80396909099</v>
      </c>
      <c r="BA79" s="41" t="n">
        <f aca="false">AZ79*(1-Annahmen!$B$33*$C$9)+BA$21*$E$9*Annahmen!$B$21</f>
        <v>145.714321461899</v>
      </c>
      <c r="BB79" s="41" t="n">
        <f aca="false">BA79*(1-Annahmen!$B$33*$C$9)+BB$21*$E$9*Annahmen!$B$21</f>
        <v>150.565749604356</v>
      </c>
      <c r="BC79" s="41" t="n">
        <f aca="false">BB79*(1-Annahmen!$B$33*$C$9)+BC$21*$E$9*Annahmen!$B$21</f>
        <v>155.358960609103</v>
      </c>
      <c r="BD79" s="41" t="n">
        <f aca="false">BC79*(1-Annahmen!$B$33*$C$9)+BD$21*$E$9*Annahmen!$B$21</f>
        <v>160.094653081794</v>
      </c>
      <c r="BE79" s="41" t="n">
        <f aca="false">BD79*(1-Annahmen!$B$33*$C$9)+BE$21*$E$9*Annahmen!$B$21</f>
        <v>164.773517244813</v>
      </c>
      <c r="BF79" s="41" t="n">
        <f aca="false">BE79*(1-Annahmen!$B$33*$C$9)+BF$21*$E$9*Annahmen!$B$21</f>
        <v>169.396235037875</v>
      </c>
      <c r="BG79" s="41" t="n">
        <f aca="false">BF79*(1-Annahmen!$B$33*$C$9)+BG$21*$E$9*Annahmen!$B$21</f>
        <v>173.96348021742</v>
      </c>
      <c r="BH79" s="41" t="n">
        <f aca="false">BG79*(1-Annahmen!$B$33*$C$9)+BH$21*$E$9*Annahmen!$B$21</f>
        <v>178.475918454811</v>
      </c>
      <c r="BI79" s="41" t="n">
        <f aca="false">BH79*(1-Annahmen!$B$33*$C$9)+BI$21*$E$9*Annahmen!$B$21</f>
        <v>182.934207433354</v>
      </c>
      <c r="BJ79" s="41" t="n">
        <f aca="false">BI79*(1-Annahmen!$B$33*$C$9)+BJ$21*$E$9*Annahmen!$B$21</f>
        <v>187.338996944153</v>
      </c>
    </row>
    <row r="80" customFormat="false" ht="15" hidden="false" customHeight="false" outlineLevel="0" collapsed="false">
      <c r="B80" s="5" t="s">
        <v>399</v>
      </c>
      <c r="C80" s="41" t="n">
        <f aca="false">Annahmen!$B$7*Annahmen!$B$21*Annahmen!$B$24*(1-Annahmen!$B$33*$C$9)+C$21*$E$9*Annahmen!$B$21*Annahmen!$B$24</f>
        <v>0.19056</v>
      </c>
      <c r="D80" s="41" t="n">
        <f aca="false">C80*(1-Annahmen!$B$33*$C$9)+D$21*$E$9*Annahmen!$B$21*Annahmen!$B$24</f>
        <v>0.26027328</v>
      </c>
      <c r="E80" s="41" t="n">
        <f aca="false">D80*(1-Annahmen!$B$33*$C$9)+E$21*$E$9*Annahmen!$B$21*Annahmen!$B$24</f>
        <v>0.32915000064</v>
      </c>
      <c r="F80" s="41" t="n">
        <f aca="false">E80*(1-Annahmen!$B$33*$C$9)+F$21*$E$9*Annahmen!$B$21*Annahmen!$B$24</f>
        <v>0.46920020063232</v>
      </c>
      <c r="G80" s="41" t="n">
        <f aca="false">F80*(1-Annahmen!$B$33*$C$9)+G$21*$E$9*Annahmen!$B$21*Annahmen!$B$24</f>
        <v>0.607569798224732</v>
      </c>
      <c r="H80" s="41" t="n">
        <f aca="false">G80*(1-Annahmen!$B$33*$C$9)+H$21*$E$9*Annahmen!$B$21*Annahmen!$B$24</f>
        <v>0.744278960646035</v>
      </c>
      <c r="I80" s="41" t="n">
        <f aca="false">H80*(1-Annahmen!$B$33*$C$9)+I$21*$E$9*Annahmen!$B$21*Annahmen!$B$24</f>
        <v>0.951347613118283</v>
      </c>
      <c r="J80" s="41" t="n">
        <f aca="false">I80*(1-Annahmen!$B$33*$C$9)+J$21*$E$9*Annahmen!$B$21*Annahmen!$B$24</f>
        <v>1.15593144176086</v>
      </c>
      <c r="K80" s="41" t="n">
        <f aca="false">J80*(1-Annahmen!$B$33*$C$9)+K$21*$E$9*Annahmen!$B$21*Annahmen!$B$24</f>
        <v>1.35806026445973</v>
      </c>
      <c r="L80" s="41" t="n">
        <f aca="false">K80*(1-Annahmen!$B$33*$C$9)+L$21*$E$9*Annahmen!$B$21*Annahmen!$B$24</f>
        <v>1.62976354128622</v>
      </c>
      <c r="M80" s="41" t="n">
        <f aca="false">L80*(1-Annahmen!$B$33*$C$9)+M$21*$E$9*Annahmen!$B$21*Annahmen!$B$24</f>
        <v>1.89820637879078</v>
      </c>
      <c r="N80" s="41" t="n">
        <f aca="false">M80*(1-Annahmen!$B$33*$C$9)+N$21*$E$9*Annahmen!$B$21*Annahmen!$B$24</f>
        <v>2.16342790224529</v>
      </c>
      <c r="O80" s="41" t="n">
        <f aca="false">N80*(1-Annahmen!$B$33*$C$9)+O$21*$E$9*Annahmen!$B$21*Annahmen!$B$24</f>
        <v>2.52146676741835</v>
      </c>
      <c r="P80" s="41" t="n">
        <f aca="false">O80*(1-Annahmen!$B$33*$C$9)+P$21*$E$9*Annahmen!$B$21*Annahmen!$B$24</f>
        <v>2.87520916620933</v>
      </c>
      <c r="Q80" s="41" t="n">
        <f aca="false">P80*(1-Annahmen!$B$33*$C$9)+Q$21*$E$9*Annahmen!$B$21*Annahmen!$B$24</f>
        <v>3.22470665621482</v>
      </c>
      <c r="R80" s="41" t="n">
        <f aca="false">Q80*(1-Annahmen!$B$33*$C$9)+R$21*$E$9*Annahmen!$B$21*Annahmen!$B$24</f>
        <v>3.66601017634024</v>
      </c>
      <c r="S80" s="41" t="n">
        <f aca="false">R80*(1-Annahmen!$B$33*$C$9)+S$21*$E$9*Annahmen!$B$21*Annahmen!$B$24</f>
        <v>4.10201805422416</v>
      </c>
      <c r="T80" s="41" t="n">
        <f aca="false">S80*(1-Annahmen!$B$33*$C$9)+T$21*$E$9*Annahmen!$B$21*Annahmen!$B$24</f>
        <v>4.53279383757347</v>
      </c>
      <c r="U80" s="41" t="n">
        <f aca="false">T80*(1-Annahmen!$B$33*$C$9)+U$21*$E$9*Annahmen!$B$21*Annahmen!$B$24</f>
        <v>5.05440031152259</v>
      </c>
      <c r="V80" s="41" t="n">
        <f aca="false">U80*(1-Annahmen!$B$33*$C$9)+V$21*$E$9*Annahmen!$B$21*Annahmen!$B$24</f>
        <v>5.56974750778431</v>
      </c>
      <c r="W80" s="41" t="n">
        <f aca="false">V80*(1-Annahmen!$B$33*$C$9)+W$21*$E$9*Annahmen!$B$21*Annahmen!$B$24</f>
        <v>6.0789105376909</v>
      </c>
      <c r="X80" s="41" t="n">
        <f aca="false">W80*(1-Annahmen!$B$33*$C$9)+X$21*$E$9*Annahmen!$B$21*Annahmen!$B$24</f>
        <v>6.67796361123861</v>
      </c>
      <c r="Y80" s="41" t="n">
        <f aca="false">X80*(1-Annahmen!$B$33*$C$9)+Y$21*$E$9*Annahmen!$B$21*Annahmen!$B$24</f>
        <v>7.26982804790375</v>
      </c>
      <c r="Z80" s="41" t="n">
        <f aca="false">Y80*(1-Annahmen!$B$33*$C$9)+Z$21*$E$9*Annahmen!$B$21*Annahmen!$B$24</f>
        <v>7.8545901113289</v>
      </c>
      <c r="AA80" s="41" t="n">
        <f aca="false">Z80*(1-Annahmen!$B$33*$C$9)+AA$21*$E$9*Annahmen!$B$21*Annahmen!$B$24</f>
        <v>8.48033502999295</v>
      </c>
      <c r="AB80" s="41" t="n">
        <f aca="false">AA80*(1-Annahmen!$B$33*$C$9)+AB$21*$E$9*Annahmen!$B$21*Annahmen!$B$24</f>
        <v>9.09857100963304</v>
      </c>
      <c r="AC80" s="41" t="n">
        <f aca="false">AB80*(1-Annahmen!$B$33*$C$9)+AC$21*$E$9*Annahmen!$B$21*Annahmen!$B$24</f>
        <v>9.70938815751744</v>
      </c>
      <c r="AD80" s="41" t="n">
        <f aca="false">AC80*(1-Annahmen!$B$33*$C$9)+AD$21*$E$9*Annahmen!$B$21*Annahmen!$B$24</f>
        <v>10.3848754996272</v>
      </c>
      <c r="AE80" s="41" t="n">
        <f aca="false">AD80*(1-Annahmen!$B$33*$C$9)+AE$21*$E$9*Annahmen!$B$21*Annahmen!$B$24</f>
        <v>11.0522569936317</v>
      </c>
      <c r="AF80" s="41" t="n">
        <f aca="false">AE80*(1-Annahmen!$B$33*$C$9)+AF$21*$E$9*Annahmen!$B$21*Annahmen!$B$24</f>
        <v>11.7116299097081</v>
      </c>
      <c r="AG80" s="41" t="n">
        <f aca="false">AF80*(1-Annahmen!$B$33*$C$9)+AG$21*$E$9*Annahmen!$B$21*Annahmen!$B$24</f>
        <v>12.4350903507916</v>
      </c>
      <c r="AH80" s="41" t="n">
        <f aca="false">AG80*(1-Annahmen!$B$33*$C$9)+AH$21*$E$9*Annahmen!$B$21*Annahmen!$B$24</f>
        <v>13.1498692665821</v>
      </c>
      <c r="AI80" s="41" t="n">
        <f aca="false">AH80*(1-Annahmen!$B$33*$C$9)+AI$21*$E$9*Annahmen!$B$21*Annahmen!$B$24</f>
        <v>13.8560708353831</v>
      </c>
      <c r="AJ80" s="41" t="n">
        <f aca="false">AI80*(1-Annahmen!$B$33*$C$9)+AJ$21*$E$9*Annahmen!$B$21*Annahmen!$B$24</f>
        <v>14.6497979853585</v>
      </c>
      <c r="AK80" s="41" t="n">
        <f aca="false">AJ80*(1-Annahmen!$B$33*$C$9)+AK$21*$E$9*Annahmen!$B$21*Annahmen!$B$24</f>
        <v>15.4340004095342</v>
      </c>
      <c r="AL80" s="41" t="n">
        <f aca="false">AK80*(1-Annahmen!$B$33*$C$9)+AL$21*$E$9*Annahmen!$B$21*Annahmen!$B$24</f>
        <v>16.2087924046198</v>
      </c>
      <c r="AM80" s="41" t="n">
        <f aca="false">AL80*(1-Annahmen!$B$33*$C$9)+AM$21*$E$9*Annahmen!$B$21*Annahmen!$B$24</f>
        <v>17.0942868957644</v>
      </c>
      <c r="AN80" s="41" t="n">
        <f aca="false">AM80*(1-Annahmen!$B$33*$C$9)+AN$21*$E$9*Annahmen!$B$21*Annahmen!$B$24</f>
        <v>17.9691554530152</v>
      </c>
      <c r="AO80" s="41" t="n">
        <f aca="false">AN80*(1-Annahmen!$B$33*$C$9)+AO$21*$E$9*Annahmen!$B$21*Annahmen!$B$24</f>
        <v>18.833525587579</v>
      </c>
      <c r="AP80" s="41" t="n">
        <f aca="false">AO80*(1-Annahmen!$B$33*$C$9)+AP$21*$E$9*Annahmen!$B$21*Annahmen!$B$24</f>
        <v>19.6875232805281</v>
      </c>
      <c r="AQ80" s="41" t="n">
        <f aca="false">AP80*(1-Annahmen!$B$33*$C$9)+AQ$21*$E$9*Annahmen!$B$21*Annahmen!$B$24</f>
        <v>20.5312730011617</v>
      </c>
      <c r="AR80" s="41" t="n">
        <f aca="false">AQ80*(1-Annahmen!$B$33*$C$9)+AR$21*$E$9*Annahmen!$B$21*Annahmen!$B$24</f>
        <v>21.3648977251478</v>
      </c>
      <c r="AS80" s="41" t="n">
        <f aca="false">AR80*(1-Annahmen!$B$33*$C$9)+AS$21*$E$9*Annahmen!$B$21*Annahmen!$B$24</f>
        <v>22.188518952446</v>
      </c>
      <c r="AT80" s="41" t="n">
        <f aca="false">AS80*(1-Annahmen!$B$33*$C$9)+AT$21*$E$9*Annahmen!$B$21*Annahmen!$B$24</f>
        <v>23.0022567250167</v>
      </c>
      <c r="AU80" s="41" t="n">
        <f aca="false">AT80*(1-Annahmen!$B$33*$C$9)+AU$21*$E$9*Annahmen!$B$21*Annahmen!$B$24</f>
        <v>23.8062296443165</v>
      </c>
      <c r="AV80" s="41" t="n">
        <f aca="false">AU80*(1-Annahmen!$B$33*$C$9)+AV$21*$E$9*Annahmen!$B$21*Annahmen!$B$24</f>
        <v>24.6005548885847</v>
      </c>
      <c r="AW80" s="41" t="n">
        <f aca="false">AV80*(1-Annahmen!$B$33*$C$9)+AW$21*$E$9*Annahmen!$B$21*Annahmen!$B$24</f>
        <v>25.3853482299217</v>
      </c>
      <c r="AX80" s="41" t="n">
        <f aca="false">AW80*(1-Annahmen!$B$33*$C$9)+AX$21*$E$9*Annahmen!$B$21*Annahmen!$B$24</f>
        <v>26.1607240511626</v>
      </c>
      <c r="AY80" s="41" t="n">
        <f aca="false">AX80*(1-Annahmen!$B$33*$C$9)+AY$21*$E$9*Annahmen!$B$21*Annahmen!$B$24</f>
        <v>27.1667953625486</v>
      </c>
      <c r="AZ80" s="41" t="n">
        <f aca="false">AY80*(1-Annahmen!$B$33*$C$9)+AZ$21*$E$9*Annahmen!$B$21*Annahmen!$B$24</f>
        <v>28.1607938181981</v>
      </c>
      <c r="BA80" s="41" t="n">
        <f aca="false">AZ80*(1-Annahmen!$B$33*$C$9)+BA$21*$E$9*Annahmen!$B$21*Annahmen!$B$24</f>
        <v>29.1428642923797</v>
      </c>
      <c r="BB80" s="41" t="n">
        <f aca="false">BA80*(1-Annahmen!$B$33*$C$9)+BB$21*$E$9*Annahmen!$B$21*Annahmen!$B$24</f>
        <v>30.1131499208711</v>
      </c>
      <c r="BC80" s="41" t="n">
        <f aca="false">BB80*(1-Annahmen!$B$33*$C$9)+BC$21*$E$9*Annahmen!$B$21*Annahmen!$B$24</f>
        <v>31.0717921218207</v>
      </c>
      <c r="BD80" s="41" t="n">
        <f aca="false">BC80*(1-Annahmen!$B$33*$C$9)+BD$21*$E$9*Annahmen!$B$21*Annahmen!$B$24</f>
        <v>32.0189306163588</v>
      </c>
      <c r="BE80" s="41" t="n">
        <f aca="false">BD80*(1-Annahmen!$B$33*$C$9)+BE$21*$E$9*Annahmen!$B$21*Annahmen!$B$24</f>
        <v>32.9547034489625</v>
      </c>
      <c r="BF80" s="41" t="n">
        <f aca="false">BE80*(1-Annahmen!$B$33*$C$9)+BF$21*$E$9*Annahmen!$B$21*Annahmen!$B$24</f>
        <v>33.879247007575</v>
      </c>
      <c r="BG80" s="41" t="n">
        <f aca="false">BF80*(1-Annahmen!$B$33*$C$9)+BG$21*$E$9*Annahmen!$B$21*Annahmen!$B$24</f>
        <v>34.7926960434841</v>
      </c>
      <c r="BH80" s="41" t="n">
        <f aca="false">BG80*(1-Annahmen!$B$33*$C$9)+BH$21*$E$9*Annahmen!$B$21*Annahmen!$B$24</f>
        <v>35.6951836909622</v>
      </c>
      <c r="BI80" s="41" t="n">
        <f aca="false">BH80*(1-Annahmen!$B$33*$C$9)+BI$21*$E$9*Annahmen!$B$21*Annahmen!$B$24</f>
        <v>36.5868414866707</v>
      </c>
      <c r="BJ80" s="41" t="n">
        <f aca="false">BI80*(1-Annahmen!$B$33*$C$9)+BJ$21*$E$9*Annahmen!$B$21*Annahmen!$B$24</f>
        <v>37.4677993888307</v>
      </c>
    </row>
    <row r="81" customFormat="false" ht="15" hidden="false" customHeight="false" outlineLevel="0" collapsed="false">
      <c r="B81" s="5" t="s">
        <v>223</v>
      </c>
      <c r="C81" s="38" t="n">
        <f aca="false">C77+C78+C79</f>
        <v>7.8798</v>
      </c>
      <c r="D81" s="38" t="n">
        <f aca="false">D77+D78+D79</f>
        <v>10.6905764</v>
      </c>
      <c r="E81" s="38" t="n">
        <f aca="false">E77+E78+E79</f>
        <v>13.4341033032</v>
      </c>
      <c r="F81" s="38" t="n">
        <f aca="false">F77+F78+F79</f>
        <v>19.1121069121616</v>
      </c>
      <c r="G81" s="38" t="n">
        <f aca="false">G77+G78+G79</f>
        <v>24.6541468666937</v>
      </c>
      <c r="H81" s="38" t="n">
        <f aca="false">H77+H78+H79</f>
        <v>30.0637153834963</v>
      </c>
      <c r="I81" s="38" t="n">
        <f aca="false">I77+I78+I79</f>
        <v>38.3442104365935</v>
      </c>
      <c r="J81" s="38" t="n">
        <f aca="false">J77+J78+J79</f>
        <v>46.4268183886574</v>
      </c>
      <c r="K81" s="38" t="n">
        <f aca="false">K77+K78+K79</f>
        <v>54.3166143871376</v>
      </c>
      <c r="L81" s="38" t="n">
        <f aca="false">L77+L78+L79</f>
        <v>65.0185367652986</v>
      </c>
      <c r="M81" s="38" t="n">
        <f aca="false">M77+M78+M79</f>
        <v>75.4652708593097</v>
      </c>
      <c r="N81" s="38" t="n">
        <f aca="false">N77+N78+N79</f>
        <v>85.6633505563109</v>
      </c>
      <c r="O81" s="38" t="n">
        <f aca="false">O77+O78+O79</f>
        <v>99.6191338145391</v>
      </c>
      <c r="P81" s="38" t="n">
        <f aca="false">P77+P78+P79</f>
        <v>113.242647567612</v>
      </c>
      <c r="Q81" s="38" t="n">
        <f aca="false">Q77+Q78+Q79</f>
        <v>126.542389608815</v>
      </c>
      <c r="R81" s="38" t="n">
        <f aca="false">R77+R78+R79</f>
        <v>143.526629110016</v>
      </c>
      <c r="S81" s="38" t="n">
        <f aca="false">S77+S78+S79</f>
        <v>160.107252991185</v>
      </c>
      <c r="T81" s="38" t="n">
        <f aca="false">T77+T78+T79</f>
        <v>176.294569228157</v>
      </c>
      <c r="U81" s="38" t="n">
        <f aca="false">U77+U78+U79</f>
        <v>196.098608754484</v>
      </c>
      <c r="V81" s="38" t="n">
        <f aca="false">V77+V78+V79</f>
        <v>215.432973174521</v>
      </c>
      <c r="W81" s="38" t="n">
        <f aca="false">W77+W78+W79</f>
        <v>234.309639376527</v>
      </c>
      <c r="X81" s="38" t="n">
        <f aca="false">X77+X78+X79</f>
        <v>256.740262702735</v>
      </c>
      <c r="Y81" s="38" t="n">
        <f aca="false">Y77+Y78+Y79</f>
        <v>278.640025894593</v>
      </c>
      <c r="Z81" s="38" t="n">
        <f aca="false">Z77+Z78+Z79</f>
        <v>300.022444903036</v>
      </c>
      <c r="AA81" s="38" t="n">
        <f aca="false">AA77+AA78+AA79</f>
        <v>322.900673221716</v>
      </c>
      <c r="AB81" s="38" t="n">
        <f aca="false">AB77+AB78+AB79</f>
        <v>345.239431962399</v>
      </c>
      <c r="AC81" s="38" t="n">
        <f aca="false">AC77+AC78+AC79</f>
        <v>367.052418203337</v>
      </c>
      <c r="AD81" s="38" t="n">
        <f aca="false">AD77+AD78+AD79</f>
        <v>391.352962444178</v>
      </c>
      <c r="AE81" s="38" t="n">
        <f aca="false">AE77+AE78+AE79</f>
        <v>415.081918781528</v>
      </c>
      <c r="AF81" s="38" t="n">
        <f aca="false">AF77+AF78+AF79</f>
        <v>438.253772634903</v>
      </c>
      <c r="AG81" s="38" t="n">
        <f aca="false">AG77+AG78+AG79</f>
        <v>463.882622269377</v>
      </c>
      <c r="AH81" s="38" t="n">
        <f aca="false">AH77+AH78+AH79</f>
        <v>488.910069532081</v>
      </c>
      <c r="AI81" s="38" t="n">
        <f aca="false">AI77+AI78+AI79</f>
        <v>513.35132812334</v>
      </c>
      <c r="AJ81" s="38" t="n">
        <f aca="false">AJ77+AJ78+AJ79</f>
        <v>541.221205649189</v>
      </c>
      <c r="AK81" s="38" t="n">
        <f aca="false">AK77+AK78+AK79</f>
        <v>568.437954872874</v>
      </c>
      <c r="AL81" s="38" t="n">
        <f aca="false">AL77+AL78+AL79</f>
        <v>595.018081766534</v>
      </c>
      <c r="AM81" s="38" t="n">
        <f aca="false">AM77+AM78+AM79</f>
        <v>625.977652022882</v>
      </c>
      <c r="AN81" s="38" t="n">
        <f aca="false">AN77+AN78+AN79</f>
        <v>656.212103247884</v>
      </c>
      <c r="AO81" s="38" t="n">
        <f aca="false">AO77+AO78+AO79</f>
        <v>685.739753206987</v>
      </c>
      <c r="AP81" s="38" t="n">
        <f aca="false">AP77+AP78+AP79</f>
        <v>714.578431198113</v>
      </c>
      <c r="AQ81" s="38" t="n">
        <f aca="false">AQ77+AQ78+AQ79</f>
        <v>742.745491576181</v>
      </c>
      <c r="AR81" s="38" t="n">
        <f aca="false">AR77+AR78+AR79</f>
        <v>770.257826893389</v>
      </c>
      <c r="AS81" s="38" t="n">
        <f aca="false">AS77+AS78+AS79</f>
        <v>797.131880666351</v>
      </c>
      <c r="AT81" s="38" t="n">
        <f aca="false">AT77+AT78+AT79</f>
        <v>823.383659780892</v>
      </c>
      <c r="AU81" s="38" t="n">
        <f aca="false">AU77+AU78+AU79</f>
        <v>849.028746544951</v>
      </c>
      <c r="AV81" s="38" t="n">
        <f aca="false">AV77+AV78+AV79</f>
        <v>874.082310399781</v>
      </c>
      <c r="AW81" s="38" t="n">
        <f aca="false">AW77+AW78+AW79</f>
        <v>898.559119299286</v>
      </c>
      <c r="AX81" s="38" t="n">
        <f aca="false">AX77+AX78+AX79</f>
        <v>922.473550767096</v>
      </c>
      <c r="AY81" s="38" t="n">
        <f aca="false">AY77+AY78+AY79</f>
        <v>955.839602640662</v>
      </c>
      <c r="AZ81" s="38" t="n">
        <f aca="false">AZ77+AZ78+AZ79</f>
        <v>988.430503511406</v>
      </c>
      <c r="BA81" s="38" t="n">
        <f aca="false">BA77+BA78+BA79</f>
        <v>1020.26571566969</v>
      </c>
      <c r="BB81" s="38" t="n">
        <f aca="false">BB77+BB78+BB79</f>
        <v>1051.3641846895</v>
      </c>
      <c r="BC81" s="38" t="n">
        <f aca="false">BC77+BC78+BC79</f>
        <v>1081.74435369121</v>
      </c>
      <c r="BD81" s="38" t="n">
        <f aca="false">BD77+BD78+BD79</f>
        <v>1111.42417719996</v>
      </c>
      <c r="BE81" s="38" t="n">
        <f aca="false">BE77+BE78+BE79</f>
        <v>1140.42113461139</v>
      </c>
      <c r="BF81" s="38" t="n">
        <f aca="false">BF77+BF78+BF79</f>
        <v>1168.75224327597</v>
      </c>
      <c r="BG81" s="38" t="n">
        <f aca="false">BG77+BG78+BG79</f>
        <v>1196.43407121304</v>
      </c>
      <c r="BH81" s="38" t="n">
        <f aca="false">BH77+BH78+BH79</f>
        <v>1223.48274946514</v>
      </c>
      <c r="BI81" s="38" t="n">
        <f aca="false">BI77+BI78+BI79</f>
        <v>1249.91398410305</v>
      </c>
      <c r="BJ81" s="38" t="n">
        <f aca="false">BJ77+BJ78+BJ79</f>
        <v>1275.74306789165</v>
      </c>
    </row>
    <row r="82" customFormat="false" ht="15" hidden="false" customHeight="false" outlineLevel="0" collapsed="false">
      <c r="B82" s="5" t="s">
        <v>400</v>
      </c>
      <c r="C82" s="37" t="n">
        <f aca="false">(C77*Annahmen!$B$10+C78*(Annahmen!$B$11+Annahmen!$B$13*Annahmen!$B$22)+C79*(Annahmen!$B$12+Annahmen!$B$14*Annahmen!$B$23)+C80*Annahmen!$B$16)*$D$9</f>
        <v>801.924544</v>
      </c>
      <c r="D82" s="37" t="n">
        <f aca="false">(D77*Annahmen!$B$10+D78*(Annahmen!$B$11+Annahmen!$B$13*Annahmen!$B$22)+D79*(Annahmen!$B$12+Annahmen!$B$14*Annahmen!$B$23)+D80*Annahmen!$B$16)*$D$9</f>
        <v>1090.894479772</v>
      </c>
      <c r="E82" s="37" t="n">
        <f aca="false">(E77*Annahmen!$B$10+E78*(Annahmen!$B$11+Annahmen!$B$13*Annahmen!$B$22)+E79*(Annahmen!$B$12+Annahmen!$B$14*Annahmen!$B$23)+E80*Annahmen!$B$16)*$D$9</f>
        <v>1374.33605343374</v>
      </c>
      <c r="F82" s="37" t="n">
        <f aca="false">(F77*Annahmen!$B$10+F78*(Annahmen!$B$11+Annahmen!$B$13*Annahmen!$B$22)+F79*(Annahmen!$B$12+Annahmen!$B$14*Annahmen!$B$23)+F80*Annahmen!$B$16)*$D$9</f>
        <v>1956.7504825164</v>
      </c>
      <c r="G82" s="37" t="n">
        <f aca="false">(G77*Annahmen!$B$10+G78*(Annahmen!$B$11+Annahmen!$B$13*Annahmen!$B$22)+G79*(Annahmen!$B$12+Annahmen!$B$14*Annahmen!$B$23)+G80*Annahmen!$B$16)*$D$9</f>
        <v>2528.01107351525</v>
      </c>
      <c r="H82" s="37" t="n">
        <f aca="false">(H77*Annahmen!$B$10+H78*(Annahmen!$B$11+Annahmen!$B$13*Annahmen!$B$22)+H79*(Annahmen!$B$12+Annahmen!$B$14*Annahmen!$B$23)+H80*Annahmen!$B$16)*$D$9</f>
        <v>3088.35596557699</v>
      </c>
      <c r="I82" s="37" t="n">
        <f aca="false">(I77*Annahmen!$B$10+I78*(Annahmen!$B$11+Annahmen!$B$13*Annahmen!$B$22)+I79*(Annahmen!$B$12+Annahmen!$B$14*Annahmen!$B$23)+I80*Annahmen!$B$16)*$D$9</f>
        <v>3942.40102444306</v>
      </c>
      <c r="J82" s="37" t="n">
        <f aca="false">(J77*Annahmen!$B$10+J78*(Annahmen!$B$11+Annahmen!$B$13*Annahmen!$B$22)+J79*(Annahmen!$B$12+Annahmen!$B$14*Annahmen!$B$23)+J80*Annahmen!$B$16)*$D$9</f>
        <v>4780.13152894138</v>
      </c>
      <c r="K82" s="37" t="n">
        <f aca="false">(K77*Annahmen!$B$10+K78*(Annahmen!$B$11+Annahmen!$B$13*Annahmen!$B$22)+K79*(Annahmen!$B$12+Annahmen!$B$14*Annahmen!$B$23)+K80*Annahmen!$B$16)*$D$9</f>
        <v>5601.89498178916</v>
      </c>
      <c r="L82" s="37" t="n">
        <f aca="false">(L77*Annahmen!$B$10+L78*(Annahmen!$B$11+Annahmen!$B$13*Annahmen!$B$22)+L79*(Annahmen!$B$12+Annahmen!$B$14*Annahmen!$B$23)+L80*Annahmen!$B$16)*$D$9</f>
        <v>6712.41406887596</v>
      </c>
      <c r="M82" s="37" t="n">
        <f aca="false">(M77*Annahmen!$B$10+M78*(Annahmen!$B$11+Annahmen!$B$13*Annahmen!$B$22)+M79*(Annahmen!$B$12+Annahmen!$B$14*Annahmen!$B$23)+M80*Annahmen!$B$16)*$D$9</f>
        <v>7801.77840936854</v>
      </c>
      <c r="N82" s="37" t="n">
        <f aca="false">(N77*Annahmen!$B$10+N78*(Annahmen!$B$11+Annahmen!$B$13*Annahmen!$B$22)+N79*(Annahmen!$B$12+Annahmen!$B$14*Annahmen!$B$23)+N80*Annahmen!$B$16)*$D$9</f>
        <v>8870.43742844736</v>
      </c>
      <c r="O82" s="37" t="n">
        <f aca="false">(O77*Annahmen!$B$10+O78*(Annahmen!$B$11+Annahmen!$B$13*Annahmen!$B$22)+O79*(Annahmen!$B$12+Annahmen!$B$14*Annahmen!$B$23)+O80*Annahmen!$B$16)*$D$9</f>
        <v>10324.6744768902</v>
      </c>
      <c r="P82" s="37" t="n">
        <f aca="false">(P77*Annahmen!$B$10+P78*(Annahmen!$B$11+Annahmen!$B$13*Annahmen!$B$22)+P79*(Annahmen!$B$12+Annahmen!$B$14*Annahmen!$B$23)+P80*Annahmen!$B$16)*$D$9</f>
        <v>11751.262488689</v>
      </c>
      <c r="Q82" s="37" t="n">
        <f aca="false">(Q77*Annahmen!$B$10+Q78*(Annahmen!$B$11+Annahmen!$B$13*Annahmen!$B$22)+Q79*(Annahmen!$B$12+Annahmen!$B$14*Annahmen!$B$23)+Q80*Annahmen!$B$16)*$D$9</f>
        <v>13150.7878024282</v>
      </c>
      <c r="R82" s="37" t="n">
        <f aca="false">(R77*Annahmen!$B$10+R78*(Annahmen!$B$11+Annahmen!$B$13*Annahmen!$B$22)+R79*(Annahmen!$B$12+Annahmen!$B$14*Annahmen!$B$23)+R80*Annahmen!$B$16)*$D$9</f>
        <v>14929.6675120369</v>
      </c>
      <c r="S82" s="37" t="n">
        <f aca="false">(S77*Annahmen!$B$10+S78*(Annahmen!$B$11+Annahmen!$B$13*Annahmen!$B$22)+S79*(Annahmen!$B$12+Annahmen!$B$14*Annahmen!$B$23)+S80*Annahmen!$B$16)*$D$9</f>
        <v>16674.805203425</v>
      </c>
      <c r="T82" s="37" t="n">
        <f aca="false">(T77*Annahmen!$B$10+T78*(Annahmen!$B$11+Annahmen!$B$13*Annahmen!$B$22)+T79*(Annahmen!$B$12+Annahmen!$B$14*Annahmen!$B$23)+T80*Annahmen!$B$16)*$D$9</f>
        <v>18386.9148527983</v>
      </c>
      <c r="U82" s="37" t="n">
        <f aca="false">(U77*Annahmen!$B$10+U78*(Annahmen!$B$11+Annahmen!$B$13*Annahmen!$B$22)+U79*(Annahmen!$B$12+Annahmen!$B$14*Annahmen!$B$23)+U80*Annahmen!$B$16)*$D$9</f>
        <v>20472.5382523261</v>
      </c>
      <c r="V82" s="37" t="n">
        <f aca="false">(V77*Annahmen!$B$10+V78*(Annahmen!$B$11+Annahmen!$B$13*Annahmen!$B$22)+V79*(Annahmen!$B$12+Annahmen!$B$14*Annahmen!$B$23)+V80*Annahmen!$B$16)*$D$9</f>
        <v>22518.700819722</v>
      </c>
      <c r="W82" s="37" t="n">
        <f aca="false">(W77*Annahmen!$B$10+W78*(Annahmen!$B$11+Annahmen!$B$13*Annahmen!$B$22)+W79*(Annahmen!$B$12+Annahmen!$B$14*Annahmen!$B$23)+W80*Annahmen!$B$16)*$D$9</f>
        <v>24526.2355675919</v>
      </c>
      <c r="X82" s="37" t="n">
        <f aca="false">(X77*Annahmen!$B$10+X78*(Annahmen!$B$11+Annahmen!$B$13*Annahmen!$B$22)+X79*(Annahmen!$B$12+Annahmen!$B$14*Annahmen!$B$23)+X80*Annahmen!$B$16)*$D$9</f>
        <v>26901.80059827</v>
      </c>
      <c r="Y82" s="37" t="n">
        <f aca="false">(Y77*Annahmen!$B$10+Y78*(Annahmen!$B$11+Annahmen!$B$13*Annahmen!$B$22)+Y79*(Annahmen!$B$12+Annahmen!$B$14*Annahmen!$B$23)+Y80*Annahmen!$B$16)*$D$9</f>
        <v>29232.5349807589</v>
      </c>
      <c r="Z82" s="37" t="n">
        <f aca="false">(Z77*Annahmen!$B$10+Z78*(Annahmen!$B$11+Annahmen!$B$13*Annahmen!$B$22)+Z79*(Annahmen!$B$12+Annahmen!$B$14*Annahmen!$B$23)+Z80*Annahmen!$B$16)*$D$9</f>
        <v>31519.3827856735</v>
      </c>
      <c r="AA82" s="37" t="n">
        <f aca="false">(AA77*Annahmen!$B$10+AA78*(Annahmen!$B$11+Annahmen!$B$13*Annahmen!$B$22)+AA79*(Annahmen!$B$12+Annahmen!$B$14*Annahmen!$B$23)+AA80*Annahmen!$B$16)*$D$9</f>
        <v>33966.1884439601</v>
      </c>
      <c r="AB82" s="37" t="n">
        <f aca="false">(AB77*Annahmen!$B$10+AB78*(Annahmen!$B$11+Annahmen!$B$13*Annahmen!$B$22)+AB79*(Annahmen!$B$12+Annahmen!$B$14*Annahmen!$B$23)+AB80*Annahmen!$B$16)*$D$9</f>
        <v>36367.0249884518</v>
      </c>
      <c r="AC82" s="37" t="n">
        <f aca="false">(AC77*Annahmen!$B$10+AC78*(Annahmen!$B$11+Annahmen!$B$13*Annahmen!$B$22)+AC79*(Annahmen!$B$12+Annahmen!$B$14*Annahmen!$B$23)+AC80*Annahmen!$B$16)*$D$9</f>
        <v>38722.8563664579</v>
      </c>
      <c r="AD82" s="37" t="n">
        <f aca="false">(AD77*Annahmen!$B$10+AD78*(Annahmen!$B$11+Annahmen!$B$13*Annahmen!$B$22)+AD79*(Annahmen!$B$12+Annahmen!$B$14*Annahmen!$B$23)+AD80*Annahmen!$B$16)*$D$9</f>
        <v>41339.0076064903</v>
      </c>
      <c r="AE82" s="37" t="n">
        <f aca="false">(AE77*Annahmen!$B$10+AE78*(Annahmen!$B$11+Annahmen!$B$13*Annahmen!$B$22)+AE79*(Annahmen!$B$12+Annahmen!$B$14*Annahmen!$B$23)+AE80*Annahmen!$B$16)*$D$9</f>
        <v>43906.1569164699</v>
      </c>
      <c r="AF82" s="37" t="n">
        <f aca="false">(AF77*Annahmen!$B$10+AF78*(Annahmen!$B$11+Annahmen!$B$13*Annahmen!$B$22)+AF79*(Annahmen!$B$12+Annahmen!$B$14*Annahmen!$B$23)+AF80*Annahmen!$B$16)*$D$9</f>
        <v>46425.3288954661</v>
      </c>
      <c r="AG82" s="37" t="n">
        <f aca="false">(AG77*Annahmen!$B$10+AG78*(Annahmen!$B$11+Annahmen!$B$13*Annahmen!$B$22)+AG79*(Annahmen!$B$12+Annahmen!$B$14*Annahmen!$B$23)+AG80*Annahmen!$B$16)*$D$9</f>
        <v>49201.9078834331</v>
      </c>
      <c r="AH82" s="37" t="n">
        <f aca="false">(AH77*Annahmen!$B$10+AH78*(Annahmen!$B$11+Annahmen!$B$13*Annahmen!$B$22)+AH79*(Annahmen!$B$12+Annahmen!$B$14*Annahmen!$B$23)+AH80*Annahmen!$B$16)*$D$9</f>
        <v>51926.6300915702</v>
      </c>
      <c r="AI82" s="37" t="n">
        <f aca="false">(AI77*Annahmen!$B$10+AI78*(Annahmen!$B$11+Annahmen!$B$13*Annahmen!$B$22)+AI79*(Annahmen!$B$12+Annahmen!$B$14*Annahmen!$B$23)+AI80*Annahmen!$B$16)*$D$9</f>
        <v>54600.5768453931</v>
      </c>
      <c r="AJ82" s="37" t="n">
        <f aca="false">(AJ77*Annahmen!$B$10+AJ78*(Annahmen!$B$11+Annahmen!$B$13*Annahmen!$B$22)+AJ79*(Annahmen!$B$12+Annahmen!$B$14*Annahmen!$B$23)+AJ80*Annahmen!$B$16)*$D$9</f>
        <v>57630.6490650028</v>
      </c>
      <c r="AK82" s="37" t="n">
        <f aca="false">(AK77*Annahmen!$B$10+AK78*(Annahmen!$B$11+Annahmen!$B$13*Annahmen!$B$22)+AK79*(Annahmen!$B$12+Annahmen!$B$14*Annahmen!$B$23)+AK80*Annahmen!$B$16)*$D$9</f>
        <v>60604.2232739993</v>
      </c>
      <c r="AL82" s="37" t="n">
        <f aca="false">(AL77*Annahmen!$B$10+AL78*(Annahmen!$B$11+Annahmen!$B$13*Annahmen!$B$22)+AL79*(Annahmen!$B$12+Annahmen!$B$14*Annahmen!$B$23)+AL80*Annahmen!$B$16)*$D$9</f>
        <v>63522.4757630238</v>
      </c>
      <c r="AM82" s="37" t="n">
        <f aca="false">(AM77*Annahmen!$B$10+AM78*(Annahmen!$B$11+Annahmen!$B$13*Annahmen!$B$22)+AM79*(Annahmen!$B$12+Annahmen!$B$14*Annahmen!$B$23)+AM80*Annahmen!$B$16)*$D$9</f>
        <v>66893.8613737905</v>
      </c>
      <c r="AN82" s="37" t="n">
        <f aca="false">(AN77*Annahmen!$B$10+AN78*(Annahmen!$B$11+Annahmen!$B$13*Annahmen!$B$22)+AN79*(Annahmen!$B$12+Annahmen!$B$14*Annahmen!$B$23)+AN80*Annahmen!$B$16)*$D$9</f>
        <v>70202.4334091571</v>
      </c>
      <c r="AO82" s="37" t="n">
        <f aca="false">(AO77*Annahmen!$B$10+AO78*(Annahmen!$B$11+Annahmen!$B$13*Annahmen!$B$22)+AO79*(Annahmen!$B$12+Annahmen!$B$14*Annahmen!$B$23)+AO80*Annahmen!$B$16)*$D$9</f>
        <v>73449.4987391397</v>
      </c>
      <c r="AP82" s="37" t="n">
        <f aca="false">(AP77*Annahmen!$B$10+AP78*(Annahmen!$B$11+Annahmen!$B$13*Annahmen!$B$22)+AP79*(Annahmen!$B$12+Annahmen!$B$14*Annahmen!$B$23)+AP80*Annahmen!$B$16)*$D$9</f>
        <v>76636.334310128</v>
      </c>
      <c r="AQ82" s="37" t="n">
        <f aca="false">(AQ77*Annahmen!$B$10+AQ78*(Annahmen!$B$11+Annahmen!$B$13*Annahmen!$B$22)+AQ79*(Annahmen!$B$12+Annahmen!$B$14*Annahmen!$B$23)+AQ80*Annahmen!$B$16)*$D$9</f>
        <v>79764.1878841631</v>
      </c>
      <c r="AR82" s="37" t="n">
        <f aca="false">(AR77*Annahmen!$B$10+AR78*(Annahmen!$B$11+Annahmen!$B$13*Annahmen!$B$22)+AR79*(Annahmen!$B$12+Annahmen!$B$14*Annahmen!$B$23)+AR80*Annahmen!$B$16)*$D$9</f>
        <v>82834.27875888</v>
      </c>
      <c r="AS82" s="37" t="n">
        <f aca="false">(AS77*Annahmen!$B$10+AS78*(Annahmen!$B$11+Annahmen!$B$13*Annahmen!$B$22)+AS79*(Annahmen!$B$12+Annahmen!$B$14*Annahmen!$B$23)+AS80*Annahmen!$B$16)*$D$9</f>
        <v>85847.7984686404</v>
      </c>
      <c r="AT82" s="37" t="n">
        <f aca="false">(AT77*Annahmen!$B$10+AT78*(Annahmen!$B$11+Annahmen!$B$13*Annahmen!$B$22)+AT79*(Annahmen!$B$12+Annahmen!$B$14*Annahmen!$B$23)+AT80*Annahmen!$B$16)*$D$9</f>
        <v>88805.9114673694</v>
      </c>
      <c r="AU82" s="37" t="n">
        <f aca="false">(AU77*Annahmen!$B$10+AU78*(Annahmen!$B$11+Annahmen!$B$13*Annahmen!$B$22)+AU79*(Annahmen!$B$12+Annahmen!$B$14*Annahmen!$B$23)+AU80*Annahmen!$B$16)*$D$9</f>
        <v>91709.755793592</v>
      </c>
      <c r="AV82" s="37" t="n">
        <f aca="false">(AV77*Annahmen!$B$10+AV78*(Annahmen!$B$11+Annahmen!$B$13*Annahmen!$B$22)+AV79*(Annahmen!$B$12+Annahmen!$B$14*Annahmen!$B$23)+AV80*Annahmen!$B$16)*$D$9</f>
        <v>94560.4437181562</v>
      </c>
      <c r="AW82" s="37" t="n">
        <f aca="false">(AW77*Annahmen!$B$10+AW78*(Annahmen!$B$11+Annahmen!$B$13*Annahmen!$B$22)+AW79*(Annahmen!$B$12+Annahmen!$B$14*Annahmen!$B$23)+AW80*Annahmen!$B$16)*$D$9</f>
        <v>97359.0623751108</v>
      </c>
      <c r="AX82" s="37" t="n">
        <f aca="false">(AX77*Annahmen!$B$10+AX78*(Annahmen!$B$11+Annahmen!$B$13*Annahmen!$B$22)+AX79*(Annahmen!$B$12+Annahmen!$B$14*Annahmen!$B$23)+AX80*Annahmen!$B$16)*$D$9</f>
        <v>100106.674376196</v>
      </c>
      <c r="AY82" s="37" t="n">
        <f aca="false">(AY77*Annahmen!$B$10+AY78*(Annahmen!$B$11+Annahmen!$B$13*Annahmen!$B$22)+AY79*(Annahmen!$B$12+Annahmen!$B$14*Annahmen!$B$23)+AY80*Annahmen!$B$16)*$D$9</f>
        <v>103818.929409394</v>
      </c>
      <c r="AZ82" s="37" t="n">
        <f aca="false">(AZ77*Annahmen!$B$10+AZ78*(Annahmen!$B$11+Annahmen!$B$13*Annahmen!$B$22)+AZ79*(Annahmen!$B$12+Annahmen!$B$14*Annahmen!$B$23)+AZ80*Annahmen!$B$16)*$D$9</f>
        <v>107462.703309962</v>
      </c>
      <c r="BA82" s="37" t="n">
        <f aca="false">(BA77*Annahmen!$B$10+BA78*(Annahmen!$B$11+Annahmen!$B$13*Annahmen!$B$22)+BA79*(Annahmen!$B$12+Annahmen!$B$14*Annahmen!$B$23)+BA80*Annahmen!$B$16)*$D$9</f>
        <v>111039.407543128</v>
      </c>
      <c r="BB82" s="37" t="n">
        <f aca="false">(BB77*Annahmen!$B$10+BB78*(Annahmen!$B$11+Annahmen!$B$13*Annahmen!$B$22)+BB79*(Annahmen!$B$12+Annahmen!$B$14*Annahmen!$B$23)+BB80*Annahmen!$B$16)*$D$9</f>
        <v>114550.421512398</v>
      </c>
      <c r="BC82" s="37" t="n">
        <f aca="false">(BC77*Annahmen!$B$10+BC78*(Annahmen!$B$11+Annahmen!$B$13*Annahmen!$B$22)+BC79*(Annahmen!$B$12+Annahmen!$B$14*Annahmen!$B$23)+BC80*Annahmen!$B$16)*$D$9</f>
        <v>117997.093346691</v>
      </c>
      <c r="BD82" s="37" t="n">
        <f aca="false">(BD77*Annahmen!$B$10+BD78*(Annahmen!$B$11+Annahmen!$B$13*Annahmen!$B$22)+BD79*(Annahmen!$B$12+Annahmen!$B$14*Annahmen!$B$23)+BD80*Annahmen!$B$16)*$D$9</f>
        <v>121380.740666978</v>
      </c>
      <c r="BE82" s="37" t="n">
        <f aca="false">(BE77*Annahmen!$B$10+BE78*(Annahmen!$B$11+Annahmen!$B$13*Annahmen!$B$22)+BE79*(Annahmen!$B$12+Annahmen!$B$14*Annahmen!$B$23)+BE80*Annahmen!$B$16)*$D$9</f>
        <v>124702.65133299</v>
      </c>
      <c r="BF82" s="37" t="n">
        <f aca="false">(BF77*Annahmen!$B$10+BF78*(Annahmen!$B$11+Annahmen!$B$13*Annahmen!$B$22)+BF79*(Annahmen!$B$12+Annahmen!$B$14*Annahmen!$B$23)+BF80*Annahmen!$B$16)*$D$9</f>
        <v>127964.084170538</v>
      </c>
      <c r="BG82" s="37" t="n">
        <f aca="false">(BG77*Annahmen!$B$10+BG78*(Annahmen!$B$11+Annahmen!$B$13*Annahmen!$B$22)+BG79*(Annahmen!$B$12+Annahmen!$B$14*Annahmen!$B$23)+BG80*Annahmen!$B$16)*$D$9</f>
        <v>131166.269679952</v>
      </c>
      <c r="BH82" s="37" t="n">
        <f aca="false">(BH77*Annahmen!$B$10+BH78*(Annahmen!$B$11+Annahmen!$B$13*Annahmen!$B$22)+BH79*(Annahmen!$B$12+Annahmen!$B$14*Annahmen!$B$23)+BH80*Annahmen!$B$16)*$D$9</f>
        <v>134310.410726184</v>
      </c>
      <c r="BI82" s="37" t="n">
        <f aca="false">(BI77*Annahmen!$B$10+BI78*(Annahmen!$B$11+Annahmen!$B$13*Annahmen!$B$22)+BI79*(Annahmen!$B$12+Annahmen!$B$14*Annahmen!$B$23)+BI80*Annahmen!$B$16)*$D$9</f>
        <v>137397.683211032</v>
      </c>
      <c r="BJ82" s="37" t="n">
        <f aca="false">(BJ77*Annahmen!$B$10+BJ78*(Annahmen!$B$11+Annahmen!$B$13*Annahmen!$B$22)+BJ79*(Annahmen!$B$12+Annahmen!$B$14*Annahmen!$B$23)+BJ80*Annahmen!$B$16)*$D$9</f>
        <v>140429.236728007</v>
      </c>
    </row>
    <row r="83" customFormat="false" ht="15" hidden="false" customHeight="false" outlineLevel="0" collapsed="false">
      <c r="B83" s="5" t="s">
        <v>228</v>
      </c>
      <c r="C83" s="37" t="n">
        <f aca="false">C82*(1-Annahmen!$B$27)+C$21*$E$9*Annahmen!$B$21*Annahmen!$B$24*Annahmen!$B$15*$D$9</f>
        <v>883.6163168</v>
      </c>
      <c r="D83" s="37" t="n">
        <f aca="false">D82*(1-Annahmen!$B$27)+D$21*$E$9*Annahmen!$B$21*Annahmen!$B$24*Annahmen!$B$15*$D$9</f>
        <v>1158.1377557834</v>
      </c>
      <c r="E83" s="37" t="n">
        <f aca="false">E82*(1-Annahmen!$B$27)+E$21*$E$9*Annahmen!$B$21*Annahmen!$B$24*Annahmen!$B$15*$D$9</f>
        <v>1427.40725076205</v>
      </c>
      <c r="F83" s="37" t="n">
        <f aca="false">F82*(1-Annahmen!$B$27)+F$21*$E$9*Annahmen!$B$21*Annahmen!$B$24*Annahmen!$B$15*$D$9</f>
        <v>2102.48895839058</v>
      </c>
      <c r="G83" s="37" t="n">
        <f aca="false">G82*(1-Annahmen!$B$27)+G$21*$E$9*Annahmen!$B$21*Annahmen!$B$24*Annahmen!$B$15*$D$9</f>
        <v>2645.18651983949</v>
      </c>
      <c r="H83" s="37" t="n">
        <f aca="false">H82*(1-Annahmen!$B$27)+H$21*$E$9*Annahmen!$B$21*Annahmen!$B$24*Annahmen!$B$15*$D$9</f>
        <v>3177.51416729814</v>
      </c>
      <c r="I83" s="37" t="n">
        <f aca="false">I82*(1-Annahmen!$B$27)+I$21*$E$9*Annahmen!$B$21*Annahmen!$B$24*Annahmen!$B$15*$D$9</f>
        <v>4110.64497322091</v>
      </c>
      <c r="J83" s="37" t="n">
        <f aca="false">J82*(1-Annahmen!$B$27)+J$21*$E$9*Annahmen!$B$21*Annahmen!$B$24*Annahmen!$B$15*$D$9</f>
        <v>4906.48895249431</v>
      </c>
      <c r="K83" s="37" t="n">
        <f aca="false">K82*(1-Annahmen!$B$27)+K$21*$E$9*Annahmen!$B$21*Annahmen!$B$24*Annahmen!$B$15*$D$9</f>
        <v>5687.1642326997</v>
      </c>
      <c r="L83" s="37" t="n">
        <f aca="false">L82*(1-Annahmen!$B$27)+L$21*$E$9*Annahmen!$B$21*Annahmen!$B$24*Annahmen!$B$15*$D$9</f>
        <v>6863.94536543217</v>
      </c>
      <c r="M83" s="37" t="n">
        <f aca="false">M82*(1-Annahmen!$B$27)+M$21*$E$9*Annahmen!$B$21*Annahmen!$B$24*Annahmen!$B$15*$D$9</f>
        <v>7898.84148890011</v>
      </c>
      <c r="N83" s="37" t="n">
        <f aca="false">N82*(1-Annahmen!$B$27)+N$21*$E$9*Annahmen!$B$21*Annahmen!$B$24*Annahmen!$B$15*$D$9</f>
        <v>8914.06755702499</v>
      </c>
      <c r="O83" s="37" t="n">
        <f aca="false">O82*(1-Annahmen!$B$27)+O$21*$E$9*Annahmen!$B$21*Annahmen!$B$24*Annahmen!$B$15*$D$9</f>
        <v>10457.9767530457</v>
      </c>
      <c r="P83" s="37" t="n">
        <f aca="false">P82*(1-Annahmen!$B$27)+P$21*$E$9*Annahmen!$B$21*Annahmen!$B$24*Annahmen!$B$15*$D$9</f>
        <v>11813.2353642546</v>
      </c>
      <c r="Q83" s="37" t="n">
        <f aca="false">Q82*(1-Annahmen!$B$27)+Q$21*$E$9*Annahmen!$B$21*Annahmen!$B$24*Annahmen!$B$15*$D$9</f>
        <v>13142.7844123068</v>
      </c>
      <c r="R83" s="37" t="n">
        <f aca="false">R82*(1-Annahmen!$B$27)+R$21*$E$9*Annahmen!$B$21*Annahmen!$B$24*Annahmen!$B$15*$D$9</f>
        <v>14995.1041364351</v>
      </c>
      <c r="S83" s="37" t="n">
        <f aca="false">S82*(1-Annahmen!$B$27)+S$21*$E$9*Annahmen!$B$21*Annahmen!$B$24*Annahmen!$B$15*$D$9</f>
        <v>16652.9849432537</v>
      </c>
      <c r="T83" s="37" t="n">
        <f aca="false">T82*(1-Annahmen!$B$27)+T$21*$E$9*Annahmen!$B$21*Annahmen!$B$24*Annahmen!$B$15*$D$9</f>
        <v>18279.4891101584</v>
      </c>
      <c r="U83" s="37" t="n">
        <f aca="false">U82*(1-Annahmen!$B$27)+U$21*$E$9*Annahmen!$B$21*Annahmen!$B$24*Annahmen!$B$15*$D$9</f>
        <v>20423.2153397098</v>
      </c>
      <c r="V83" s="37" t="n">
        <f aca="false">V82*(1-Annahmen!$B$27)+V$21*$E$9*Annahmen!$B$21*Annahmen!$B$24*Annahmen!$B$15*$D$9</f>
        <v>22367.0697787359</v>
      </c>
      <c r="W83" s="37" t="n">
        <f aca="false">W82*(1-Annahmen!$B$27)+W$21*$E$9*Annahmen!$B$21*Annahmen!$B$24*Annahmen!$B$15*$D$9</f>
        <v>24274.2277892123</v>
      </c>
      <c r="X83" s="37" t="n">
        <f aca="false">X82*(1-Annahmen!$B$27)+X$21*$E$9*Annahmen!$B$21*Annahmen!$B$24*Annahmen!$B$15*$D$9</f>
        <v>26693.3985683565</v>
      </c>
      <c r="Y83" s="37" t="n">
        <f aca="false">Y82*(1-Annahmen!$B$27)+Y$21*$E$9*Annahmen!$B$21*Annahmen!$B$24*Annahmen!$B$15*$D$9</f>
        <v>28907.596231721</v>
      </c>
      <c r="Z83" s="37" t="n">
        <f aca="false">Z82*(1-Annahmen!$B$27)+Z$21*$E$9*Annahmen!$B$21*Annahmen!$B$24*Annahmen!$B$15*$D$9</f>
        <v>31080.1016463899</v>
      </c>
      <c r="AA83" s="37" t="n">
        <f aca="false">AA82*(1-Annahmen!$B$27)+AA$21*$E$9*Annahmen!$B$21*Annahmen!$B$24*Annahmen!$B$15*$D$9</f>
        <v>33485.7590217621</v>
      </c>
      <c r="AB83" s="37" t="n">
        <f aca="false">AB82*(1-Annahmen!$B$27)+AB$21*$E$9*Annahmen!$B$21*Annahmen!$B$24*Annahmen!$B$15*$D$9</f>
        <v>35766.5537390292</v>
      </c>
      <c r="AC83" s="37" t="n">
        <f aca="false">AC82*(1-Annahmen!$B$27)+AC$21*$E$9*Annahmen!$B$21*Annahmen!$B$24*Annahmen!$B$15*$D$9</f>
        <v>38004.593548135</v>
      </c>
      <c r="AD83" s="37" t="n">
        <f aca="false">AD82*(1-Annahmen!$B$27)+AD$21*$E$9*Annahmen!$B$21*Annahmen!$B$24*Annahmen!$B$15*$D$9</f>
        <v>40611.7252261658</v>
      </c>
      <c r="AE83" s="37" t="n">
        <f aca="false">AE82*(1-Annahmen!$B$27)+AE$21*$E$9*Annahmen!$B$21*Annahmen!$B$24*Annahmen!$B$15*$D$9</f>
        <v>43050.5170706464</v>
      </c>
      <c r="AF83" s="37" t="n">
        <f aca="false">AF82*(1-Annahmen!$B$27)+AF$21*$E$9*Annahmen!$B$21*Annahmen!$B$24*Annahmen!$B$15*$D$9</f>
        <v>45443.7304506928</v>
      </c>
      <c r="AG83" s="37" t="n">
        <f aca="false">AG82*(1-Annahmen!$B$27)+AG$21*$E$9*Annahmen!$B$21*Annahmen!$B$24*Annahmen!$B$15*$D$9</f>
        <v>48203.2684892615</v>
      </c>
      <c r="AH83" s="37" t="n">
        <f aca="false">AH82*(1-Annahmen!$B$27)+AH$21*$E$9*Annahmen!$B$21*Annahmen!$B$24*Annahmen!$B$15*$D$9</f>
        <v>50791.7545869916</v>
      </c>
      <c r="AI83" s="37" t="n">
        <f aca="false">AI82*(1-Annahmen!$B$27)+AI$21*$E$9*Annahmen!$B$21*Annahmen!$B$24*Annahmen!$B$15*$D$9</f>
        <v>53332.0040031234</v>
      </c>
      <c r="AJ83" s="37" t="n">
        <f aca="false">AJ82*(1-Annahmen!$B$27)+AJ$21*$E$9*Annahmen!$B$21*Annahmen!$B$24*Annahmen!$B$15*$D$9</f>
        <v>56372.9566117526</v>
      </c>
      <c r="AK83" s="37" t="n">
        <f aca="false">AK82*(1-Annahmen!$B$27)+AK$21*$E$9*Annahmen!$B$21*Annahmen!$B$24*Annahmen!$B$15*$D$9</f>
        <v>59197.8521102993</v>
      </c>
      <c r="AL83" s="37" t="n">
        <f aca="false">AL82*(1-Annahmen!$B$27)+AL$21*$E$9*Annahmen!$B$21*Annahmen!$B$24*Annahmen!$B$15*$D$9</f>
        <v>61970.1919748726</v>
      </c>
      <c r="AM83" s="37" t="n">
        <f aca="false">AM82*(1-Annahmen!$B$27)+AM$21*$E$9*Annahmen!$B$21*Annahmen!$B$24*Annahmen!$B$15*$D$9</f>
        <v>65375.988305101</v>
      </c>
      <c r="AN83" s="37" t="n">
        <f aca="false">AN82*(1-Annahmen!$B$27)+AN$21*$E$9*Annahmen!$B$21*Annahmen!$B$24*Annahmen!$B$15*$D$9</f>
        <v>68519.1317386992</v>
      </c>
      <c r="AO83" s="37" t="n">
        <f aca="false">AO82*(1-Annahmen!$B$27)+AO$21*$E$9*Annahmen!$B$21*Annahmen!$B$24*Annahmen!$B$15*$D$9</f>
        <v>71603.8438021827</v>
      </c>
      <c r="AP83" s="37" t="n">
        <f aca="false">AP82*(1-Annahmen!$B$27)+AP$21*$E$9*Annahmen!$B$21*Annahmen!$B$24*Annahmen!$B$15*$D$9</f>
        <v>74631.3375946216</v>
      </c>
      <c r="AQ83" s="37" t="n">
        <f aca="false">AQ82*(1-Annahmen!$B$27)+AQ$21*$E$9*Annahmen!$B$21*Annahmen!$B$24*Annahmen!$B$15*$D$9</f>
        <v>77602.7984899549</v>
      </c>
      <c r="AR83" s="37" t="n">
        <f aca="false">AR82*(1-Annahmen!$B$27)+AR$21*$E$9*Annahmen!$B$21*Annahmen!$B$24*Annahmen!$B$15*$D$9</f>
        <v>80519.384820936</v>
      </c>
      <c r="AS83" s="37" t="n">
        <f aca="false">AS82*(1-Annahmen!$B$27)+AS$21*$E$9*Annahmen!$B$21*Annahmen!$B$24*Annahmen!$B$15*$D$9</f>
        <v>83382.2285452084</v>
      </c>
      <c r="AT83" s="37" t="n">
        <f aca="false">AT82*(1-Annahmen!$B$27)+AT$21*$E$9*Annahmen!$B$21*Annahmen!$B$24*Annahmen!$B$15*$D$9</f>
        <v>86192.4358940009</v>
      </c>
      <c r="AU83" s="37" t="n">
        <f aca="false">AU82*(1-Annahmen!$B$27)+AU$21*$E$9*Annahmen!$B$21*Annahmen!$B$24*Annahmen!$B$15*$D$9</f>
        <v>88951.0880039124</v>
      </c>
      <c r="AV83" s="37" t="n">
        <f aca="false">AV82*(1-Annahmen!$B$27)+AV$21*$E$9*Annahmen!$B$21*Annahmen!$B$24*Annahmen!$B$15*$D$9</f>
        <v>91659.2415322484</v>
      </c>
      <c r="AW83" s="37" t="n">
        <f aca="false">AW82*(1-Annahmen!$B$27)+AW$21*$E$9*Annahmen!$B$21*Annahmen!$B$24*Annahmen!$B$15*$D$9</f>
        <v>94317.9292563553</v>
      </c>
      <c r="AX83" s="37" t="n">
        <f aca="false">AX82*(1-Annahmen!$B$27)+AX$21*$E$9*Annahmen!$B$21*Annahmen!$B$24*Annahmen!$B$15*$D$9</f>
        <v>96928.1606573866</v>
      </c>
      <c r="AY83" s="37" t="n">
        <f aca="false">AY82*(1-Annahmen!$B$27)+AY$21*$E$9*Annahmen!$B$21*Annahmen!$B$24*Annahmen!$B$15*$D$9</f>
        <v>100860.762938924</v>
      </c>
      <c r="AZ83" s="37" t="n">
        <f aca="false">AZ82*(1-Annahmen!$B$27)+AZ$21*$E$9*Annahmen!$B$21*Annahmen!$B$24*Annahmen!$B$15*$D$9</f>
        <v>104322.348144464</v>
      </c>
      <c r="BA83" s="37" t="n">
        <f aca="false">BA82*(1-Annahmen!$B$27)+BA$21*$E$9*Annahmen!$B$21*Annahmen!$B$24*Annahmen!$B$15*$D$9</f>
        <v>107720.217165971</v>
      </c>
      <c r="BB83" s="37" t="n">
        <f aca="false">BB82*(1-Annahmen!$B$27)+BB$21*$E$9*Annahmen!$B$21*Annahmen!$B$24*Annahmen!$B$15*$D$9</f>
        <v>111055.680436778</v>
      </c>
      <c r="BC83" s="37" t="n">
        <f aca="false">BC82*(1-Annahmen!$B$27)+BC$21*$E$9*Annahmen!$B$21*Annahmen!$B$24*Annahmen!$B$15*$D$9</f>
        <v>114330.018679357</v>
      </c>
      <c r="BD83" s="37" t="n">
        <f aca="false">BD82*(1-Annahmen!$B$27)+BD$21*$E$9*Annahmen!$B$21*Annahmen!$B$24*Annahmen!$B$15*$D$9</f>
        <v>117544.483633629</v>
      </c>
      <c r="BE83" s="37" t="n">
        <f aca="false">BE82*(1-Annahmen!$B$27)+BE$21*$E$9*Annahmen!$B$21*Annahmen!$B$24*Annahmen!$B$15*$D$9</f>
        <v>120700.298766341</v>
      </c>
      <c r="BF83" s="37" t="n">
        <f aca="false">BF82*(1-Annahmen!$B$27)+BF$21*$E$9*Annahmen!$B$21*Annahmen!$B$24*Annahmen!$B$15*$D$9</f>
        <v>123798.659962011</v>
      </c>
      <c r="BG83" s="37" t="n">
        <f aca="false">BG82*(1-Annahmen!$B$27)+BG$21*$E$9*Annahmen!$B$21*Annahmen!$B$24*Annahmen!$B$15*$D$9</f>
        <v>126840.736195955</v>
      </c>
      <c r="BH83" s="37" t="n">
        <f aca="false">BH82*(1-Annahmen!$B$27)+BH$21*$E$9*Annahmen!$B$21*Annahmen!$B$24*Annahmen!$B$15*$D$9</f>
        <v>129827.670189875</v>
      </c>
      <c r="BI83" s="37" t="n">
        <f aca="false">BI82*(1-Annahmen!$B$27)+BI$21*$E$9*Annahmen!$B$21*Annahmen!$B$24*Annahmen!$B$15*$D$9</f>
        <v>132760.579050481</v>
      </c>
      <c r="BJ83" s="37" t="n">
        <f aca="false">BJ82*(1-Annahmen!$B$27)+BJ$21*$E$9*Annahmen!$B$21*Annahmen!$B$24*Annahmen!$B$15*$D$9</f>
        <v>135640.554891606</v>
      </c>
    </row>
    <row r="84" customFormat="false" ht="15" hidden="false" customHeight="false" outlineLevel="0" collapsed="false">
      <c r="B84" s="5" t="s">
        <v>239</v>
      </c>
      <c r="C84" s="37" t="n">
        <f aca="false">C77*Annahmen!$B$52+C78*Annahmen!$B$53+C79*Annahmen!$B$54+C83*Annahmen!$B$55+C81*Annahmen!$B$56+C83*INDEX(Annahmen!$B$58:$F$58,1,C$20)*Annahmen!$B$57+C$21*$E$9*Annahmen!$B$21*Annahmen!$B$24*Annahmen!$B$59</f>
        <v>34.5348605344</v>
      </c>
      <c r="D84" s="37" t="n">
        <f aca="false">D77*Annahmen!$B$52+D78*Annahmen!$B$53+D79*Annahmen!$B$54+D83*Annahmen!$B$55+D81*Annahmen!$B$56+D83*INDEX(Annahmen!$B$58:$F$58,1,D$20)*Annahmen!$B$57+D$21*$E$9*Annahmen!$B$21*Annahmen!$B$24*Annahmen!$B$59</f>
        <v>42.7233557862672</v>
      </c>
      <c r="E84" s="37" t="n">
        <f aca="false">E77*Annahmen!$B$52+E78*Annahmen!$B$53+E79*Annahmen!$B$54+E83*Annahmen!$B$55+E81*Annahmen!$B$56+E83*INDEX(Annahmen!$B$58:$F$58,1,E$20)*Annahmen!$B$57+E$21*$E$9*Annahmen!$B$21*Annahmen!$B$24*Annahmen!$B$59</f>
        <v>50.7490117782164</v>
      </c>
      <c r="F84" s="37" t="n">
        <f aca="false">F77*Annahmen!$B$52+F78*Annahmen!$B$53+F79*Annahmen!$B$54+F83*Annahmen!$B$55+F81*Annahmen!$B$56+F83*INDEX(Annahmen!$B$58:$F$58,1,F$20)*Annahmen!$B$57+F$21*$E$9*Annahmen!$B$21*Annahmen!$B$24*Annahmen!$B$59</f>
        <v>79.0330560901892</v>
      </c>
      <c r="G84" s="37" t="n">
        <f aca="false">G77*Annahmen!$B$52+G78*Annahmen!$B$53+G79*Annahmen!$B$54+G83*Annahmen!$B$55+G81*Annahmen!$B$56+G83*INDEX(Annahmen!$B$58:$F$58,1,G$20)*Annahmen!$B$57+G$21*$E$9*Annahmen!$B$21*Annahmen!$B$24*Annahmen!$B$59</f>
        <v>95.214123733717</v>
      </c>
      <c r="H84" s="37" t="n">
        <f aca="false">H77*Annahmen!$B$52+H78*Annahmen!$B$53+H79*Annahmen!$B$54+H83*Annahmen!$B$55+H81*Annahmen!$B$56+H83*INDEX(Annahmen!$B$58:$F$58,1,H$20)*Annahmen!$B$57+H$21*$E$9*Annahmen!$B$21*Annahmen!$B$24*Annahmen!$B$59</f>
        <v>111.073813180245</v>
      </c>
      <c r="I84" s="37" t="n">
        <f aca="false">I77*Annahmen!$B$52+I78*Annahmen!$B$53+I79*Annahmen!$B$54+I83*Annahmen!$B$55+I81*Annahmen!$B$56+I83*INDEX(Annahmen!$B$58:$F$58,1,I$20)*Annahmen!$B$57+I$21*$E$9*Annahmen!$B$21*Annahmen!$B$24*Annahmen!$B$59</f>
        <v>147.036859261061</v>
      </c>
      <c r="J84" s="37" t="n">
        <f aca="false">J77*Annahmen!$B$52+J78*Annahmen!$B$53+J79*Annahmen!$B$54+J83*Annahmen!$B$55+J81*Annahmen!$B$56+J83*INDEX(Annahmen!$B$58:$F$58,1,J$20)*Annahmen!$B$57+J$21*$E$9*Annahmen!$B$21*Annahmen!$B$24*Annahmen!$B$59</f>
        <v>170.745319489661</v>
      </c>
      <c r="K84" s="37" t="n">
        <f aca="false">K77*Annahmen!$B$52+K78*Annahmen!$B$53+K79*Annahmen!$B$54+K83*Annahmen!$B$55+K81*Annahmen!$B$56+K83*INDEX(Annahmen!$B$58:$F$58,1,K$20)*Annahmen!$B$57+K$21*$E$9*Annahmen!$B$21*Annahmen!$B$24*Annahmen!$B$59</f>
        <v>193.984132277317</v>
      </c>
      <c r="L84" s="37" t="n">
        <f aca="false">L77*Annahmen!$B$52+L78*Annahmen!$B$53+L79*Annahmen!$B$54+L83*Annahmen!$B$55+L81*Annahmen!$B$56+L83*INDEX(Annahmen!$B$58:$F$58,1,L$20)*Annahmen!$B$57+L$21*$E$9*Annahmen!$B$21*Annahmen!$B$24*Annahmen!$B$59</f>
        <v>237.181291961081</v>
      </c>
      <c r="M84" s="37" t="n">
        <f aca="false">M77*Annahmen!$B$52+M78*Annahmen!$B$53+M79*Annahmen!$B$54+M83*Annahmen!$B$55+M81*Annahmen!$B$56+M83*INDEX(Annahmen!$B$58:$F$58,1,M$20)*Annahmen!$B$57+M$21*$E$9*Annahmen!$B$21*Annahmen!$B$24*Annahmen!$B$59</f>
        <v>267.982037196723</v>
      </c>
      <c r="N84" s="37" t="n">
        <f aca="false">N77*Annahmen!$B$52+N78*Annahmen!$B$53+N79*Annahmen!$B$54+N83*Annahmen!$B$55+N81*Annahmen!$B$56+N83*INDEX(Annahmen!$B$58:$F$58,1,N$20)*Annahmen!$B$57+N$21*$E$9*Annahmen!$B$21*Annahmen!$B$24*Annahmen!$B$59</f>
        <v>298.174411188964</v>
      </c>
      <c r="O84" s="37" t="n">
        <f aca="false">O77*Annahmen!$B$52+O78*Annahmen!$B$53+O79*Annahmen!$B$54+O83*Annahmen!$B$55+O81*Annahmen!$B$56+O83*INDEX(Annahmen!$B$58:$F$58,1,O$20)*Annahmen!$B$57+O$21*$E$9*Annahmen!$B$21*Annahmen!$B$24*Annahmen!$B$59</f>
        <v>616.444729865951</v>
      </c>
      <c r="P84" s="37" t="n">
        <f aca="false">P77*Annahmen!$B$52+P78*Annahmen!$B$53+P79*Annahmen!$B$54+P83*Annahmen!$B$55+P81*Annahmen!$B$56+P83*INDEX(Annahmen!$B$58:$F$58,1,P$20)*Annahmen!$B$57+P$21*$E$9*Annahmen!$B$21*Annahmen!$B$24*Annahmen!$B$59</f>
        <v>690.63552140623</v>
      </c>
      <c r="Q84" s="37" t="n">
        <f aca="false">Q77*Annahmen!$B$52+Q78*Annahmen!$B$53+Q79*Annahmen!$B$54+Q83*Annahmen!$B$55+Q81*Annahmen!$B$56+Q83*INDEX(Annahmen!$B$58:$F$58,1,Q$20)*Annahmen!$B$57+Q$21*$E$9*Annahmen!$B$21*Annahmen!$B$24*Annahmen!$B$59</f>
        <v>763.388984285597</v>
      </c>
      <c r="R84" s="37" t="n">
        <f aca="false">R77*Annahmen!$B$52+R78*Annahmen!$B$53+R79*Annahmen!$B$54+R83*Annahmen!$B$55+R81*Annahmen!$B$56+R83*INDEX(Annahmen!$B$58:$F$58,1,R$20)*Annahmen!$B$57+R$21*$E$9*Annahmen!$B$21*Annahmen!$B$24*Annahmen!$B$59</f>
        <v>875.658094313871</v>
      </c>
      <c r="S84" s="37" t="n">
        <f aca="false">S77*Annahmen!$B$52+S78*Annahmen!$B$53+S79*Annahmen!$B$54+S83*Annahmen!$B$55+S81*Annahmen!$B$56+S83*INDEX(Annahmen!$B$58:$F$58,1,S$20)*Annahmen!$B$57+S$21*$E$9*Annahmen!$B$21*Annahmen!$B$24*Annahmen!$B$59</f>
        <v>966.376487425156</v>
      </c>
      <c r="T84" s="37" t="n">
        <f aca="false">T77*Annahmen!$B$52+T78*Annahmen!$B$53+T79*Annahmen!$B$54+T83*Annahmen!$B$55+T81*Annahmen!$B$56+T83*INDEX(Annahmen!$B$58:$F$58,1,T$20)*Annahmen!$B$57+T$21*$E$9*Annahmen!$B$21*Annahmen!$B$24*Annahmen!$B$59</f>
        <v>1055.34158477148</v>
      </c>
      <c r="U84" s="37" t="n">
        <f aca="false">U77*Annahmen!$B$52+U78*Annahmen!$B$53+U79*Annahmen!$B$54+U83*Annahmen!$B$55+U81*Annahmen!$B$56+U83*INDEX(Annahmen!$B$58:$F$58,1,U$20)*Annahmen!$B$57+U$21*$E$9*Annahmen!$B$21*Annahmen!$B$24*Annahmen!$B$59</f>
        <v>1183.51311137619</v>
      </c>
      <c r="V84" s="37" t="n">
        <f aca="false">V77*Annahmen!$B$52+V78*Annahmen!$B$53+V79*Annahmen!$B$54+V83*Annahmen!$B$55+V81*Annahmen!$B$56+V83*INDEX(Annahmen!$B$58:$F$58,1,V$20)*Annahmen!$B$57+V$21*$E$9*Annahmen!$B$21*Annahmen!$B$24*Annahmen!$B$59</f>
        <v>1289.83129409746</v>
      </c>
      <c r="W84" s="37" t="n">
        <f aca="false">W77*Annahmen!$B$52+W78*Annahmen!$B$53+W79*Annahmen!$B$54+W83*Annahmen!$B$55+W81*Annahmen!$B$56+W83*INDEX(Annahmen!$B$58:$F$58,1,W$20)*Annahmen!$B$57+W$21*$E$9*Annahmen!$B$21*Annahmen!$B$24*Annahmen!$B$59</f>
        <v>1394.09999071183</v>
      </c>
      <c r="X84" s="37" t="n">
        <f aca="false">X77*Annahmen!$B$52+X78*Annahmen!$B$53+X79*Annahmen!$B$54+X83*Annahmen!$B$55+X81*Annahmen!$B$56+X83*INDEX(Annahmen!$B$58:$F$58,1,X$20)*Annahmen!$B$57+X$21*$E$9*Annahmen!$B$21*Annahmen!$B$24*Annahmen!$B$59</f>
        <v>1537.28521245136</v>
      </c>
      <c r="Y84" s="37" t="n">
        <f aca="false">Y77*Annahmen!$B$52+Y78*Annahmen!$B$53+Y79*Annahmen!$B$54+Y83*Annahmen!$B$55+Y81*Annahmen!$B$56+Y83*INDEX(Annahmen!$B$58:$F$58,1,Y$20)*Annahmen!$B$57+Y$21*$E$9*Annahmen!$B$21*Annahmen!$B$24*Annahmen!$B$59</f>
        <v>1658.33332574797</v>
      </c>
      <c r="Z84" s="37" t="n">
        <f aca="false">Z77*Annahmen!$B$52+Z78*Annahmen!$B$53+Z79*Annahmen!$B$54+Z83*Annahmen!$B$55+Z81*Annahmen!$B$56+Z83*INDEX(Annahmen!$B$58:$F$58,1,Z$20)*Annahmen!$B$57+Z$21*$E$9*Annahmen!$B$21*Annahmen!$B$24*Annahmen!$B$59</f>
        <v>1777.05418499735</v>
      </c>
      <c r="AA84" s="37" t="n">
        <f aca="false">AA77*Annahmen!$B$52+AA78*Annahmen!$B$53+AA79*Annahmen!$B$54+AA83*Annahmen!$B$55+AA81*Annahmen!$B$56+AA83*INDEX(Annahmen!$B$58:$F$58,1,AA$20)*Annahmen!$B$57+AA$21*$E$9*Annahmen!$B$21*Annahmen!$B$24*Annahmen!$B$59</f>
        <v>2751.10268725331</v>
      </c>
      <c r="AB84" s="37" t="n">
        <f aca="false">AB77*Annahmen!$B$52+AB78*Annahmen!$B$53+AB79*Annahmen!$B$54+AB83*Annahmen!$B$55+AB81*Annahmen!$B$56+AB83*INDEX(Annahmen!$B$58:$F$58,1,AB$20)*Annahmen!$B$57+AB$21*$E$9*Annahmen!$B$21*Annahmen!$B$24*Annahmen!$B$59</f>
        <v>2932.7111918959</v>
      </c>
      <c r="AC84" s="37" t="n">
        <f aca="false">AC77*Annahmen!$B$52+AC78*Annahmen!$B$53+AC79*Annahmen!$B$54+AC83*Annahmen!$B$55+AC81*Annahmen!$B$56+AC83*INDEX(Annahmen!$B$58:$F$58,1,AC$20)*Annahmen!$B$57+AC$21*$E$9*Annahmen!$B$21*Annahmen!$B$24*Annahmen!$B$59</f>
        <v>3110.86648036523</v>
      </c>
      <c r="AD84" s="37" t="n">
        <f aca="false">AD77*Annahmen!$B$52+AD78*Annahmen!$B$53+AD79*Annahmen!$B$54+AD83*Annahmen!$B$55+AD81*Annahmen!$B$56+AD83*INDEX(Annahmen!$B$58:$F$58,1,AD$20)*Annahmen!$B$57+AD$21*$E$9*Annahmen!$B$21*Annahmen!$B$24*Annahmen!$B$59</f>
        <v>3326.60712530565</v>
      </c>
      <c r="AE84" s="37" t="n">
        <f aca="false">AE77*Annahmen!$B$52+AE78*Annahmen!$B$53+AE79*Annahmen!$B$54+AE83*Annahmen!$B$55+AE81*Annahmen!$B$56+AE83*INDEX(Annahmen!$B$58:$F$58,1,AE$20)*Annahmen!$B$57+AE$21*$E$9*Annahmen!$B$21*Annahmen!$B$24*Annahmen!$B$59</f>
        <v>3520.72458804988</v>
      </c>
      <c r="AF84" s="37" t="n">
        <f aca="false">AF77*Annahmen!$B$52+AF78*Annahmen!$B$53+AF79*Annahmen!$B$54+AF83*Annahmen!$B$55+AF81*Annahmen!$B$56+AF83*INDEX(Annahmen!$B$58:$F$58,1,AF$20)*Annahmen!$B$57+AF$21*$E$9*Annahmen!$B$21*Annahmen!$B$24*Annahmen!$B$59</f>
        <v>3711.1623673718</v>
      </c>
      <c r="AG84" s="37" t="n">
        <f aca="false">AG77*Annahmen!$B$52+AG78*Annahmen!$B$53+AG79*Annahmen!$B$54+AG83*Annahmen!$B$55+AG81*Annahmen!$B$56+AG83*INDEX(Annahmen!$B$58:$F$58,1,AG$20)*Annahmen!$B$57+AG$21*$E$9*Annahmen!$B$21*Annahmen!$B$24*Annahmen!$B$59</f>
        <v>3938.96362125923</v>
      </c>
      <c r="AH84" s="37" t="n">
        <f aca="false">AH77*Annahmen!$B$52+AH78*Annahmen!$B$53+AH79*Annahmen!$B$54+AH83*Annahmen!$B$55+AH81*Annahmen!$B$56+AH83*INDEX(Annahmen!$B$58:$F$58,1,AH$20)*Annahmen!$B$57+AH$21*$E$9*Annahmen!$B$21*Annahmen!$B$24*Annahmen!$B$59</f>
        <v>4144.92429379318</v>
      </c>
      <c r="AI84" s="37" t="n">
        <f aca="false">AI77*Annahmen!$B$52+AI78*Annahmen!$B$53+AI79*Annahmen!$B$54+AI83*Annahmen!$B$55+AI81*Annahmen!$B$56+AI83*INDEX(Annahmen!$B$58:$F$58,1,AI$20)*Annahmen!$B$57+AI$21*$E$9*Annahmen!$B$21*Annahmen!$B$24*Annahmen!$B$59</f>
        <v>4346.99226638984</v>
      </c>
      <c r="AJ84" s="37" t="n">
        <f aca="false">AJ77*Annahmen!$B$52+AJ78*Annahmen!$B$53+AJ79*Annahmen!$B$54+AJ83*Annahmen!$B$55+AJ81*Annahmen!$B$56+AJ83*INDEX(Annahmen!$B$58:$F$58,1,AJ$20)*Annahmen!$B$57+AJ$21*$E$9*Annahmen!$B$21*Annahmen!$B$24*Annahmen!$B$59</f>
        <v>4599.87005660807</v>
      </c>
      <c r="AK84" s="37" t="n">
        <f aca="false">AK77*Annahmen!$B$52+AK78*Annahmen!$B$53+AK79*Annahmen!$B$54+AK83*Annahmen!$B$55+AK81*Annahmen!$B$56+AK83*INDEX(Annahmen!$B$58:$F$58,1,AK$20)*Annahmen!$B$57+AK$21*$E$9*Annahmen!$B$21*Annahmen!$B$24*Annahmen!$B$59</f>
        <v>4824.59773945996</v>
      </c>
      <c r="AL84" s="37" t="n">
        <f aca="false">AL77*Annahmen!$B$52+AL78*Annahmen!$B$53+AL79*Annahmen!$B$54+AL83*Annahmen!$B$55+AL81*Annahmen!$B$56+AL83*INDEX(Annahmen!$B$58:$F$58,1,AL$20)*Annahmen!$B$57+AL$21*$E$9*Annahmen!$B$21*Annahmen!$B$24*Annahmen!$B$59</f>
        <v>5045.08513622254</v>
      </c>
      <c r="AM84" s="37" t="n">
        <f aca="false">AM77*Annahmen!$B$52+AM78*Annahmen!$B$53+AM79*Annahmen!$B$54+AM83*Annahmen!$B$55+AM81*Annahmen!$B$56+AM83*INDEX(Annahmen!$B$58:$F$58,1,AM$20)*Annahmen!$B$57+AM$21*$E$9*Annahmen!$B$21*Annahmen!$B$24*Annahmen!$B$59</f>
        <v>6146.89689595536</v>
      </c>
      <c r="AN84" s="37" t="n">
        <f aca="false">AN77*Annahmen!$B$52+AN78*Annahmen!$B$53+AN79*Annahmen!$B$54+AN83*Annahmen!$B$55+AN81*Annahmen!$B$56+AN83*INDEX(Annahmen!$B$58:$F$58,1,AN$20)*Annahmen!$B$57+AN$21*$E$9*Annahmen!$B$21*Annahmen!$B$24*Annahmen!$B$59</f>
        <v>6436.20965871889</v>
      </c>
      <c r="AO84" s="37" t="n">
        <f aca="false">AO77*Annahmen!$B$52+AO78*Annahmen!$B$53+AO79*Annahmen!$B$54+AO83*Annahmen!$B$55+AO81*Annahmen!$B$56+AO83*INDEX(Annahmen!$B$58:$F$58,1,AO$20)*Annahmen!$B$57+AO$21*$E$9*Annahmen!$B$21*Annahmen!$B$24*Annahmen!$B$59</f>
        <v>6720.07813571544</v>
      </c>
      <c r="AP84" s="37" t="n">
        <f aca="false">AP77*Annahmen!$B$52+AP78*Annahmen!$B$53+AP79*Annahmen!$B$54+AP83*Annahmen!$B$55+AP81*Annahmen!$B$56+AP83*INDEX(Annahmen!$B$58:$F$58,1,AP$20)*Annahmen!$B$57+AP$21*$E$9*Annahmen!$B$21*Annahmen!$B$24*Annahmen!$B$59</f>
        <v>6998.61683144142</v>
      </c>
      <c r="AQ84" s="37" t="n">
        <f aca="false">AQ77*Annahmen!$B$52+AQ78*Annahmen!$B$53+AQ79*Annahmen!$B$54+AQ83*Annahmen!$B$55+AQ81*Annahmen!$B$56+AQ83*INDEX(Annahmen!$B$58:$F$58,1,AQ$20)*Annahmen!$B$57+AQ$21*$E$9*Annahmen!$B$21*Annahmen!$B$24*Annahmen!$B$59</f>
        <v>7271.93760120547</v>
      </c>
      <c r="AR84" s="37" t="n">
        <f aca="false">AR77*Annahmen!$B$52+AR78*Annahmen!$B$53+AR79*Annahmen!$B$54+AR83*Annahmen!$B$55+AR81*Annahmen!$B$56+AR83*INDEX(Annahmen!$B$58:$F$58,1,AR$20)*Annahmen!$B$57+AR$21*$E$9*Annahmen!$B$21*Annahmen!$B$24*Annahmen!$B$59</f>
        <v>7540.1497171716</v>
      </c>
      <c r="AS84" s="37" t="n">
        <f aca="false">AS77*Annahmen!$B$52+AS78*Annahmen!$B$53+AS79*Annahmen!$B$54+AS83*Annahmen!$B$55+AS81*Annahmen!$B$56+AS83*INDEX(Annahmen!$B$58:$F$58,1,AS$20)*Annahmen!$B$57+AS$21*$E$9*Annahmen!$B$21*Annahmen!$B$24*Annahmen!$B$59</f>
        <v>7803.35993266217</v>
      </c>
      <c r="AT84" s="37" t="n">
        <f aca="false">AT77*Annahmen!$B$52+AT78*Annahmen!$B$53+AT79*Annahmen!$B$54+AT83*Annahmen!$B$55+AT81*Annahmen!$B$56+AT83*INDEX(Annahmen!$B$58:$F$58,1,AT$20)*Annahmen!$B$57+AT$21*$E$9*Annahmen!$B$21*Annahmen!$B$24*Annahmen!$B$59</f>
        <v>8061.6725447686</v>
      </c>
      <c r="AU84" s="37" t="n">
        <f aca="false">AU77*Annahmen!$B$52+AU78*Annahmen!$B$53+AU79*Annahmen!$B$54+AU83*Annahmen!$B$55+AU81*Annahmen!$B$56+AU83*INDEX(Annahmen!$B$58:$F$58,1,AU$20)*Annahmen!$B$57+AU$21*$E$9*Annahmen!$B$21*Annahmen!$B$24*Annahmen!$B$59</f>
        <v>8315.18945531596</v>
      </c>
      <c r="AV84" s="37" t="n">
        <f aca="false">AV77*Annahmen!$B$52+AV78*Annahmen!$B$53+AV79*Annahmen!$B$54+AV83*Annahmen!$B$55+AV81*Annahmen!$B$56+AV83*INDEX(Annahmen!$B$58:$F$58,1,AV$20)*Annahmen!$B$57+AV$21*$E$9*Annahmen!$B$21*Annahmen!$B$24*Annahmen!$B$59</f>
        <v>8564.01023022668</v>
      </c>
      <c r="AW84" s="37" t="n">
        <f aca="false">AW77*Annahmen!$B$52+AW78*Annahmen!$B$53+AW79*Annahmen!$B$54+AW83*Annahmen!$B$55+AW81*Annahmen!$B$56+AW83*INDEX(Annahmen!$B$58:$F$58,1,AW$20)*Annahmen!$B$57+AW$21*$E$9*Annahmen!$B$21*Annahmen!$B$24*Annahmen!$B$59</f>
        <v>8808.23215732706</v>
      </c>
      <c r="AX84" s="37" t="n">
        <f aca="false">AX77*Annahmen!$B$52+AX78*Annahmen!$B$53+AX79*Annahmen!$B$54+AX83*Annahmen!$B$55+AX81*Annahmen!$B$56+AX83*INDEX(Annahmen!$B$58:$F$58,1,AX$20)*Annahmen!$B$57+AX$21*$E$9*Annahmen!$B$21*Annahmen!$B$24*Annahmen!$B$59</f>
        <v>9047.95030263918</v>
      </c>
      <c r="AY84" s="37" t="n">
        <f aca="false">AY77*Annahmen!$B$52+AY78*Annahmen!$B$53+AY79*Annahmen!$B$54+AY83*Annahmen!$B$55+AY81*Annahmen!$B$56+AY83*INDEX(Annahmen!$B$58:$F$58,1,AY$20)*Annahmen!$B$57+AY$21*$E$9*Annahmen!$B$21*Annahmen!$B$24*Annahmen!$B$59</f>
        <v>10697.6908536611</v>
      </c>
      <c r="AZ84" s="37" t="n">
        <f aca="false">AZ77*Annahmen!$B$52+AZ78*Annahmen!$B$53+AZ79*Annahmen!$B$54+AZ83*Annahmen!$B$55+AZ81*Annahmen!$B$56+AZ83*INDEX(Annahmen!$B$58:$F$58,1,AZ$20)*Annahmen!$B$57+AZ$21*$E$9*Annahmen!$B$21*Annahmen!$B$24*Annahmen!$B$59</f>
        <v>11059.2653436093</v>
      </c>
      <c r="BA84" s="37" t="n">
        <f aca="false">BA77*Annahmen!$B$52+BA78*Annahmen!$B$53+BA79*Annahmen!$B$54+BA83*Annahmen!$B$55+BA81*Annahmen!$B$56+BA83*INDEX(Annahmen!$B$58:$F$58,1,BA$20)*Annahmen!$B$57+BA$21*$E$9*Annahmen!$B$21*Annahmen!$B$24*Annahmen!$B$59</f>
        <v>11414.1136723663</v>
      </c>
      <c r="BB84" s="37" t="n">
        <f aca="false">BB77*Annahmen!$B$52+BB78*Annahmen!$B$53+BB79*Annahmen!$B$54+BB83*Annahmen!$B$55+BB81*Annahmen!$B$56+BB83*INDEX(Annahmen!$B$58:$F$58,1,BB$20)*Annahmen!$B$57+BB$21*$E$9*Annahmen!$B$21*Annahmen!$B$24*Annahmen!$B$59</f>
        <v>11762.3757629257</v>
      </c>
      <c r="BC84" s="37" t="n">
        <f aca="false">BC77*Annahmen!$B$52+BC78*Annahmen!$B$53+BC79*Annahmen!$B$54+BC83*Annahmen!$B$55+BC81*Annahmen!$B$56+BC83*INDEX(Annahmen!$B$58:$F$58,1,BC$20)*Annahmen!$B$57+BC$21*$E$9*Annahmen!$B$21*Annahmen!$B$24*Annahmen!$B$59</f>
        <v>12104.1883311128</v>
      </c>
      <c r="BD84" s="37" t="n">
        <f aca="false">BD77*Annahmen!$B$52+BD78*Annahmen!$B$53+BD79*Annahmen!$B$54+BD83*Annahmen!$B$55+BD81*Annahmen!$B$56+BD83*INDEX(Annahmen!$B$58:$F$58,1,BD$20)*Annahmen!$B$57+BD$21*$E$9*Annahmen!$B$21*Annahmen!$B$24*Annahmen!$B$59</f>
        <v>12439.6849649493</v>
      </c>
      <c r="BE84" s="37" t="n">
        <f aca="false">BE77*Annahmen!$B$52+BE78*Annahmen!$B$53+BE79*Annahmen!$B$54+BE83*Annahmen!$B$55+BE81*Annahmen!$B$56+BE83*INDEX(Annahmen!$B$58:$F$58,1,BE$20)*Annahmen!$B$57+BE$21*$E$9*Annahmen!$B$21*Annahmen!$B$24*Annahmen!$B$59</f>
        <v>12768.9962019395</v>
      </c>
      <c r="BF84" s="37" t="n">
        <f aca="false">BF77*Annahmen!$B$52+BF78*Annahmen!$B$53+BF79*Annahmen!$B$54+BF83*Annahmen!$B$55+BF81*Annahmen!$B$56+BF83*INDEX(Annahmen!$B$58:$F$58,1,BF$20)*Annahmen!$B$57+BF$21*$E$9*Annahmen!$B$21*Annahmen!$B$24*Annahmen!$B$59</f>
        <v>13092.2496043332</v>
      </c>
      <c r="BG84" s="37" t="n">
        <f aca="false">BG77*Annahmen!$B$52+BG78*Annahmen!$B$53+BG79*Annahmen!$B$54+BG83*Annahmen!$B$55+BG81*Annahmen!$B$56+BG83*INDEX(Annahmen!$B$58:$F$58,1,BG$20)*Annahmen!$B$57+BG$21*$E$9*Annahmen!$B$21*Annahmen!$B$24*Annahmen!$B$59</f>
        <v>13409.5698324211</v>
      </c>
      <c r="BH84" s="37" t="n">
        <f aca="false">BH77*Annahmen!$B$52+BH78*Annahmen!$B$53+BH79*Annahmen!$B$54+BH83*Annahmen!$B$55+BH81*Annahmen!$B$56+BH83*INDEX(Annahmen!$B$58:$F$58,1,BH$20)*Annahmen!$B$57+BH$21*$E$9*Annahmen!$B$21*Annahmen!$B$24*Annahmen!$B$59</f>
        <v>13721.0787159164</v>
      </c>
      <c r="BI84" s="37" t="n">
        <f aca="false">BI77*Annahmen!$B$52+BI78*Annahmen!$B$53+BI79*Annahmen!$B$54+BI83*Annahmen!$B$55+BI81*Annahmen!$B$56+BI83*INDEX(Annahmen!$B$58:$F$58,1,BI$20)*Annahmen!$B$57+BI$21*$E$9*Annahmen!$B$21*Annahmen!$B$24*Annahmen!$B$59</f>
        <v>14026.895323475</v>
      </c>
      <c r="BJ84" s="37" t="n">
        <f aca="false">BJ77*Annahmen!$B$52+BJ78*Annahmen!$B$53+BJ79*Annahmen!$B$54+BJ83*Annahmen!$B$55+BJ81*Annahmen!$B$56+BJ83*INDEX(Annahmen!$B$58:$F$58,1,BJ$20)*Annahmen!$B$57+BJ$21*$E$9*Annahmen!$B$21*Annahmen!$B$24*Annahmen!$B$59</f>
        <v>14327.1360304037</v>
      </c>
    </row>
    <row r="85" customFormat="false" ht="15" hidden="false" customHeight="false" outlineLevel="0" collapsed="false">
      <c r="B85" s="5" t="s">
        <v>267</v>
      </c>
      <c r="C85" s="37" t="n">
        <f aca="false">C83-C84-C$22</f>
        <v>-16110.9185437344</v>
      </c>
      <c r="D85" s="37" t="n">
        <f aca="false">D83-D84-D$22</f>
        <v>-6044.58560000287</v>
      </c>
      <c r="E85" s="37" t="n">
        <f aca="false">E83-E84-E$22</f>
        <v>-6583.34176101617</v>
      </c>
      <c r="F85" s="37" t="n">
        <f aca="false">F83-F84-F$22</f>
        <v>-14136.5440976996</v>
      </c>
      <c r="G85" s="37" t="n">
        <f aca="false">G83-G84-G$22</f>
        <v>-4610.02760389423</v>
      </c>
      <c r="H85" s="37" t="n">
        <f aca="false">H83-H84-H$22</f>
        <v>-4093.5596458821</v>
      </c>
      <c r="I85" s="37" t="n">
        <f aca="false">I83-I84-I$22</f>
        <v>-9634.39188604015</v>
      </c>
      <c r="J85" s="37" t="n">
        <f aca="false">J83-J84-J$22</f>
        <v>-7062.25636699535</v>
      </c>
      <c r="K85" s="37" t="n">
        <f aca="false">K83-K84-K$22</f>
        <v>-6304.81989957761</v>
      </c>
      <c r="L85" s="37" t="n">
        <f aca="false">L83-L84-L$22</f>
        <v>-15803.2359265289</v>
      </c>
      <c r="M85" s="37" t="n">
        <f aca="false">M83-M84-M$22</f>
        <v>-10499.1405482966</v>
      </c>
      <c r="N85" s="37" t="n">
        <f aca="false">N83-N84-N$22</f>
        <v>-9514.10685416397</v>
      </c>
      <c r="O85" s="37" t="n">
        <f aca="false">O83-O84-O$22</f>
        <v>-23553.7079768203</v>
      </c>
      <c r="P85" s="37" t="n">
        <f aca="false">P83-P84-P$22</f>
        <v>-18672.6401571517</v>
      </c>
      <c r="Q85" s="37" t="n">
        <f aca="false">Q83-Q84-Q$22</f>
        <v>-24415.8445719788</v>
      </c>
      <c r="R85" s="37" t="n">
        <f aca="false">R83-R84-R$22</f>
        <v>-15675.7939578788</v>
      </c>
      <c r="S85" s="37" t="n">
        <f aca="false">S83-S84-S$22</f>
        <v>-14108.6315441714</v>
      </c>
      <c r="T85" s="37" t="n">
        <f aca="false">T83-T84-T$22</f>
        <v>-12571.0924746131</v>
      </c>
      <c r="U85" s="37" t="n">
        <f aca="false">U83-U84-U$22</f>
        <v>-10555.5377716664</v>
      </c>
      <c r="V85" s="37" t="n">
        <f aca="false">V83-V84-V$22</f>
        <v>-8718.00151536156</v>
      </c>
      <c r="W85" s="37" t="n">
        <f aca="false">W83-W84-W$22</f>
        <v>-20915.1122014996</v>
      </c>
      <c r="X85" s="37" t="n">
        <f aca="false">X83-X84-X$22</f>
        <v>-15959.8866440949</v>
      </c>
      <c r="Y85" s="37" t="n">
        <f aca="false">Y83-Y84-Y$22</f>
        <v>-9066.73709402698</v>
      </c>
      <c r="Z85" s="37" t="n">
        <f aca="false">Z83-Z84-Z$22</f>
        <v>-7012.9525386075</v>
      </c>
      <c r="AA85" s="37" t="n">
        <f aca="false">AA83-AA84-AA$22</f>
        <v>-11899.1236654912</v>
      </c>
      <c r="AB85" s="37" t="n">
        <f aca="false">AB83-AB84-AB$22</f>
        <v>-9799.93745286674</v>
      </c>
      <c r="AC85" s="37" t="n">
        <f aca="false">AC83-AC84-AC$22</f>
        <v>-7740.05293223026</v>
      </c>
      <c r="AD85" s="37" t="n">
        <f aca="false">AD83-AD84-AD$22</f>
        <v>-27066.6800991399</v>
      </c>
      <c r="AE85" s="37" t="n">
        <f aca="false">AE83-AE84-AE$22</f>
        <v>-8022.00571740345</v>
      </c>
      <c r="AF85" s="37" t="n">
        <f aca="false">AF83-AF84-AF$22</f>
        <v>-5819.23011667901</v>
      </c>
      <c r="AG85" s="37" t="n">
        <f aca="false">AG83-AG84-AG$22</f>
        <v>-10262.2493319978</v>
      </c>
      <c r="AH85" s="37" t="n">
        <f aca="false">AH83-AH84-AH$22</f>
        <v>-6079.72390680153</v>
      </c>
      <c r="AI85" s="37" t="n">
        <f aca="false">AI83-AI84-AI$22</f>
        <v>-3741.54246326644</v>
      </c>
      <c r="AJ85" s="37" t="n">
        <f aca="false">AJ83-AJ84-AJ$22</f>
        <v>-4953.46764485543</v>
      </c>
      <c r="AK85" s="37" t="n">
        <f aca="false">AK83-AK84-AK$22</f>
        <v>1646.70017083937</v>
      </c>
      <c r="AL85" s="37" t="n">
        <f aca="false">AL83-AL84-AL$22</f>
        <v>4198.55263865008</v>
      </c>
      <c r="AM85" s="37" t="n">
        <f aca="false">AM83-AM84-AM$22</f>
        <v>-15721.1762488543</v>
      </c>
      <c r="AN85" s="37" t="n">
        <f aca="false">AN83-AN84-AN$22</f>
        <v>-9267.3455780197</v>
      </c>
      <c r="AO85" s="37" t="n">
        <f aca="false">AO83-AO84-AO$22</f>
        <v>-16466.5019915327</v>
      </c>
      <c r="AP85" s="37" t="n">
        <f aca="false">AP83-AP84-AP$22</f>
        <v>-3717.54689481981</v>
      </c>
      <c r="AQ85" s="37" t="n">
        <f aca="false">AQ83-AQ84-AQ$22</f>
        <v>-1019.40676925053</v>
      </c>
      <c r="AR85" s="37" t="n">
        <f aca="false">AR83-AR84-AR$22</f>
        <v>1628.96744576437</v>
      </c>
      <c r="AS85" s="37" t="n">
        <f aca="false">AS83-AS84-AS$22</f>
        <v>-2635.75779145378</v>
      </c>
      <c r="AT85" s="37" t="n">
        <f aca="false">AT83-AT84-AT$22</f>
        <v>1716.1369452323</v>
      </c>
      <c r="AU85" s="37" t="n">
        <f aca="false">AU83-AU84-AU$22</f>
        <v>-13778.7278554036</v>
      </c>
      <c r="AV85" s="37" t="n">
        <f aca="false">AV83-AV84-AV$22</f>
        <v>6680.60489802172</v>
      </c>
      <c r="AW85" s="37" t="n">
        <f aca="false">AW83-AW84-AW$22</f>
        <v>9095.07069502822</v>
      </c>
      <c r="AX85" s="37" t="n">
        <f aca="false">AX83-AX84-AX$22</f>
        <v>11465.5839507474</v>
      </c>
      <c r="AY85" s="37" t="n">
        <f aca="false">AY83-AY84-AY$22</f>
        <v>-5501.22586357701</v>
      </c>
      <c r="AZ85" s="37" t="n">
        <f aca="false">AZ83-AZ84-AZ$22</f>
        <v>1198.78485201424</v>
      </c>
      <c r="BA85" s="37" t="n">
        <f aca="false">BA83-BA84-BA$22</f>
        <v>4241.80554476485</v>
      </c>
      <c r="BB85" s="37" t="n">
        <f aca="false">BB83-BB84-BB$22</f>
        <v>-10770.9932749876</v>
      </c>
      <c r="BC85" s="37" t="n">
        <f aca="false">BC83-BC84-BC$22</f>
        <v>10161.5323994037</v>
      </c>
      <c r="BD85" s="37" t="n">
        <f aca="false">BD83-BD84-BD$22</f>
        <v>13040.5007198395</v>
      </c>
      <c r="BE85" s="37" t="n">
        <f aca="false">BE83-BE84-BE$22</f>
        <v>15867.0046155613</v>
      </c>
      <c r="BF85" s="37" t="n">
        <f aca="false">BF83-BF84-BF$22</f>
        <v>18642.1124088375</v>
      </c>
      <c r="BG85" s="37" t="n">
        <f aca="false">BG83-BG84-BG$22</f>
        <v>21366.8684146935</v>
      </c>
      <c r="BH85" s="37" t="n">
        <f aca="false">BH83-BH84-BH$22</f>
        <v>19042.2935251182</v>
      </c>
      <c r="BI85" s="37" t="n">
        <f aca="false">BI83-BI84-BI$22</f>
        <v>26669.3857781658</v>
      </c>
      <c r="BJ85" s="37" t="n">
        <f aca="false">BJ83-BJ84-BJ$22</f>
        <v>29249.1209123625</v>
      </c>
    </row>
    <row r="86" customFormat="false" ht="15" hidden="false" customHeight="false" outlineLevel="0" collapsed="false">
      <c r="B86" s="5" t="s">
        <v>401</v>
      </c>
      <c r="C86" s="37" t="n">
        <f aca="false">0+C85-C$23-C$24</f>
        <v>-16527.5852104011</v>
      </c>
      <c r="D86" s="37" t="n">
        <f aca="false">C86+D85-D$23-D$24</f>
        <v>-22988.8374770706</v>
      </c>
      <c r="E86" s="37" t="n">
        <f aca="false">D86+E85-E$23-E$24</f>
        <v>-29988.8459047534</v>
      </c>
      <c r="F86" s="37" t="n">
        <f aca="false">E86+F85-F$23-F$24</f>
        <v>-44542.0566691197</v>
      </c>
      <c r="G86" s="37" t="n">
        <f aca="false">F86+G85-G$23-G$24</f>
        <v>-49568.7509396806</v>
      </c>
      <c r="H86" s="37" t="n">
        <f aca="false">G86+H85-H$23-H$24</f>
        <v>-54078.9772522294</v>
      </c>
      <c r="I86" s="37" t="n">
        <f aca="false">H86+I85-I$23-I$24</f>
        <v>-64130.0358049362</v>
      </c>
      <c r="J86" s="37" t="n">
        <f aca="false">I86+J85-J$23-J$24</f>
        <v>-71608.9588385982</v>
      </c>
      <c r="K86" s="37" t="n">
        <f aca="false">J86+K85-K$23-K$24</f>
        <v>-78330.4454048425</v>
      </c>
      <c r="L86" s="37" t="n">
        <f aca="false">K86+L85-L$23-L$24</f>
        <v>-94550.3479980381</v>
      </c>
      <c r="M86" s="37" t="n">
        <f aca="false">L86+M85-M$23-M$24</f>
        <v>-105466.155213001</v>
      </c>
      <c r="N86" s="37" t="n">
        <f aca="false">M86+N85-N$23-N$24</f>
        <v>-115396.928733832</v>
      </c>
      <c r="O86" s="37" t="n">
        <f aca="false">N86+O85-O$23-O$24</f>
        <v>-139367.303377319</v>
      </c>
      <c r="P86" s="37" t="n">
        <f aca="false">O86+P85-P$23-P$24</f>
        <v>-158456.610201137</v>
      </c>
      <c r="Q86" s="37" t="n">
        <f aca="false">P86+Q85-Q$23-Q$24</f>
        <v>-183289.121439783</v>
      </c>
      <c r="R86" s="37" t="n">
        <f aca="false">Q86+R85-R$23-R$24</f>
        <v>-199381.582064328</v>
      </c>
      <c r="S86" s="37" t="n">
        <f aca="false">R86+S85-S$23-S$24</f>
        <v>-213906.880275166</v>
      </c>
      <c r="T86" s="37" t="n">
        <f aca="false">S86+T85-T$23-T$24</f>
        <v>-226894.639416446</v>
      </c>
      <c r="U86" s="37" t="n">
        <f aca="false">T86+U85-U$23-U$24</f>
        <v>-237866.843854779</v>
      </c>
      <c r="V86" s="37" t="n">
        <f aca="false">U86+V85-V$23-V$24</f>
        <v>-247001.512036807</v>
      </c>
      <c r="W86" s="37" t="n">
        <f aca="false">V86+W85-W$23-W$24</f>
        <v>-268333.290904974</v>
      </c>
      <c r="X86" s="37" t="n">
        <f aca="false">W86+X85-X$23-X$24</f>
        <v>-284709.844215735</v>
      </c>
      <c r="Y86" s="37" t="n">
        <f aca="false">X86+Y85-Y$23-Y$24</f>
        <v>-294193.247976429</v>
      </c>
      <c r="Z86" s="37" t="n">
        <f aca="false">Y86+Z85-Z$23-Z$24</f>
        <v>-301622.867181703</v>
      </c>
      <c r="AA86" s="37" t="n">
        <f aca="false">Z86+AA85-AA$23-AA$24</f>
        <v>-315240.740847194</v>
      </c>
      <c r="AB86" s="37" t="n">
        <f aca="false">AA86+AB85-AB$23-AB$24</f>
        <v>-326755.088022283</v>
      </c>
      <c r="AC86" s="37" t="n">
        <f aca="false">AB86+AC85-AC$23-AC$24</f>
        <v>-336205.210398958</v>
      </c>
      <c r="AD86" s="37" t="n">
        <f aca="false">AC86+AD85-AD$23-AD$24</f>
        <v>-364977.619664764</v>
      </c>
      <c r="AE86" s="37" t="n">
        <f aca="false">AD86+AE85-AE$23-AE$24</f>
        <v>-374701.014271057</v>
      </c>
      <c r="AF86" s="37" t="n">
        <f aca="false">AE86+AF85-AF$23-AF$24</f>
        <v>-382217.292998847</v>
      </c>
      <c r="AG86" s="37" t="n">
        <f aca="false">AF86+AG85-AG$23-AG$24</f>
        <v>-394172.250664178</v>
      </c>
      <c r="AH86" s="37" t="n">
        <f aca="false">AG86+AH85-AH$23-AH$24</f>
        <v>-401940.342626535</v>
      </c>
      <c r="AI86" s="37" t="n">
        <f aca="false">AH86+AI85-AI$23-AI$24</f>
        <v>-407365.912867579</v>
      </c>
      <c r="AJ86" s="37" t="n">
        <f aca="false">AI86+AJ85-AJ$23-AJ$24</f>
        <v>-413999.068012435</v>
      </c>
      <c r="AK86" s="37" t="n">
        <f aca="false">AJ86+AK85-AK$23-AK$24</f>
        <v>-414027.715063817</v>
      </c>
      <c r="AL86" s="37" t="n">
        <f aca="false">AK86+AL85-AL$23-AL$24</f>
        <v>-411500.169369612</v>
      </c>
      <c r="AM86" s="37" t="n">
        <f aca="false">AL86+AM85-AM$23-AM$24</f>
        <v>-428888.012285133</v>
      </c>
      <c r="AN86" s="37" t="n">
        <f aca="false">AM86+AN85-AN$23-AN$24</f>
        <v>-439817.684252041</v>
      </c>
      <c r="AO86" s="37" t="n">
        <f aca="false">AN86+AO85-AO$23-AO$24</f>
        <v>-457942.172354685</v>
      </c>
      <c r="AP86" s="37" t="n">
        <f aca="false">AO86+AP85-AP$23-AP$24</f>
        <v>-463313.365082838</v>
      </c>
      <c r="AQ86" s="37" t="n">
        <f aca="false">AP86+AQ85-AQ$23-AQ$24</f>
        <v>-465982.077407644</v>
      </c>
      <c r="AR86" s="37" t="n">
        <f aca="false">AQ86+AR85-AR$23-AR$24</f>
        <v>-465998.075239658</v>
      </c>
      <c r="AS86" s="37" t="n">
        <f aca="false">AR86+AS85-AS$23-AS$24</f>
        <v>-470274.458031111</v>
      </c>
      <c r="AT86" s="37" t="n">
        <f aca="false">AS86+AT85-AT$23-AT$24</f>
        <v>-470194.605808101</v>
      </c>
      <c r="AU86" s="37" t="n">
        <f aca="false">AT86+AU85-AU$23-AU$24</f>
        <v>-485605.278107949</v>
      </c>
      <c r="AV86" s="37" t="n">
        <f aca="false">AU86+AV85-AV$23-AV$24</f>
        <v>-480552.277376594</v>
      </c>
      <c r="AW86" s="37" t="n">
        <f aca="false">AV86+AW85-AW$23-AW$24</f>
        <v>-473080.470570455</v>
      </c>
      <c r="AX86" s="37" t="n">
        <f aca="false">AW86+AX85-AX$23-AX$24</f>
        <v>-463233.810230819</v>
      </c>
      <c r="AY86" s="37" t="n">
        <f aca="false">AX86+AY85-AY$23-AY$24</f>
        <v>-470349.619427729</v>
      </c>
      <c r="AZ86" s="37" t="n">
        <f aca="false">AY86+AZ85-AZ$23-AZ$24</f>
        <v>-470761.07763127</v>
      </c>
      <c r="BA86" s="37" t="n">
        <f aca="false">AZ86+BA85-BA$23-BA$24</f>
        <v>-468125.174864283</v>
      </c>
      <c r="BB86" s="37" t="n">
        <f aca="false">BA86+BB85-BB$23-BB$24</f>
        <v>-480497.730639271</v>
      </c>
      <c r="BC86" s="37" t="n">
        <f aca="false">BB86+BC85-BC$23-BC$24</f>
        <v>-471933.420462089</v>
      </c>
      <c r="BD86" s="37" t="n">
        <f aca="false">BC86+BD85-BD$23-BD$24</f>
        <v>-460485.801686694</v>
      </c>
      <c r="BE86" s="37" t="n">
        <f aca="false">BD86+BE85-BE$23-BE$24</f>
        <v>-446207.3387378</v>
      </c>
      <c r="BF86" s="37" t="n">
        <f aca="false">BE86+BF85-BF$23-BF$24</f>
        <v>-429149.427717851</v>
      </c>
      <c r="BG86" s="37" t="n">
        <f aca="false">BF86+BG85-BG$23-BG$24</f>
        <v>-409362.420414268</v>
      </c>
      <c r="BH86" s="37" t="n">
        <f aca="false">BG86+BH85-BH$23-BH$24</f>
        <v>-391895.647722484</v>
      </c>
      <c r="BI86" s="37" t="n">
        <f aca="false">BH86+BI85-BI$23-BI$24</f>
        <v>-366797.442499873</v>
      </c>
      <c r="BJ86" s="37" t="n">
        <f aca="false">BI86+BJ85-BJ$23-BJ$24</f>
        <v>-339115.161865289</v>
      </c>
    </row>
    <row r="87" customFormat="false" ht="15" hidden="false" customHeight="false" outlineLevel="0" collapsed="false">
      <c r="B87" s="5" t="s">
        <v>402</v>
      </c>
      <c r="C87" s="38" t="n">
        <f aca="false">IF(C85&gt;=0,C$19,999)</f>
        <v>999</v>
      </c>
      <c r="D87" s="38" t="n">
        <f aca="false">IF(D85&gt;=0,D$19,999)</f>
        <v>999</v>
      </c>
      <c r="E87" s="38" t="n">
        <f aca="false">IF(E85&gt;=0,E$19,999)</f>
        <v>999</v>
      </c>
      <c r="F87" s="38" t="n">
        <f aca="false">IF(F85&gt;=0,F$19,999)</f>
        <v>999</v>
      </c>
      <c r="G87" s="38" t="n">
        <f aca="false">IF(G85&gt;=0,G$19,999)</f>
        <v>999</v>
      </c>
      <c r="H87" s="38" t="n">
        <f aca="false">IF(H85&gt;=0,H$19,999)</f>
        <v>999</v>
      </c>
      <c r="I87" s="38" t="n">
        <f aca="false">IF(I85&gt;=0,I$19,999)</f>
        <v>999</v>
      </c>
      <c r="J87" s="38" t="n">
        <f aca="false">IF(J85&gt;=0,J$19,999)</f>
        <v>999</v>
      </c>
      <c r="K87" s="38" t="n">
        <f aca="false">IF(K85&gt;=0,K$19,999)</f>
        <v>999</v>
      </c>
      <c r="L87" s="38" t="n">
        <f aca="false">IF(L85&gt;=0,L$19,999)</f>
        <v>999</v>
      </c>
      <c r="M87" s="38" t="n">
        <f aca="false">IF(M85&gt;=0,M$19,999)</f>
        <v>999</v>
      </c>
      <c r="N87" s="38" t="n">
        <f aca="false">IF(N85&gt;=0,N$19,999)</f>
        <v>999</v>
      </c>
      <c r="O87" s="38" t="n">
        <f aca="false">IF(O85&gt;=0,O$19,999)</f>
        <v>999</v>
      </c>
      <c r="P87" s="38" t="n">
        <f aca="false">IF(P85&gt;=0,P$19,999)</f>
        <v>999</v>
      </c>
      <c r="Q87" s="38" t="n">
        <f aca="false">IF(Q85&gt;=0,Q$19,999)</f>
        <v>999</v>
      </c>
      <c r="R87" s="38" t="n">
        <f aca="false">IF(R85&gt;=0,R$19,999)</f>
        <v>999</v>
      </c>
      <c r="S87" s="38" t="n">
        <f aca="false">IF(S85&gt;=0,S$19,999)</f>
        <v>999</v>
      </c>
      <c r="T87" s="38" t="n">
        <f aca="false">IF(T85&gt;=0,T$19,999)</f>
        <v>999</v>
      </c>
      <c r="U87" s="38" t="n">
        <f aca="false">IF(U85&gt;=0,U$19,999)</f>
        <v>999</v>
      </c>
      <c r="V87" s="38" t="n">
        <f aca="false">IF(V85&gt;=0,V$19,999)</f>
        <v>999</v>
      </c>
      <c r="W87" s="38" t="n">
        <f aca="false">IF(W85&gt;=0,W$19,999)</f>
        <v>999</v>
      </c>
      <c r="X87" s="38" t="n">
        <f aca="false">IF(X85&gt;=0,X$19,999)</f>
        <v>999</v>
      </c>
      <c r="Y87" s="38" t="n">
        <f aca="false">IF(Y85&gt;=0,Y$19,999)</f>
        <v>999</v>
      </c>
      <c r="Z87" s="38" t="n">
        <f aca="false">IF(Z85&gt;=0,Z$19,999)</f>
        <v>999</v>
      </c>
      <c r="AA87" s="38" t="n">
        <f aca="false">IF(AA85&gt;=0,AA$19,999)</f>
        <v>999</v>
      </c>
      <c r="AB87" s="38" t="n">
        <f aca="false">IF(AB85&gt;=0,AB$19,999)</f>
        <v>999</v>
      </c>
      <c r="AC87" s="38" t="n">
        <f aca="false">IF(AC85&gt;=0,AC$19,999)</f>
        <v>999</v>
      </c>
      <c r="AD87" s="38" t="n">
        <f aca="false">IF(AD85&gt;=0,AD$19,999)</f>
        <v>999</v>
      </c>
      <c r="AE87" s="38" t="n">
        <f aca="false">IF(AE85&gt;=0,AE$19,999)</f>
        <v>999</v>
      </c>
      <c r="AF87" s="38" t="n">
        <f aca="false">IF(AF85&gt;=0,AF$19,999)</f>
        <v>999</v>
      </c>
      <c r="AG87" s="38" t="n">
        <f aca="false">IF(AG85&gt;=0,AG$19,999)</f>
        <v>999</v>
      </c>
      <c r="AH87" s="38" t="n">
        <f aca="false">IF(AH85&gt;=0,AH$19,999)</f>
        <v>999</v>
      </c>
      <c r="AI87" s="38" t="n">
        <f aca="false">IF(AI85&gt;=0,AI$19,999)</f>
        <v>999</v>
      </c>
      <c r="AJ87" s="38" t="n">
        <f aca="false">IF(AJ85&gt;=0,AJ$19,999)</f>
        <v>999</v>
      </c>
      <c r="AK87" s="38" t="n">
        <f aca="false">IF(AK85&gt;=0,AK$19,999)</f>
        <v>35</v>
      </c>
      <c r="AL87" s="38" t="n">
        <f aca="false">IF(AL85&gt;=0,AL$19,999)</f>
        <v>36</v>
      </c>
      <c r="AM87" s="38" t="n">
        <f aca="false">IF(AM85&gt;=0,AM$19,999)</f>
        <v>999</v>
      </c>
      <c r="AN87" s="38" t="n">
        <f aca="false">IF(AN85&gt;=0,AN$19,999)</f>
        <v>999</v>
      </c>
      <c r="AO87" s="38" t="n">
        <f aca="false">IF(AO85&gt;=0,AO$19,999)</f>
        <v>999</v>
      </c>
      <c r="AP87" s="38" t="n">
        <f aca="false">IF(AP85&gt;=0,AP$19,999)</f>
        <v>999</v>
      </c>
      <c r="AQ87" s="38" t="n">
        <f aca="false">IF(AQ85&gt;=0,AQ$19,999)</f>
        <v>999</v>
      </c>
      <c r="AR87" s="38" t="n">
        <f aca="false">IF(AR85&gt;=0,AR$19,999)</f>
        <v>42</v>
      </c>
      <c r="AS87" s="38" t="n">
        <f aca="false">IF(AS85&gt;=0,AS$19,999)</f>
        <v>999</v>
      </c>
      <c r="AT87" s="38" t="n">
        <f aca="false">IF(AT85&gt;=0,AT$19,999)</f>
        <v>44</v>
      </c>
      <c r="AU87" s="38" t="n">
        <f aca="false">IF(AU85&gt;=0,AU$19,999)</f>
        <v>999</v>
      </c>
      <c r="AV87" s="38" t="n">
        <f aca="false">IF(AV85&gt;=0,AV$19,999)</f>
        <v>46</v>
      </c>
      <c r="AW87" s="38" t="n">
        <f aca="false">IF(AW85&gt;=0,AW$19,999)</f>
        <v>47</v>
      </c>
      <c r="AX87" s="38" t="n">
        <f aca="false">IF(AX85&gt;=0,AX$19,999)</f>
        <v>48</v>
      </c>
      <c r="AY87" s="38" t="n">
        <f aca="false">IF(AY85&gt;=0,AY$19,999)</f>
        <v>999</v>
      </c>
      <c r="AZ87" s="38" t="n">
        <f aca="false">IF(AZ85&gt;=0,AZ$19,999)</f>
        <v>50</v>
      </c>
      <c r="BA87" s="38" t="n">
        <f aca="false">IF(BA85&gt;=0,BA$19,999)</f>
        <v>51</v>
      </c>
      <c r="BB87" s="38" t="n">
        <f aca="false">IF(BB85&gt;=0,BB$19,999)</f>
        <v>999</v>
      </c>
      <c r="BC87" s="38" t="n">
        <f aca="false">IF(BC85&gt;=0,BC$19,999)</f>
        <v>53</v>
      </c>
      <c r="BD87" s="38" t="n">
        <f aca="false">IF(BD85&gt;=0,BD$19,999)</f>
        <v>54</v>
      </c>
      <c r="BE87" s="38" t="n">
        <f aca="false">IF(BE85&gt;=0,BE$19,999)</f>
        <v>55</v>
      </c>
      <c r="BF87" s="38" t="n">
        <f aca="false">IF(BF85&gt;=0,BF$19,999)</f>
        <v>56</v>
      </c>
      <c r="BG87" s="38" t="n">
        <f aca="false">IF(BG85&gt;=0,BG$19,999)</f>
        <v>57</v>
      </c>
      <c r="BH87" s="38" t="n">
        <f aca="false">IF(BH85&gt;=0,BH$19,999)</f>
        <v>58</v>
      </c>
      <c r="BI87" s="38" t="n">
        <f aca="false">IF(BI85&gt;=0,BI$19,999)</f>
        <v>59</v>
      </c>
      <c r="BJ87" s="38" t="n">
        <f aca="false">IF(BJ85&gt;=0,BJ$19,999)</f>
        <v>60</v>
      </c>
    </row>
    <row r="88" customFormat="false" ht="15" hidden="false" customHeight="false" outlineLevel="0" collapsed="false">
      <c r="B88" s="19" t="str">
        <f aca="false">"Szenario "&amp;A10&amp;": "&amp;B10</f>
        <v>Szenario 6: Preise +10 %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</row>
    <row r="89" customFormat="false" ht="15" hidden="false" customHeight="false" outlineLevel="0" collapsed="false">
      <c r="B89" s="5" t="s">
        <v>396</v>
      </c>
      <c r="C89" s="41" t="n">
        <f aca="false">Annahmen!$B$7*Annahmen!$B$19*(1-Annahmen!$B$31*$C$10)+C$21*$E$10*Annahmen!$B$19</f>
        <v>3.925</v>
      </c>
      <c r="D89" s="41" t="n">
        <f aca="false">C89*(1-Annahmen!$B$31*$C$10)+D$21*$E$10*Annahmen!$B$19</f>
        <v>5.30725</v>
      </c>
      <c r="E89" s="41" t="n">
        <f aca="false">D89*(1-Annahmen!$B$31*$C$10)+E$21*$E$10*Annahmen!$B$19</f>
        <v>6.6480325</v>
      </c>
      <c r="F89" s="41" t="n">
        <f aca="false">E89*(1-Annahmen!$B$31*$C$10)+F$21*$E$10*Annahmen!$B$19</f>
        <v>9.448591525</v>
      </c>
      <c r="G89" s="41" t="n">
        <f aca="false">F89*(1-Annahmen!$B$31*$C$10)+G$21*$E$10*Annahmen!$B$19</f>
        <v>12.16513377925</v>
      </c>
      <c r="H89" s="41" t="n">
        <f aca="false">G89*(1-Annahmen!$B$31*$C$10)+H$21*$E$10*Annahmen!$B$19</f>
        <v>14.8001797658725</v>
      </c>
      <c r="I89" s="41" t="n">
        <f aca="false">H89*(1-Annahmen!$B$31*$C$10)+I$21*$E$10*Annahmen!$B$19</f>
        <v>18.8561743728963</v>
      </c>
      <c r="J89" s="41" t="n">
        <f aca="false">I89*(1-Annahmen!$B$31*$C$10)+J$21*$E$10*Annahmen!$B$19</f>
        <v>22.7904891417094</v>
      </c>
      <c r="K89" s="41" t="n">
        <f aca="false">J89*(1-Annahmen!$B$31*$C$10)+K$21*$E$10*Annahmen!$B$19</f>
        <v>26.6067744674582</v>
      </c>
      <c r="L89" s="41" t="n">
        <f aca="false">K89*(1-Annahmen!$B$31*$C$10)+L$21*$E$10*Annahmen!$B$19</f>
        <v>31.8085712334344</v>
      </c>
      <c r="M89" s="41" t="n">
        <f aca="false">L89*(1-Annahmen!$B$31*$C$10)+M$21*$E$10*Annahmen!$B$19</f>
        <v>36.8543140964314</v>
      </c>
      <c r="N89" s="41" t="n">
        <f aca="false">M89*(1-Annahmen!$B$31*$C$10)+N$21*$E$10*Annahmen!$B$19</f>
        <v>41.7486846735384</v>
      </c>
      <c r="O89" s="41" t="n">
        <f aca="false">N89*(1-Annahmen!$B$31*$C$10)+O$21*$E$10*Annahmen!$B$19</f>
        <v>48.4962241333323</v>
      </c>
      <c r="P89" s="41" t="n">
        <f aca="false">O89*(1-Annahmen!$B$31*$C$10)+P$21*$E$10*Annahmen!$B$19</f>
        <v>55.0413374093323</v>
      </c>
      <c r="Q89" s="41" t="n">
        <f aca="false">P89*(1-Annahmen!$B$31*$C$10)+Q$21*$E$10*Annahmen!$B$19</f>
        <v>61.3900972870523</v>
      </c>
      <c r="R89" s="41" t="n">
        <f aca="false">Q89*(1-Annahmen!$B$31*$C$10)+R$21*$E$10*Annahmen!$B$19</f>
        <v>69.5483943684408</v>
      </c>
      <c r="S89" s="41" t="n">
        <f aca="false">R89*(1-Annahmen!$B$31*$C$10)+S$21*$E$10*Annahmen!$B$19</f>
        <v>77.4619425373875</v>
      </c>
      <c r="T89" s="41" t="n">
        <f aca="false">S89*(1-Annahmen!$B$31*$C$10)+T$21*$E$10*Annahmen!$B$19</f>
        <v>85.1380842612659</v>
      </c>
      <c r="U89" s="41" t="n">
        <f aca="false">T89*(1-Annahmen!$B$31*$C$10)+U$21*$E$10*Annahmen!$B$19</f>
        <v>94.5839417334279</v>
      </c>
      <c r="V89" s="41" t="n">
        <f aca="false">U89*(1-Annahmen!$B$31*$C$10)+V$21*$E$10*Annahmen!$B$19</f>
        <v>103.746423481425</v>
      </c>
      <c r="W89" s="41" t="n">
        <f aca="false">V89*(1-Annahmen!$B$31*$C$10)+W$21*$E$10*Annahmen!$B$19</f>
        <v>112.634030776982</v>
      </c>
      <c r="X89" s="41" t="n">
        <f aca="false">W89*(1-Annahmen!$B$31*$C$10)+X$21*$E$10*Annahmen!$B$19</f>
        <v>123.255009853673</v>
      </c>
      <c r="Y89" s="41" t="n">
        <f aca="false">X89*(1-Annahmen!$B$31*$C$10)+Y$21*$E$10*Annahmen!$B$19</f>
        <v>133.557359558063</v>
      </c>
      <c r="Z89" s="41" t="n">
        <f aca="false">Y89*(1-Annahmen!$B$31*$C$10)+Z$21*$E$10*Annahmen!$B$19</f>
        <v>143.550638771321</v>
      </c>
      <c r="AA89" s="41" t="n">
        <f aca="false">Z89*(1-Annahmen!$B$31*$C$10)+AA$21*$E$10*Annahmen!$B$19</f>
        <v>154.244119608181</v>
      </c>
      <c r="AB89" s="41" t="n">
        <f aca="false">AA89*(1-Annahmen!$B$31*$C$10)+AB$21*$E$10*Annahmen!$B$19</f>
        <v>164.616796019936</v>
      </c>
      <c r="AC89" s="41" t="n">
        <f aca="false">AB89*(1-Annahmen!$B$31*$C$10)+AC$21*$E$10*Annahmen!$B$19</f>
        <v>174.678292139338</v>
      </c>
      <c r="AD89" s="41" t="n">
        <f aca="false">AC89*(1-Annahmen!$B$31*$C$10)+AD$21*$E$10*Annahmen!$B$19</f>
        <v>185.937943375158</v>
      </c>
      <c r="AE89" s="41" t="n">
        <f aca="false">AD89*(1-Annahmen!$B$31*$C$10)+AE$21*$E$10*Annahmen!$B$19</f>
        <v>196.859805073903</v>
      </c>
      <c r="AF89" s="41" t="n">
        <f aca="false">AE89*(1-Annahmen!$B$31*$C$10)+AF$21*$E$10*Annahmen!$B$19</f>
        <v>207.454010921686</v>
      </c>
      <c r="AG89" s="41" t="n">
        <f aca="false">AF89*(1-Annahmen!$B$31*$C$10)+AG$21*$E$10*Annahmen!$B$19</f>
        <v>219.230390594035</v>
      </c>
      <c r="AH89" s="41" t="n">
        <f aca="false">AG89*(1-Annahmen!$B$31*$C$10)+AH$21*$E$10*Annahmen!$B$19</f>
        <v>230.653478876214</v>
      </c>
      <c r="AI89" s="41" t="n">
        <f aca="false">AH89*(1-Annahmen!$B$31*$C$10)+AI$21*$E$10*Annahmen!$B$19</f>
        <v>241.733874509928</v>
      </c>
      <c r="AJ89" s="41" t="n">
        <f aca="false">AI89*(1-Annahmen!$B$31*$C$10)+AJ$21*$E$10*Annahmen!$B$19</f>
        <v>254.48185827463</v>
      </c>
      <c r="AK89" s="41" t="n">
        <f aca="false">AJ89*(1-Annahmen!$B$31*$C$10)+AK$21*$E$10*Annahmen!$B$19</f>
        <v>266.847402526391</v>
      </c>
      <c r="AL89" s="41" t="n">
        <f aca="false">AK89*(1-Annahmen!$B$31*$C$10)+AL$21*$E$10*Annahmen!$B$19</f>
        <v>278.841980450599</v>
      </c>
      <c r="AM89" s="41" t="n">
        <f aca="false">AL89*(1-Annahmen!$B$31*$C$10)+AM$21*$E$10*Annahmen!$B$19</f>
        <v>292.976721037081</v>
      </c>
      <c r="AN89" s="41" t="n">
        <f aca="false">AM89*(1-Annahmen!$B$31*$C$10)+AN$21*$E$10*Annahmen!$B$19</f>
        <v>306.687419405969</v>
      </c>
      <c r="AO89" s="41" t="n">
        <f aca="false">AN89*(1-Annahmen!$B$31*$C$10)+AO$21*$E$10*Annahmen!$B$19</f>
        <v>319.98679682379</v>
      </c>
      <c r="AP89" s="41" t="n">
        <f aca="false">AO89*(1-Annahmen!$B$31*$C$10)+AP$21*$E$10*Annahmen!$B$19</f>
        <v>332.887192919076</v>
      </c>
      <c r="AQ89" s="41" t="n">
        <f aca="false">AP89*(1-Annahmen!$B$31*$C$10)+AQ$21*$E$10*Annahmen!$B$19</f>
        <v>345.400577131504</v>
      </c>
      <c r="AR89" s="41" t="n">
        <f aca="false">AQ89*(1-Annahmen!$B$31*$C$10)+AR$21*$E$10*Annahmen!$B$19</f>
        <v>357.538559817559</v>
      </c>
      <c r="AS89" s="41" t="n">
        <f aca="false">AR89*(1-Annahmen!$B$31*$C$10)+AS$21*$E$10*Annahmen!$B$19</f>
        <v>369.312403023032</v>
      </c>
      <c r="AT89" s="41" t="n">
        <f aca="false">AS89*(1-Annahmen!$B$31*$C$10)+AT$21*$E$10*Annahmen!$B$19</f>
        <v>380.733030932341</v>
      </c>
      <c r="AU89" s="41" t="n">
        <f aca="false">AT89*(1-Annahmen!$B$31*$C$10)+AU$21*$E$10*Annahmen!$B$19</f>
        <v>391.811040004371</v>
      </c>
      <c r="AV89" s="41" t="n">
        <f aca="false">AU89*(1-Annahmen!$B$31*$C$10)+AV$21*$E$10*Annahmen!$B$19</f>
        <v>402.556708804239</v>
      </c>
      <c r="AW89" s="41" t="n">
        <f aca="false">AV89*(1-Annahmen!$B$31*$C$10)+AW$21*$E$10*Annahmen!$B$19</f>
        <v>412.980007540112</v>
      </c>
      <c r="AX89" s="41" t="n">
        <f aca="false">AW89*(1-Annahmen!$B$31*$C$10)+AX$21*$E$10*Annahmen!$B$19</f>
        <v>423.090607313909</v>
      </c>
      <c r="AY89" s="41" t="n">
        <f aca="false">AX89*(1-Annahmen!$B$31*$C$10)+AY$21*$E$10*Annahmen!$B$19</f>
        <v>437.897889094492</v>
      </c>
      <c r="AZ89" s="41" t="n">
        <f aca="false">AY89*(1-Annahmen!$B$31*$C$10)+AZ$21*$E$10*Annahmen!$B$19</f>
        <v>452.260952421657</v>
      </c>
      <c r="BA89" s="41" t="n">
        <f aca="false">AZ89*(1-Annahmen!$B$31*$C$10)+BA$21*$E$10*Annahmen!$B$19</f>
        <v>466.193123849007</v>
      </c>
      <c r="BB89" s="41" t="n">
        <f aca="false">BA89*(1-Annahmen!$B$31*$C$10)+BB$21*$E$10*Annahmen!$B$19</f>
        <v>479.707330133537</v>
      </c>
      <c r="BC89" s="41" t="n">
        <f aca="false">BB89*(1-Annahmen!$B$31*$C$10)+BC$21*$E$10*Annahmen!$B$19</f>
        <v>492.816110229531</v>
      </c>
      <c r="BD89" s="41" t="n">
        <f aca="false">BC89*(1-Annahmen!$B$31*$C$10)+BD$21*$E$10*Annahmen!$B$19</f>
        <v>505.531626922645</v>
      </c>
      <c r="BE89" s="41" t="n">
        <f aca="false">BD89*(1-Annahmen!$B$31*$C$10)+BE$21*$E$10*Annahmen!$B$19</f>
        <v>517.865678114966</v>
      </c>
      <c r="BF89" s="41" t="n">
        <f aca="false">BE89*(1-Annahmen!$B$31*$C$10)+BF$21*$E$10*Annahmen!$B$19</f>
        <v>529.829707771517</v>
      </c>
      <c r="BG89" s="41" t="n">
        <f aca="false">BF89*(1-Annahmen!$B$31*$C$10)+BG$21*$E$10*Annahmen!$B$19</f>
        <v>541.434816538371</v>
      </c>
      <c r="BH89" s="41" t="n">
        <f aca="false">BG89*(1-Annahmen!$B$31*$C$10)+BH$21*$E$10*Annahmen!$B$19</f>
        <v>552.69177204222</v>
      </c>
      <c r="BI89" s="41" t="n">
        <f aca="false">BH89*(1-Annahmen!$B$31*$C$10)+BI$21*$E$10*Annahmen!$B$19</f>
        <v>563.611018880953</v>
      </c>
      <c r="BJ89" s="41" t="n">
        <f aca="false">BI89*(1-Annahmen!$B$31*$C$10)+BJ$21*$E$10*Annahmen!$B$19</f>
        <v>574.202688314525</v>
      </c>
    </row>
    <row r="90" customFormat="false" ht="15" hidden="false" customHeight="false" outlineLevel="0" collapsed="false">
      <c r="B90" s="5" t="s">
        <v>397</v>
      </c>
      <c r="C90" s="41" t="n">
        <f aca="false">Annahmen!$B$7*Annahmen!$B$20*(1-Annahmen!$B$32*$C$10)+C$21*$E$10*Annahmen!$B$20</f>
        <v>3.002</v>
      </c>
      <c r="D90" s="41" t="n">
        <f aca="false">C90*(1-Annahmen!$B$32*$C$10)+D$21*$E$10*Annahmen!$B$20</f>
        <v>4.08196</v>
      </c>
      <c r="E90" s="41" t="n">
        <f aca="false">D90*(1-Annahmen!$B$32*$C$10)+E$21*$E$10*Annahmen!$B$20</f>
        <v>5.1403208</v>
      </c>
      <c r="F90" s="41" t="n">
        <f aca="false">E90*(1-Annahmen!$B$32*$C$10)+F$21*$E$10*Annahmen!$B$20</f>
        <v>7.317514384</v>
      </c>
      <c r="G90" s="41" t="n">
        <f aca="false">F90*(1-Annahmen!$B$32*$C$10)+G$21*$E$10*Annahmen!$B$20</f>
        <v>9.45116409632</v>
      </c>
      <c r="H90" s="41" t="n">
        <f aca="false">G90*(1-Annahmen!$B$32*$C$10)+H$21*$E$10*Annahmen!$B$20</f>
        <v>11.5421408143936</v>
      </c>
      <c r="I90" s="41" t="n">
        <f aca="false">H90*(1-Annahmen!$B$32*$C$10)+I$21*$E$10*Annahmen!$B$20</f>
        <v>14.7312979981057</v>
      </c>
      <c r="J90" s="41" t="n">
        <f aca="false">I90*(1-Annahmen!$B$32*$C$10)+J$21*$E$10*Annahmen!$B$20</f>
        <v>17.8566720381436</v>
      </c>
      <c r="K90" s="41" t="n">
        <f aca="false">J90*(1-Annahmen!$B$32*$C$10)+K$21*$E$10*Annahmen!$B$20</f>
        <v>20.9195385973807</v>
      </c>
      <c r="L90" s="41" t="n">
        <f aca="false">K90*(1-Annahmen!$B$32*$C$10)+L$21*$E$10*Annahmen!$B$20</f>
        <v>25.0611478254331</v>
      </c>
      <c r="M90" s="41" t="n">
        <f aca="false">L90*(1-Annahmen!$B$32*$C$10)+M$21*$E$10*Annahmen!$B$20</f>
        <v>29.1199248689245</v>
      </c>
      <c r="N90" s="41" t="n">
        <f aca="false">M90*(1-Annahmen!$B$32*$C$10)+N$21*$E$10*Annahmen!$B$20</f>
        <v>33.097526371546</v>
      </c>
      <c r="O90" s="41" t="n">
        <f aca="false">N90*(1-Annahmen!$B$32*$C$10)+O$21*$E$10*Annahmen!$B$20</f>
        <v>38.5155758441151</v>
      </c>
      <c r="P90" s="41" t="n">
        <f aca="false">O90*(1-Annahmen!$B$32*$C$10)+P$21*$E$10*Annahmen!$B$20</f>
        <v>43.8252643272328</v>
      </c>
      <c r="Q90" s="41" t="n">
        <f aca="false">P90*(1-Annahmen!$B$32*$C$10)+Q$21*$E$10*Annahmen!$B$20</f>
        <v>49.0287590406881</v>
      </c>
      <c r="R90" s="41" t="n">
        <f aca="false">Q90*(1-Annahmen!$B$32*$C$10)+R$21*$E$10*Annahmen!$B$20</f>
        <v>55.6481838598743</v>
      </c>
      <c r="S90" s="41" t="n">
        <f aca="false">R90*(1-Annahmen!$B$32*$C$10)+S$21*$E$10*Annahmen!$B$20</f>
        <v>62.1352201826769</v>
      </c>
      <c r="T90" s="41" t="n">
        <f aca="false">S90*(1-Annahmen!$B$32*$C$10)+T$21*$E$10*Annahmen!$B$20</f>
        <v>68.4925157790233</v>
      </c>
      <c r="U90" s="41" t="n">
        <f aca="false">T90*(1-Annahmen!$B$32*$C$10)+U$21*$E$10*Annahmen!$B$20</f>
        <v>76.2426654634429</v>
      </c>
      <c r="V90" s="41" t="n">
        <f aca="false">U90*(1-Annahmen!$B$32*$C$10)+V$21*$E$10*Annahmen!$B$20</f>
        <v>83.837812154174</v>
      </c>
      <c r="W90" s="41" t="n">
        <f aca="false">V90*(1-Annahmen!$B$32*$C$10)+W$21*$E$10*Annahmen!$B$20</f>
        <v>91.2810559110905</v>
      </c>
      <c r="X90" s="41" t="n">
        <f aca="false">W90*(1-Annahmen!$B$32*$C$10)+X$21*$E$10*Annahmen!$B$20</f>
        <v>100.095434792869</v>
      </c>
      <c r="Y90" s="41" t="n">
        <f aca="false">X90*(1-Annahmen!$B$32*$C$10)+Y$21*$E$10*Annahmen!$B$20</f>
        <v>108.733526097011</v>
      </c>
      <c r="Z90" s="41" t="n">
        <f aca="false">Y90*(1-Annahmen!$B$32*$C$10)+Z$21*$E$10*Annahmen!$B$20</f>
        <v>117.198855575071</v>
      </c>
      <c r="AA90" s="41" t="n">
        <f aca="false">Z90*(1-Annahmen!$B$32*$C$10)+AA$21*$E$10*Annahmen!$B$20</f>
        <v>126.25487846357</v>
      </c>
      <c r="AB90" s="41" t="n">
        <f aca="false">AA90*(1-Annahmen!$B$32*$C$10)+AB$21*$E$10*Annahmen!$B$20</f>
        <v>135.129780894298</v>
      </c>
      <c r="AC90" s="41" t="n">
        <f aca="false">AB90*(1-Annahmen!$B$32*$C$10)+AC$21*$E$10*Annahmen!$B$20</f>
        <v>143.827185276412</v>
      </c>
      <c r="AD90" s="41" t="n">
        <f aca="false">AC90*(1-Annahmen!$B$32*$C$10)+AD$21*$E$10*Annahmen!$B$20</f>
        <v>153.490641570884</v>
      </c>
      <c r="AE90" s="41" t="n">
        <f aca="false">AD90*(1-Annahmen!$B$32*$C$10)+AE$21*$E$10*Annahmen!$B$20</f>
        <v>162.960828739466</v>
      </c>
      <c r="AF90" s="41" t="n">
        <f aca="false">AE90*(1-Annahmen!$B$32*$C$10)+AF$21*$E$10*Annahmen!$B$20</f>
        <v>172.241612164677</v>
      </c>
      <c r="AG90" s="41" t="n">
        <f aca="false">AF90*(1-Annahmen!$B$32*$C$10)+AG$21*$E$10*Annahmen!$B$20</f>
        <v>182.476779921384</v>
      </c>
      <c r="AH90" s="41" t="n">
        <f aca="false">AG90*(1-Annahmen!$B$32*$C$10)+AH$21*$E$10*Annahmen!$B$20</f>
        <v>192.507244322956</v>
      </c>
      <c r="AI90" s="41" t="n">
        <f aca="false">AH90*(1-Annahmen!$B$32*$C$10)+AI$21*$E$10*Annahmen!$B$20</f>
        <v>202.337099436497</v>
      </c>
      <c r="AJ90" s="41" t="n">
        <f aca="false">AI90*(1-Annahmen!$B$32*$C$10)+AJ$21*$E$10*Annahmen!$B$20</f>
        <v>213.490357447767</v>
      </c>
      <c r="AK90" s="41" t="n">
        <f aca="false">AJ90*(1-Annahmen!$B$32*$C$10)+AK$21*$E$10*Annahmen!$B$20</f>
        <v>224.420550298811</v>
      </c>
      <c r="AL90" s="41" t="n">
        <f aca="false">AK90*(1-Annahmen!$B$32*$C$10)+AL$21*$E$10*Annahmen!$B$20</f>
        <v>235.132139292835</v>
      </c>
      <c r="AM90" s="41" t="n">
        <f aca="false">AL90*(1-Annahmen!$B$32*$C$10)+AM$21*$E$10*Annahmen!$B$20</f>
        <v>247.529496506978</v>
      </c>
      <c r="AN90" s="41" t="n">
        <f aca="false">AM90*(1-Annahmen!$B$32*$C$10)+AN$21*$E$10*Annahmen!$B$20</f>
        <v>259.678906576839</v>
      </c>
      <c r="AO90" s="41" t="n">
        <f aca="false">AN90*(1-Annahmen!$B$32*$C$10)+AO$21*$E$10*Annahmen!$B$20</f>
        <v>271.585328445302</v>
      </c>
      <c r="AP90" s="41" t="n">
        <f aca="false">AO90*(1-Annahmen!$B$32*$C$10)+AP$21*$E$10*Annahmen!$B$20</f>
        <v>283.253621876396</v>
      </c>
      <c r="AQ90" s="41" t="n">
        <f aca="false">AP90*(1-Annahmen!$B$32*$C$10)+AQ$21*$E$10*Annahmen!$B$20</f>
        <v>294.688549438868</v>
      </c>
      <c r="AR90" s="41" t="n">
        <f aca="false">AQ90*(1-Annahmen!$B$32*$C$10)+AR$21*$E$10*Annahmen!$B$20</f>
        <v>305.894778450091</v>
      </c>
      <c r="AS90" s="41" t="n">
        <f aca="false">AR90*(1-Annahmen!$B$32*$C$10)+AS$21*$E$10*Annahmen!$B$20</f>
        <v>316.876882881089</v>
      </c>
      <c r="AT90" s="41" t="n">
        <f aca="false">AS90*(1-Annahmen!$B$32*$C$10)+AT$21*$E$10*Annahmen!$B$20</f>
        <v>327.639345223467</v>
      </c>
      <c r="AU90" s="41" t="n">
        <f aca="false">AT90*(1-Annahmen!$B$32*$C$10)+AU$21*$E$10*Annahmen!$B$20</f>
        <v>338.186558318998</v>
      </c>
      <c r="AV90" s="41" t="n">
        <f aca="false">AU90*(1-Annahmen!$B$32*$C$10)+AV$21*$E$10*Annahmen!$B$20</f>
        <v>348.522827152618</v>
      </c>
      <c r="AW90" s="41" t="n">
        <f aca="false">AV90*(1-Annahmen!$B$32*$C$10)+AW$21*$E$10*Annahmen!$B$20</f>
        <v>358.652370609566</v>
      </c>
      <c r="AX90" s="41" t="n">
        <f aca="false">AW90*(1-Annahmen!$B$32*$C$10)+AX$21*$E$10*Annahmen!$B$20</f>
        <v>368.579323197374</v>
      </c>
      <c r="AY90" s="41" t="n">
        <f aca="false">AX90*(1-Annahmen!$B$32*$C$10)+AY$21*$E$10*Annahmen!$B$20</f>
        <v>382.107736733427</v>
      </c>
      <c r="AZ90" s="41" t="n">
        <f aca="false">AY90*(1-Annahmen!$B$32*$C$10)+AZ$21*$E$10*Annahmen!$B$20</f>
        <v>395.365581998758</v>
      </c>
      <c r="BA90" s="41" t="n">
        <f aca="false">AZ90*(1-Annahmen!$B$32*$C$10)+BA$21*$E$10*Annahmen!$B$20</f>
        <v>408.358270358783</v>
      </c>
      <c r="BB90" s="41" t="n">
        <f aca="false">BA90*(1-Annahmen!$B$32*$C$10)+BB$21*$E$10*Annahmen!$B$20</f>
        <v>421.091104951607</v>
      </c>
      <c r="BC90" s="41" t="n">
        <f aca="false">BB90*(1-Annahmen!$B$32*$C$10)+BC$21*$E$10*Annahmen!$B$20</f>
        <v>433.569282852575</v>
      </c>
      <c r="BD90" s="41" t="n">
        <f aca="false">BC90*(1-Annahmen!$B$32*$C$10)+BD$21*$E$10*Annahmen!$B$20</f>
        <v>445.797897195524</v>
      </c>
      <c r="BE90" s="41" t="n">
        <f aca="false">BD90*(1-Annahmen!$B$32*$C$10)+BE$21*$E$10*Annahmen!$B$20</f>
        <v>457.781939251613</v>
      </c>
      <c r="BF90" s="41" t="n">
        <f aca="false">BE90*(1-Annahmen!$B$32*$C$10)+BF$21*$E$10*Annahmen!$B$20</f>
        <v>469.526300466581</v>
      </c>
      <c r="BG90" s="41" t="n">
        <f aca="false">BF90*(1-Annahmen!$B$32*$C$10)+BG$21*$E$10*Annahmen!$B$20</f>
        <v>481.035774457249</v>
      </c>
      <c r="BH90" s="41" t="n">
        <f aca="false">BG90*(1-Annahmen!$B$32*$C$10)+BH$21*$E$10*Annahmen!$B$20</f>
        <v>492.315058968104</v>
      </c>
      <c r="BI90" s="41" t="n">
        <f aca="false">BH90*(1-Annahmen!$B$32*$C$10)+BI$21*$E$10*Annahmen!$B$20</f>
        <v>503.368757788742</v>
      </c>
      <c r="BJ90" s="41" t="n">
        <f aca="false">BI90*(1-Annahmen!$B$32*$C$10)+BJ$21*$E$10*Annahmen!$B$20</f>
        <v>514.201382632967</v>
      </c>
    </row>
    <row r="91" customFormat="false" ht="15" hidden="false" customHeight="false" outlineLevel="0" collapsed="false">
      <c r="B91" s="5" t="s">
        <v>398</v>
      </c>
      <c r="C91" s="41" t="n">
        <f aca="false">Annahmen!$B$7*Annahmen!$B$21*(1-Annahmen!$B$33*$C$10)+C$21*$E$10*Annahmen!$B$21</f>
        <v>0.9528</v>
      </c>
      <c r="D91" s="41" t="n">
        <f aca="false">C91*(1-Annahmen!$B$33*$C$10)+D$21*$E$10*Annahmen!$B$21</f>
        <v>1.3013664</v>
      </c>
      <c r="E91" s="41" t="n">
        <f aca="false">D91*(1-Annahmen!$B$33*$C$10)+E$21*$E$10*Annahmen!$B$21</f>
        <v>1.6457500032</v>
      </c>
      <c r="F91" s="41" t="n">
        <f aca="false">E91*(1-Annahmen!$B$33*$C$10)+F$21*$E$10*Annahmen!$B$21</f>
        <v>2.3460010031616</v>
      </c>
      <c r="G91" s="41" t="n">
        <f aca="false">F91*(1-Annahmen!$B$33*$C$10)+G$21*$E$10*Annahmen!$B$21</f>
        <v>3.03784899112366</v>
      </c>
      <c r="H91" s="41" t="n">
        <f aca="false">G91*(1-Annahmen!$B$33*$C$10)+H$21*$E$10*Annahmen!$B$21</f>
        <v>3.72139480323018</v>
      </c>
      <c r="I91" s="41" t="n">
        <f aca="false">H91*(1-Annahmen!$B$33*$C$10)+I$21*$E$10*Annahmen!$B$21</f>
        <v>4.75673806559141</v>
      </c>
      <c r="J91" s="41" t="n">
        <f aca="false">I91*(1-Annahmen!$B$33*$C$10)+J$21*$E$10*Annahmen!$B$21</f>
        <v>5.77965720880432</v>
      </c>
      <c r="K91" s="41" t="n">
        <f aca="false">J91*(1-Annahmen!$B$33*$C$10)+K$21*$E$10*Annahmen!$B$21</f>
        <v>6.79030132229867</v>
      </c>
      <c r="L91" s="41" t="n">
        <f aca="false">K91*(1-Annahmen!$B$33*$C$10)+L$21*$E$10*Annahmen!$B$21</f>
        <v>8.14881770643108</v>
      </c>
      <c r="M91" s="41" t="n">
        <f aca="false">L91*(1-Annahmen!$B$33*$C$10)+M$21*$E$10*Annahmen!$B$21</f>
        <v>9.49103189395391</v>
      </c>
      <c r="N91" s="41" t="n">
        <f aca="false">M91*(1-Annahmen!$B$33*$C$10)+N$21*$E$10*Annahmen!$B$21</f>
        <v>10.8171395112265</v>
      </c>
      <c r="O91" s="41" t="n">
        <f aca="false">N91*(1-Annahmen!$B$33*$C$10)+O$21*$E$10*Annahmen!$B$21</f>
        <v>12.6073338370917</v>
      </c>
      <c r="P91" s="41" t="n">
        <f aca="false">O91*(1-Annahmen!$B$33*$C$10)+P$21*$E$10*Annahmen!$B$21</f>
        <v>14.3760458310466</v>
      </c>
      <c r="Q91" s="41" t="n">
        <f aca="false">P91*(1-Annahmen!$B$33*$C$10)+Q$21*$E$10*Annahmen!$B$21</f>
        <v>16.1235332810741</v>
      </c>
      <c r="R91" s="41" t="n">
        <f aca="false">Q91*(1-Annahmen!$B$33*$C$10)+R$21*$E$10*Annahmen!$B$21</f>
        <v>18.3300508817012</v>
      </c>
      <c r="S91" s="41" t="n">
        <f aca="false">R91*(1-Annahmen!$B$33*$C$10)+S$21*$E$10*Annahmen!$B$21</f>
        <v>20.5100902711208</v>
      </c>
      <c r="T91" s="41" t="n">
        <f aca="false">S91*(1-Annahmen!$B$33*$C$10)+T$21*$E$10*Annahmen!$B$21</f>
        <v>22.6639691878673</v>
      </c>
      <c r="U91" s="41" t="n">
        <f aca="false">T91*(1-Annahmen!$B$33*$C$10)+U$21*$E$10*Annahmen!$B$21</f>
        <v>25.2720015576129</v>
      </c>
      <c r="V91" s="41" t="n">
        <f aca="false">U91*(1-Annahmen!$B$33*$C$10)+V$21*$E$10*Annahmen!$B$21</f>
        <v>27.8487375389216</v>
      </c>
      <c r="W91" s="41" t="n">
        <f aca="false">V91*(1-Annahmen!$B$33*$C$10)+W$21*$E$10*Annahmen!$B$21</f>
        <v>30.3945526884545</v>
      </c>
      <c r="X91" s="41" t="n">
        <f aca="false">W91*(1-Annahmen!$B$33*$C$10)+X$21*$E$10*Annahmen!$B$21</f>
        <v>33.389818056193</v>
      </c>
      <c r="Y91" s="41" t="n">
        <f aca="false">X91*(1-Annahmen!$B$33*$C$10)+Y$21*$E$10*Annahmen!$B$21</f>
        <v>36.3491402395187</v>
      </c>
      <c r="Z91" s="41" t="n">
        <f aca="false">Y91*(1-Annahmen!$B$33*$C$10)+Z$21*$E$10*Annahmen!$B$21</f>
        <v>39.2729505566445</v>
      </c>
      <c r="AA91" s="41" t="n">
        <f aca="false">Z91*(1-Annahmen!$B$33*$C$10)+AA$21*$E$10*Annahmen!$B$21</f>
        <v>42.4016751499648</v>
      </c>
      <c r="AB91" s="41" t="n">
        <f aca="false">AA91*(1-Annahmen!$B$33*$C$10)+AB$21*$E$10*Annahmen!$B$21</f>
        <v>45.4928550481652</v>
      </c>
      <c r="AC91" s="41" t="n">
        <f aca="false">AB91*(1-Annahmen!$B$33*$C$10)+AC$21*$E$10*Annahmen!$B$21</f>
        <v>48.5469407875872</v>
      </c>
      <c r="AD91" s="41" t="n">
        <f aca="false">AC91*(1-Annahmen!$B$33*$C$10)+AD$21*$E$10*Annahmen!$B$21</f>
        <v>51.9243774981362</v>
      </c>
      <c r="AE91" s="41" t="n">
        <f aca="false">AD91*(1-Annahmen!$B$33*$C$10)+AE$21*$E$10*Annahmen!$B$21</f>
        <v>55.2612849681585</v>
      </c>
      <c r="AF91" s="41" t="n">
        <f aca="false">AE91*(1-Annahmen!$B$33*$C$10)+AF$21*$E$10*Annahmen!$B$21</f>
        <v>58.5581495485406</v>
      </c>
      <c r="AG91" s="41" t="n">
        <f aca="false">AF91*(1-Annahmen!$B$33*$C$10)+AG$21*$E$10*Annahmen!$B$21</f>
        <v>62.1754517539581</v>
      </c>
      <c r="AH91" s="41" t="n">
        <f aca="false">AG91*(1-Annahmen!$B$33*$C$10)+AH$21*$E$10*Annahmen!$B$21</f>
        <v>65.7493463329107</v>
      </c>
      <c r="AI91" s="41" t="n">
        <f aca="false">AH91*(1-Annahmen!$B$33*$C$10)+AI$21*$E$10*Annahmen!$B$21</f>
        <v>69.2803541769157</v>
      </c>
      <c r="AJ91" s="41" t="n">
        <f aca="false">AI91*(1-Annahmen!$B$33*$C$10)+AJ$21*$E$10*Annahmen!$B$21</f>
        <v>73.2489899267927</v>
      </c>
      <c r="AK91" s="41" t="n">
        <f aca="false">AJ91*(1-Annahmen!$B$33*$C$10)+AK$21*$E$10*Annahmen!$B$21</f>
        <v>77.1700020476712</v>
      </c>
      <c r="AL91" s="41" t="n">
        <f aca="false">AK91*(1-Annahmen!$B$33*$C$10)+AL$21*$E$10*Annahmen!$B$21</f>
        <v>81.0439620230992</v>
      </c>
      <c r="AM91" s="41" t="n">
        <f aca="false">AL91*(1-Annahmen!$B$33*$C$10)+AM$21*$E$10*Annahmen!$B$21</f>
        <v>85.471434478822</v>
      </c>
      <c r="AN91" s="41" t="n">
        <f aca="false">AM91*(1-Annahmen!$B$33*$C$10)+AN$21*$E$10*Annahmen!$B$21</f>
        <v>89.8457772650761</v>
      </c>
      <c r="AO91" s="41" t="n">
        <f aca="false">AN91*(1-Annahmen!$B$33*$C$10)+AO$21*$E$10*Annahmen!$B$21</f>
        <v>94.1676279378952</v>
      </c>
      <c r="AP91" s="41" t="n">
        <f aca="false">AO91*(1-Annahmen!$B$33*$C$10)+AP$21*$E$10*Annahmen!$B$21</f>
        <v>98.4376164026405</v>
      </c>
      <c r="AQ91" s="41" t="n">
        <f aca="false">AP91*(1-Annahmen!$B$33*$C$10)+AQ$21*$E$10*Annahmen!$B$21</f>
        <v>102.656365005809</v>
      </c>
      <c r="AR91" s="41" t="n">
        <f aca="false">AQ91*(1-Annahmen!$B$33*$C$10)+AR$21*$E$10*Annahmen!$B$21</f>
        <v>106.824488625739</v>
      </c>
      <c r="AS91" s="41" t="n">
        <f aca="false">AR91*(1-Annahmen!$B$33*$C$10)+AS$21*$E$10*Annahmen!$B$21</f>
        <v>110.94259476223</v>
      </c>
      <c r="AT91" s="41" t="n">
        <f aca="false">AS91*(1-Annahmen!$B$33*$C$10)+AT$21*$E$10*Annahmen!$B$21</f>
        <v>115.011283625083</v>
      </c>
      <c r="AU91" s="41" t="n">
        <f aca="false">AT91*(1-Annahmen!$B$33*$C$10)+AU$21*$E$10*Annahmen!$B$21</f>
        <v>119.031148221582</v>
      </c>
      <c r="AV91" s="41" t="n">
        <f aca="false">AU91*(1-Annahmen!$B$33*$C$10)+AV$21*$E$10*Annahmen!$B$21</f>
        <v>123.002774442924</v>
      </c>
      <c r="AW91" s="41" t="n">
        <f aca="false">AV91*(1-Annahmen!$B$33*$C$10)+AW$21*$E$10*Annahmen!$B$21</f>
        <v>126.926741149608</v>
      </c>
      <c r="AX91" s="41" t="n">
        <f aca="false">AW91*(1-Annahmen!$B$33*$C$10)+AX$21*$E$10*Annahmen!$B$21</f>
        <v>130.803620255813</v>
      </c>
      <c r="AY91" s="41" t="n">
        <f aca="false">AX91*(1-Annahmen!$B$33*$C$10)+AY$21*$E$10*Annahmen!$B$21</f>
        <v>135.833976812743</v>
      </c>
      <c r="AZ91" s="41" t="n">
        <f aca="false">AY91*(1-Annahmen!$B$33*$C$10)+AZ$21*$E$10*Annahmen!$B$21</f>
        <v>140.80396909099</v>
      </c>
      <c r="BA91" s="41" t="n">
        <f aca="false">AZ91*(1-Annahmen!$B$33*$C$10)+BA$21*$E$10*Annahmen!$B$21</f>
        <v>145.714321461899</v>
      </c>
      <c r="BB91" s="41" t="n">
        <f aca="false">BA91*(1-Annahmen!$B$33*$C$10)+BB$21*$E$10*Annahmen!$B$21</f>
        <v>150.565749604356</v>
      </c>
      <c r="BC91" s="41" t="n">
        <f aca="false">BB91*(1-Annahmen!$B$33*$C$10)+BC$21*$E$10*Annahmen!$B$21</f>
        <v>155.358960609103</v>
      </c>
      <c r="BD91" s="41" t="n">
        <f aca="false">BC91*(1-Annahmen!$B$33*$C$10)+BD$21*$E$10*Annahmen!$B$21</f>
        <v>160.094653081794</v>
      </c>
      <c r="BE91" s="41" t="n">
        <f aca="false">BD91*(1-Annahmen!$B$33*$C$10)+BE$21*$E$10*Annahmen!$B$21</f>
        <v>164.773517244813</v>
      </c>
      <c r="BF91" s="41" t="n">
        <f aca="false">BE91*(1-Annahmen!$B$33*$C$10)+BF$21*$E$10*Annahmen!$B$21</f>
        <v>169.396235037875</v>
      </c>
      <c r="BG91" s="41" t="n">
        <f aca="false">BF91*(1-Annahmen!$B$33*$C$10)+BG$21*$E$10*Annahmen!$B$21</f>
        <v>173.96348021742</v>
      </c>
      <c r="BH91" s="41" t="n">
        <f aca="false">BG91*(1-Annahmen!$B$33*$C$10)+BH$21*$E$10*Annahmen!$B$21</f>
        <v>178.475918454811</v>
      </c>
      <c r="BI91" s="41" t="n">
        <f aca="false">BH91*(1-Annahmen!$B$33*$C$10)+BI$21*$E$10*Annahmen!$B$21</f>
        <v>182.934207433354</v>
      </c>
      <c r="BJ91" s="41" t="n">
        <f aca="false">BI91*(1-Annahmen!$B$33*$C$10)+BJ$21*$E$10*Annahmen!$B$21</f>
        <v>187.338996944153</v>
      </c>
    </row>
    <row r="92" customFormat="false" ht="15" hidden="false" customHeight="false" outlineLevel="0" collapsed="false">
      <c r="B92" s="5" t="s">
        <v>399</v>
      </c>
      <c r="C92" s="41" t="n">
        <f aca="false">Annahmen!$B$7*Annahmen!$B$21*Annahmen!$B$24*(1-Annahmen!$B$33*$C$10)+C$21*$E$10*Annahmen!$B$21*Annahmen!$B$24</f>
        <v>0.19056</v>
      </c>
      <c r="D92" s="41" t="n">
        <f aca="false">C92*(1-Annahmen!$B$33*$C$10)+D$21*$E$10*Annahmen!$B$21*Annahmen!$B$24</f>
        <v>0.26027328</v>
      </c>
      <c r="E92" s="41" t="n">
        <f aca="false">D92*(1-Annahmen!$B$33*$C$10)+E$21*$E$10*Annahmen!$B$21*Annahmen!$B$24</f>
        <v>0.32915000064</v>
      </c>
      <c r="F92" s="41" t="n">
        <f aca="false">E92*(1-Annahmen!$B$33*$C$10)+F$21*$E$10*Annahmen!$B$21*Annahmen!$B$24</f>
        <v>0.46920020063232</v>
      </c>
      <c r="G92" s="41" t="n">
        <f aca="false">F92*(1-Annahmen!$B$33*$C$10)+G$21*$E$10*Annahmen!$B$21*Annahmen!$B$24</f>
        <v>0.607569798224732</v>
      </c>
      <c r="H92" s="41" t="n">
        <f aca="false">G92*(1-Annahmen!$B$33*$C$10)+H$21*$E$10*Annahmen!$B$21*Annahmen!$B$24</f>
        <v>0.744278960646035</v>
      </c>
      <c r="I92" s="41" t="n">
        <f aca="false">H92*(1-Annahmen!$B$33*$C$10)+I$21*$E$10*Annahmen!$B$21*Annahmen!$B$24</f>
        <v>0.951347613118283</v>
      </c>
      <c r="J92" s="41" t="n">
        <f aca="false">I92*(1-Annahmen!$B$33*$C$10)+J$21*$E$10*Annahmen!$B$21*Annahmen!$B$24</f>
        <v>1.15593144176086</v>
      </c>
      <c r="K92" s="41" t="n">
        <f aca="false">J92*(1-Annahmen!$B$33*$C$10)+K$21*$E$10*Annahmen!$B$21*Annahmen!$B$24</f>
        <v>1.35806026445973</v>
      </c>
      <c r="L92" s="41" t="n">
        <f aca="false">K92*(1-Annahmen!$B$33*$C$10)+L$21*$E$10*Annahmen!$B$21*Annahmen!$B$24</f>
        <v>1.62976354128622</v>
      </c>
      <c r="M92" s="41" t="n">
        <f aca="false">L92*(1-Annahmen!$B$33*$C$10)+M$21*$E$10*Annahmen!$B$21*Annahmen!$B$24</f>
        <v>1.89820637879078</v>
      </c>
      <c r="N92" s="41" t="n">
        <f aca="false">M92*(1-Annahmen!$B$33*$C$10)+N$21*$E$10*Annahmen!$B$21*Annahmen!$B$24</f>
        <v>2.16342790224529</v>
      </c>
      <c r="O92" s="41" t="n">
        <f aca="false">N92*(1-Annahmen!$B$33*$C$10)+O$21*$E$10*Annahmen!$B$21*Annahmen!$B$24</f>
        <v>2.52146676741835</v>
      </c>
      <c r="P92" s="41" t="n">
        <f aca="false">O92*(1-Annahmen!$B$33*$C$10)+P$21*$E$10*Annahmen!$B$21*Annahmen!$B$24</f>
        <v>2.87520916620933</v>
      </c>
      <c r="Q92" s="41" t="n">
        <f aca="false">P92*(1-Annahmen!$B$33*$C$10)+Q$21*$E$10*Annahmen!$B$21*Annahmen!$B$24</f>
        <v>3.22470665621482</v>
      </c>
      <c r="R92" s="41" t="n">
        <f aca="false">Q92*(1-Annahmen!$B$33*$C$10)+R$21*$E$10*Annahmen!$B$21*Annahmen!$B$24</f>
        <v>3.66601017634024</v>
      </c>
      <c r="S92" s="41" t="n">
        <f aca="false">R92*(1-Annahmen!$B$33*$C$10)+S$21*$E$10*Annahmen!$B$21*Annahmen!$B$24</f>
        <v>4.10201805422416</v>
      </c>
      <c r="T92" s="41" t="n">
        <f aca="false">S92*(1-Annahmen!$B$33*$C$10)+T$21*$E$10*Annahmen!$B$21*Annahmen!$B$24</f>
        <v>4.53279383757347</v>
      </c>
      <c r="U92" s="41" t="n">
        <f aca="false">T92*(1-Annahmen!$B$33*$C$10)+U$21*$E$10*Annahmen!$B$21*Annahmen!$B$24</f>
        <v>5.05440031152259</v>
      </c>
      <c r="V92" s="41" t="n">
        <f aca="false">U92*(1-Annahmen!$B$33*$C$10)+V$21*$E$10*Annahmen!$B$21*Annahmen!$B$24</f>
        <v>5.56974750778431</v>
      </c>
      <c r="W92" s="41" t="n">
        <f aca="false">V92*(1-Annahmen!$B$33*$C$10)+W$21*$E$10*Annahmen!$B$21*Annahmen!$B$24</f>
        <v>6.0789105376909</v>
      </c>
      <c r="X92" s="41" t="n">
        <f aca="false">W92*(1-Annahmen!$B$33*$C$10)+X$21*$E$10*Annahmen!$B$21*Annahmen!$B$24</f>
        <v>6.67796361123861</v>
      </c>
      <c r="Y92" s="41" t="n">
        <f aca="false">X92*(1-Annahmen!$B$33*$C$10)+Y$21*$E$10*Annahmen!$B$21*Annahmen!$B$24</f>
        <v>7.26982804790375</v>
      </c>
      <c r="Z92" s="41" t="n">
        <f aca="false">Y92*(1-Annahmen!$B$33*$C$10)+Z$21*$E$10*Annahmen!$B$21*Annahmen!$B$24</f>
        <v>7.8545901113289</v>
      </c>
      <c r="AA92" s="41" t="n">
        <f aca="false">Z92*(1-Annahmen!$B$33*$C$10)+AA$21*$E$10*Annahmen!$B$21*Annahmen!$B$24</f>
        <v>8.48033502999295</v>
      </c>
      <c r="AB92" s="41" t="n">
        <f aca="false">AA92*(1-Annahmen!$B$33*$C$10)+AB$21*$E$10*Annahmen!$B$21*Annahmen!$B$24</f>
        <v>9.09857100963304</v>
      </c>
      <c r="AC92" s="41" t="n">
        <f aca="false">AB92*(1-Annahmen!$B$33*$C$10)+AC$21*$E$10*Annahmen!$B$21*Annahmen!$B$24</f>
        <v>9.70938815751744</v>
      </c>
      <c r="AD92" s="41" t="n">
        <f aca="false">AC92*(1-Annahmen!$B$33*$C$10)+AD$21*$E$10*Annahmen!$B$21*Annahmen!$B$24</f>
        <v>10.3848754996272</v>
      </c>
      <c r="AE92" s="41" t="n">
        <f aca="false">AD92*(1-Annahmen!$B$33*$C$10)+AE$21*$E$10*Annahmen!$B$21*Annahmen!$B$24</f>
        <v>11.0522569936317</v>
      </c>
      <c r="AF92" s="41" t="n">
        <f aca="false">AE92*(1-Annahmen!$B$33*$C$10)+AF$21*$E$10*Annahmen!$B$21*Annahmen!$B$24</f>
        <v>11.7116299097081</v>
      </c>
      <c r="AG92" s="41" t="n">
        <f aca="false">AF92*(1-Annahmen!$B$33*$C$10)+AG$21*$E$10*Annahmen!$B$21*Annahmen!$B$24</f>
        <v>12.4350903507916</v>
      </c>
      <c r="AH92" s="41" t="n">
        <f aca="false">AG92*(1-Annahmen!$B$33*$C$10)+AH$21*$E$10*Annahmen!$B$21*Annahmen!$B$24</f>
        <v>13.1498692665821</v>
      </c>
      <c r="AI92" s="41" t="n">
        <f aca="false">AH92*(1-Annahmen!$B$33*$C$10)+AI$21*$E$10*Annahmen!$B$21*Annahmen!$B$24</f>
        <v>13.8560708353831</v>
      </c>
      <c r="AJ92" s="41" t="n">
        <f aca="false">AI92*(1-Annahmen!$B$33*$C$10)+AJ$21*$E$10*Annahmen!$B$21*Annahmen!$B$24</f>
        <v>14.6497979853585</v>
      </c>
      <c r="AK92" s="41" t="n">
        <f aca="false">AJ92*(1-Annahmen!$B$33*$C$10)+AK$21*$E$10*Annahmen!$B$21*Annahmen!$B$24</f>
        <v>15.4340004095342</v>
      </c>
      <c r="AL92" s="41" t="n">
        <f aca="false">AK92*(1-Annahmen!$B$33*$C$10)+AL$21*$E$10*Annahmen!$B$21*Annahmen!$B$24</f>
        <v>16.2087924046198</v>
      </c>
      <c r="AM92" s="41" t="n">
        <f aca="false">AL92*(1-Annahmen!$B$33*$C$10)+AM$21*$E$10*Annahmen!$B$21*Annahmen!$B$24</f>
        <v>17.0942868957644</v>
      </c>
      <c r="AN92" s="41" t="n">
        <f aca="false">AM92*(1-Annahmen!$B$33*$C$10)+AN$21*$E$10*Annahmen!$B$21*Annahmen!$B$24</f>
        <v>17.9691554530152</v>
      </c>
      <c r="AO92" s="41" t="n">
        <f aca="false">AN92*(1-Annahmen!$B$33*$C$10)+AO$21*$E$10*Annahmen!$B$21*Annahmen!$B$24</f>
        <v>18.833525587579</v>
      </c>
      <c r="AP92" s="41" t="n">
        <f aca="false">AO92*(1-Annahmen!$B$33*$C$10)+AP$21*$E$10*Annahmen!$B$21*Annahmen!$B$24</f>
        <v>19.6875232805281</v>
      </c>
      <c r="AQ92" s="41" t="n">
        <f aca="false">AP92*(1-Annahmen!$B$33*$C$10)+AQ$21*$E$10*Annahmen!$B$21*Annahmen!$B$24</f>
        <v>20.5312730011617</v>
      </c>
      <c r="AR92" s="41" t="n">
        <f aca="false">AQ92*(1-Annahmen!$B$33*$C$10)+AR$21*$E$10*Annahmen!$B$21*Annahmen!$B$24</f>
        <v>21.3648977251478</v>
      </c>
      <c r="AS92" s="41" t="n">
        <f aca="false">AR92*(1-Annahmen!$B$33*$C$10)+AS$21*$E$10*Annahmen!$B$21*Annahmen!$B$24</f>
        <v>22.188518952446</v>
      </c>
      <c r="AT92" s="41" t="n">
        <f aca="false">AS92*(1-Annahmen!$B$33*$C$10)+AT$21*$E$10*Annahmen!$B$21*Annahmen!$B$24</f>
        <v>23.0022567250167</v>
      </c>
      <c r="AU92" s="41" t="n">
        <f aca="false">AT92*(1-Annahmen!$B$33*$C$10)+AU$21*$E$10*Annahmen!$B$21*Annahmen!$B$24</f>
        <v>23.8062296443165</v>
      </c>
      <c r="AV92" s="41" t="n">
        <f aca="false">AU92*(1-Annahmen!$B$33*$C$10)+AV$21*$E$10*Annahmen!$B$21*Annahmen!$B$24</f>
        <v>24.6005548885847</v>
      </c>
      <c r="AW92" s="41" t="n">
        <f aca="false">AV92*(1-Annahmen!$B$33*$C$10)+AW$21*$E$10*Annahmen!$B$21*Annahmen!$B$24</f>
        <v>25.3853482299217</v>
      </c>
      <c r="AX92" s="41" t="n">
        <f aca="false">AW92*(1-Annahmen!$B$33*$C$10)+AX$21*$E$10*Annahmen!$B$21*Annahmen!$B$24</f>
        <v>26.1607240511626</v>
      </c>
      <c r="AY92" s="41" t="n">
        <f aca="false">AX92*(1-Annahmen!$B$33*$C$10)+AY$21*$E$10*Annahmen!$B$21*Annahmen!$B$24</f>
        <v>27.1667953625486</v>
      </c>
      <c r="AZ92" s="41" t="n">
        <f aca="false">AY92*(1-Annahmen!$B$33*$C$10)+AZ$21*$E$10*Annahmen!$B$21*Annahmen!$B$24</f>
        <v>28.1607938181981</v>
      </c>
      <c r="BA92" s="41" t="n">
        <f aca="false">AZ92*(1-Annahmen!$B$33*$C$10)+BA$21*$E$10*Annahmen!$B$21*Annahmen!$B$24</f>
        <v>29.1428642923797</v>
      </c>
      <c r="BB92" s="41" t="n">
        <f aca="false">BA92*(1-Annahmen!$B$33*$C$10)+BB$21*$E$10*Annahmen!$B$21*Annahmen!$B$24</f>
        <v>30.1131499208711</v>
      </c>
      <c r="BC92" s="41" t="n">
        <f aca="false">BB92*(1-Annahmen!$B$33*$C$10)+BC$21*$E$10*Annahmen!$B$21*Annahmen!$B$24</f>
        <v>31.0717921218207</v>
      </c>
      <c r="BD92" s="41" t="n">
        <f aca="false">BC92*(1-Annahmen!$B$33*$C$10)+BD$21*$E$10*Annahmen!$B$21*Annahmen!$B$24</f>
        <v>32.0189306163588</v>
      </c>
      <c r="BE92" s="41" t="n">
        <f aca="false">BD92*(1-Annahmen!$B$33*$C$10)+BE$21*$E$10*Annahmen!$B$21*Annahmen!$B$24</f>
        <v>32.9547034489625</v>
      </c>
      <c r="BF92" s="41" t="n">
        <f aca="false">BE92*(1-Annahmen!$B$33*$C$10)+BF$21*$E$10*Annahmen!$B$21*Annahmen!$B$24</f>
        <v>33.879247007575</v>
      </c>
      <c r="BG92" s="41" t="n">
        <f aca="false">BF92*(1-Annahmen!$B$33*$C$10)+BG$21*$E$10*Annahmen!$B$21*Annahmen!$B$24</f>
        <v>34.7926960434841</v>
      </c>
      <c r="BH92" s="41" t="n">
        <f aca="false">BG92*(1-Annahmen!$B$33*$C$10)+BH$21*$E$10*Annahmen!$B$21*Annahmen!$B$24</f>
        <v>35.6951836909622</v>
      </c>
      <c r="BI92" s="41" t="n">
        <f aca="false">BH92*(1-Annahmen!$B$33*$C$10)+BI$21*$E$10*Annahmen!$B$21*Annahmen!$B$24</f>
        <v>36.5868414866707</v>
      </c>
      <c r="BJ92" s="41" t="n">
        <f aca="false">BI92*(1-Annahmen!$B$33*$C$10)+BJ$21*$E$10*Annahmen!$B$21*Annahmen!$B$24</f>
        <v>37.4677993888307</v>
      </c>
    </row>
    <row r="93" customFormat="false" ht="15" hidden="false" customHeight="false" outlineLevel="0" collapsed="false">
      <c r="B93" s="5" t="s">
        <v>223</v>
      </c>
      <c r="C93" s="38" t="n">
        <f aca="false">C89+C90+C91</f>
        <v>7.8798</v>
      </c>
      <c r="D93" s="38" t="n">
        <f aca="false">D89+D90+D91</f>
        <v>10.6905764</v>
      </c>
      <c r="E93" s="38" t="n">
        <f aca="false">E89+E90+E91</f>
        <v>13.4341033032</v>
      </c>
      <c r="F93" s="38" t="n">
        <f aca="false">F89+F90+F91</f>
        <v>19.1121069121616</v>
      </c>
      <c r="G93" s="38" t="n">
        <f aca="false">G89+G90+G91</f>
        <v>24.6541468666937</v>
      </c>
      <c r="H93" s="38" t="n">
        <f aca="false">H89+H90+H91</f>
        <v>30.0637153834963</v>
      </c>
      <c r="I93" s="38" t="n">
        <f aca="false">I89+I90+I91</f>
        <v>38.3442104365935</v>
      </c>
      <c r="J93" s="38" t="n">
        <f aca="false">J89+J90+J91</f>
        <v>46.4268183886574</v>
      </c>
      <c r="K93" s="38" t="n">
        <f aca="false">K89+K90+K91</f>
        <v>54.3166143871376</v>
      </c>
      <c r="L93" s="38" t="n">
        <f aca="false">L89+L90+L91</f>
        <v>65.0185367652986</v>
      </c>
      <c r="M93" s="38" t="n">
        <f aca="false">M89+M90+M91</f>
        <v>75.4652708593097</v>
      </c>
      <c r="N93" s="38" t="n">
        <f aca="false">N89+N90+N91</f>
        <v>85.6633505563109</v>
      </c>
      <c r="O93" s="38" t="n">
        <f aca="false">O89+O90+O91</f>
        <v>99.6191338145391</v>
      </c>
      <c r="P93" s="38" t="n">
        <f aca="false">P89+P90+P91</f>
        <v>113.242647567612</v>
      </c>
      <c r="Q93" s="38" t="n">
        <f aca="false">Q89+Q90+Q91</f>
        <v>126.542389608815</v>
      </c>
      <c r="R93" s="38" t="n">
        <f aca="false">R89+R90+R91</f>
        <v>143.526629110016</v>
      </c>
      <c r="S93" s="38" t="n">
        <f aca="false">S89+S90+S91</f>
        <v>160.107252991185</v>
      </c>
      <c r="T93" s="38" t="n">
        <f aca="false">T89+T90+T91</f>
        <v>176.294569228157</v>
      </c>
      <c r="U93" s="38" t="n">
        <f aca="false">U89+U90+U91</f>
        <v>196.098608754484</v>
      </c>
      <c r="V93" s="38" t="n">
        <f aca="false">V89+V90+V91</f>
        <v>215.432973174521</v>
      </c>
      <c r="W93" s="38" t="n">
        <f aca="false">W89+W90+W91</f>
        <v>234.309639376527</v>
      </c>
      <c r="X93" s="38" t="n">
        <f aca="false">X89+X90+X91</f>
        <v>256.740262702735</v>
      </c>
      <c r="Y93" s="38" t="n">
        <f aca="false">Y89+Y90+Y91</f>
        <v>278.640025894593</v>
      </c>
      <c r="Z93" s="38" t="n">
        <f aca="false">Z89+Z90+Z91</f>
        <v>300.022444903036</v>
      </c>
      <c r="AA93" s="38" t="n">
        <f aca="false">AA89+AA90+AA91</f>
        <v>322.900673221716</v>
      </c>
      <c r="AB93" s="38" t="n">
        <f aca="false">AB89+AB90+AB91</f>
        <v>345.239431962399</v>
      </c>
      <c r="AC93" s="38" t="n">
        <f aca="false">AC89+AC90+AC91</f>
        <v>367.052418203337</v>
      </c>
      <c r="AD93" s="38" t="n">
        <f aca="false">AD89+AD90+AD91</f>
        <v>391.352962444178</v>
      </c>
      <c r="AE93" s="38" t="n">
        <f aca="false">AE89+AE90+AE91</f>
        <v>415.081918781528</v>
      </c>
      <c r="AF93" s="38" t="n">
        <f aca="false">AF89+AF90+AF91</f>
        <v>438.253772634903</v>
      </c>
      <c r="AG93" s="38" t="n">
        <f aca="false">AG89+AG90+AG91</f>
        <v>463.882622269377</v>
      </c>
      <c r="AH93" s="38" t="n">
        <f aca="false">AH89+AH90+AH91</f>
        <v>488.910069532081</v>
      </c>
      <c r="AI93" s="38" t="n">
        <f aca="false">AI89+AI90+AI91</f>
        <v>513.35132812334</v>
      </c>
      <c r="AJ93" s="38" t="n">
        <f aca="false">AJ89+AJ90+AJ91</f>
        <v>541.221205649189</v>
      </c>
      <c r="AK93" s="38" t="n">
        <f aca="false">AK89+AK90+AK91</f>
        <v>568.437954872874</v>
      </c>
      <c r="AL93" s="38" t="n">
        <f aca="false">AL89+AL90+AL91</f>
        <v>595.018081766534</v>
      </c>
      <c r="AM93" s="38" t="n">
        <f aca="false">AM89+AM90+AM91</f>
        <v>625.977652022882</v>
      </c>
      <c r="AN93" s="38" t="n">
        <f aca="false">AN89+AN90+AN91</f>
        <v>656.212103247884</v>
      </c>
      <c r="AO93" s="38" t="n">
        <f aca="false">AO89+AO90+AO91</f>
        <v>685.739753206987</v>
      </c>
      <c r="AP93" s="38" t="n">
        <f aca="false">AP89+AP90+AP91</f>
        <v>714.578431198113</v>
      </c>
      <c r="AQ93" s="38" t="n">
        <f aca="false">AQ89+AQ90+AQ91</f>
        <v>742.745491576181</v>
      </c>
      <c r="AR93" s="38" t="n">
        <f aca="false">AR89+AR90+AR91</f>
        <v>770.257826893389</v>
      </c>
      <c r="AS93" s="38" t="n">
        <f aca="false">AS89+AS90+AS91</f>
        <v>797.131880666351</v>
      </c>
      <c r="AT93" s="38" t="n">
        <f aca="false">AT89+AT90+AT91</f>
        <v>823.383659780892</v>
      </c>
      <c r="AU93" s="38" t="n">
        <f aca="false">AU89+AU90+AU91</f>
        <v>849.028746544951</v>
      </c>
      <c r="AV93" s="38" t="n">
        <f aca="false">AV89+AV90+AV91</f>
        <v>874.082310399781</v>
      </c>
      <c r="AW93" s="38" t="n">
        <f aca="false">AW89+AW90+AW91</f>
        <v>898.559119299286</v>
      </c>
      <c r="AX93" s="38" t="n">
        <f aca="false">AX89+AX90+AX91</f>
        <v>922.473550767096</v>
      </c>
      <c r="AY93" s="38" t="n">
        <f aca="false">AY89+AY90+AY91</f>
        <v>955.839602640662</v>
      </c>
      <c r="AZ93" s="38" t="n">
        <f aca="false">AZ89+AZ90+AZ91</f>
        <v>988.430503511406</v>
      </c>
      <c r="BA93" s="38" t="n">
        <f aca="false">BA89+BA90+BA91</f>
        <v>1020.26571566969</v>
      </c>
      <c r="BB93" s="38" t="n">
        <f aca="false">BB89+BB90+BB91</f>
        <v>1051.3641846895</v>
      </c>
      <c r="BC93" s="38" t="n">
        <f aca="false">BC89+BC90+BC91</f>
        <v>1081.74435369121</v>
      </c>
      <c r="BD93" s="38" t="n">
        <f aca="false">BD89+BD90+BD91</f>
        <v>1111.42417719996</v>
      </c>
      <c r="BE93" s="38" t="n">
        <f aca="false">BE89+BE90+BE91</f>
        <v>1140.42113461139</v>
      </c>
      <c r="BF93" s="38" t="n">
        <f aca="false">BF89+BF90+BF91</f>
        <v>1168.75224327597</v>
      </c>
      <c r="BG93" s="38" t="n">
        <f aca="false">BG89+BG90+BG91</f>
        <v>1196.43407121304</v>
      </c>
      <c r="BH93" s="38" t="n">
        <f aca="false">BH89+BH90+BH91</f>
        <v>1223.48274946514</v>
      </c>
      <c r="BI93" s="38" t="n">
        <f aca="false">BI89+BI90+BI91</f>
        <v>1249.91398410305</v>
      </c>
      <c r="BJ93" s="38" t="n">
        <f aca="false">BJ89+BJ90+BJ91</f>
        <v>1275.74306789165</v>
      </c>
    </row>
    <row r="94" customFormat="false" ht="15" hidden="false" customHeight="false" outlineLevel="0" collapsed="false">
      <c r="B94" s="5" t="s">
        <v>400</v>
      </c>
      <c r="C94" s="37" t="n">
        <f aca="false">(C89*Annahmen!$B$10+C90*(Annahmen!$B$11+Annahmen!$B$13*Annahmen!$B$22)+C91*(Annahmen!$B$12+Annahmen!$B$14*Annahmen!$B$23)+C92*Annahmen!$B$16)*$D$10</f>
        <v>1037.784704</v>
      </c>
      <c r="D94" s="37" t="n">
        <f aca="false">(D89*Annahmen!$B$10+D90*(Annahmen!$B$11+Annahmen!$B$13*Annahmen!$B$22)+D91*(Annahmen!$B$12+Annahmen!$B$14*Annahmen!$B$23)+D92*Annahmen!$B$16)*$D$10</f>
        <v>1411.745797352</v>
      </c>
      <c r="E94" s="37" t="n">
        <f aca="false">(E89*Annahmen!$B$10+E90*(Annahmen!$B$11+Annahmen!$B$13*Annahmen!$B$22)+E91*(Annahmen!$B$12+Annahmen!$B$14*Annahmen!$B$23)+E92*Annahmen!$B$16)*$D$10</f>
        <v>1778.55253973778</v>
      </c>
      <c r="F94" s="37" t="n">
        <f aca="false">(F89*Annahmen!$B$10+F90*(Annahmen!$B$11+Annahmen!$B$13*Annahmen!$B$22)+F91*(Annahmen!$B$12+Annahmen!$B$14*Annahmen!$B$23)+F92*Annahmen!$B$16)*$D$10</f>
        <v>2532.26533031534</v>
      </c>
      <c r="G94" s="37" t="n">
        <f aca="false">(G89*Annahmen!$B$10+G90*(Annahmen!$B$11+Annahmen!$B$13*Annahmen!$B$22)+G91*(Annahmen!$B$12+Annahmen!$B$14*Annahmen!$B$23)+G92*Annahmen!$B$16)*$D$10</f>
        <v>3271.54374219621</v>
      </c>
      <c r="H94" s="37" t="n">
        <f aca="false">(H89*Annahmen!$B$10+H90*(Annahmen!$B$11+Annahmen!$B$13*Annahmen!$B$22)+H91*(Annahmen!$B$12+Annahmen!$B$14*Annahmen!$B$23)+H92*Annahmen!$B$16)*$D$10</f>
        <v>3996.69595545258</v>
      </c>
      <c r="I94" s="37" t="n">
        <f aca="false">(I89*Annahmen!$B$10+I90*(Annahmen!$B$11+Annahmen!$B$13*Annahmen!$B$22)+I91*(Annahmen!$B$12+Annahmen!$B$14*Annahmen!$B$23)+I92*Annahmen!$B$16)*$D$10</f>
        <v>5101.93073751455</v>
      </c>
      <c r="J94" s="37" t="n">
        <f aca="false">(J89*Annahmen!$B$10+J90*(Annahmen!$B$11+Annahmen!$B$13*Annahmen!$B$22)+J91*(Annahmen!$B$12+Annahmen!$B$14*Annahmen!$B$23)+J92*Annahmen!$B$16)*$D$10</f>
        <v>6186.05256686532</v>
      </c>
      <c r="K94" s="37" t="n">
        <f aca="false">(K89*Annahmen!$B$10+K90*(Annahmen!$B$11+Annahmen!$B$13*Annahmen!$B$22)+K91*(Annahmen!$B$12+Annahmen!$B$14*Annahmen!$B$23)+K92*Annahmen!$B$16)*$D$10</f>
        <v>7249.51115290362</v>
      </c>
      <c r="L94" s="37" t="n">
        <f aca="false">(L89*Annahmen!$B$10+L90*(Annahmen!$B$11+Annahmen!$B$13*Annahmen!$B$22)+L91*(Annahmen!$B$12+Annahmen!$B$14*Annahmen!$B$23)+L92*Annahmen!$B$16)*$D$10</f>
        <v>8686.65350089831</v>
      </c>
      <c r="M94" s="37" t="n">
        <f aca="false">(M89*Annahmen!$B$10+M90*(Annahmen!$B$11+Annahmen!$B$13*Annahmen!$B$22)+M91*(Annahmen!$B$12+Annahmen!$B$14*Annahmen!$B$23)+M92*Annahmen!$B$16)*$D$10</f>
        <v>10096.4191180063</v>
      </c>
      <c r="N94" s="37" t="n">
        <f aca="false">(N89*Annahmen!$B$10+N90*(Annahmen!$B$11+Annahmen!$B$13*Annahmen!$B$22)+N91*(Annahmen!$B$12+Annahmen!$B$14*Annahmen!$B$23)+N92*Annahmen!$B$16)*$D$10</f>
        <v>11479.3896132848</v>
      </c>
      <c r="O94" s="37" t="n">
        <f aca="false">(O89*Annahmen!$B$10+O90*(Annahmen!$B$11+Annahmen!$B$13*Annahmen!$B$22)+O91*(Annahmen!$B$12+Annahmen!$B$14*Annahmen!$B$23)+O92*Annahmen!$B$16)*$D$10</f>
        <v>13361.3434406814</v>
      </c>
      <c r="P94" s="37" t="n">
        <f aca="false">(P89*Annahmen!$B$10+P90*(Annahmen!$B$11+Annahmen!$B$13*Annahmen!$B$22)+P91*(Annahmen!$B$12+Annahmen!$B$14*Annahmen!$B$23)+P92*Annahmen!$B$16)*$D$10</f>
        <v>15207.5161618329</v>
      </c>
      <c r="Q94" s="37" t="n">
        <f aca="false">(Q89*Annahmen!$B$10+Q90*(Annahmen!$B$11+Annahmen!$B$13*Annahmen!$B$22)+Q91*(Annahmen!$B$12+Annahmen!$B$14*Annahmen!$B$23)+Q92*Annahmen!$B$16)*$D$10</f>
        <v>17018.6665678482</v>
      </c>
      <c r="R94" s="37" t="n">
        <f aca="false">(R89*Annahmen!$B$10+R90*(Annahmen!$B$11+Annahmen!$B$13*Annahmen!$B$22)+R91*(Annahmen!$B$12+Annahmen!$B$14*Annahmen!$B$23)+R92*Annahmen!$B$16)*$D$10</f>
        <v>19320.7461920478</v>
      </c>
      <c r="S94" s="37" t="n">
        <f aca="false">(S89*Annahmen!$B$10+S90*(Annahmen!$B$11+Annahmen!$B$13*Annahmen!$B$22)+S91*(Annahmen!$B$12+Annahmen!$B$14*Annahmen!$B$23)+S92*Annahmen!$B$16)*$D$10</f>
        <v>21579.1596750206</v>
      </c>
      <c r="T94" s="37" t="n">
        <f aca="false">(T89*Annahmen!$B$10+T90*(Annahmen!$B$11+Annahmen!$B$13*Annahmen!$B$22)+T91*(Annahmen!$B$12+Annahmen!$B$14*Annahmen!$B$23)+T92*Annahmen!$B$16)*$D$10</f>
        <v>23794.8309859743</v>
      </c>
      <c r="U94" s="37" t="n">
        <f aca="false">(U89*Annahmen!$B$10+U90*(Annahmen!$B$11+Annahmen!$B$13*Annahmen!$B$22)+U91*(Annahmen!$B$12+Annahmen!$B$14*Annahmen!$B$23)+U92*Annahmen!$B$16)*$D$10</f>
        <v>26493.873032422</v>
      </c>
      <c r="V94" s="37" t="n">
        <f aca="false">(V89*Annahmen!$B$10+V90*(Annahmen!$B$11+Annahmen!$B$13*Annahmen!$B$22)+V91*(Annahmen!$B$12+Annahmen!$B$14*Annahmen!$B$23)+V92*Annahmen!$B$16)*$D$10</f>
        <v>29141.8481196402</v>
      </c>
      <c r="W94" s="37" t="n">
        <f aca="false">(W89*Annahmen!$B$10+W90*(Annahmen!$B$11+Annahmen!$B$13*Annahmen!$B$22)+W91*(Annahmen!$B$12+Annahmen!$B$14*Annahmen!$B$23)+W92*Annahmen!$B$16)*$D$10</f>
        <v>31739.8342639424</v>
      </c>
      <c r="X94" s="37" t="n">
        <f aca="false">(X89*Annahmen!$B$10+X90*(Annahmen!$B$11+Annahmen!$B$13*Annahmen!$B$22)+X91*(Annahmen!$B$12+Annahmen!$B$14*Annahmen!$B$23)+X92*Annahmen!$B$16)*$D$10</f>
        <v>34814.0948918788</v>
      </c>
      <c r="Y94" s="37" t="n">
        <f aca="false">(Y89*Annahmen!$B$10+Y90*(Annahmen!$B$11+Annahmen!$B$13*Annahmen!$B$22)+Y91*(Annahmen!$B$12+Annahmen!$B$14*Annahmen!$B$23)+Y92*Annahmen!$B$16)*$D$10</f>
        <v>37830.3393868645</v>
      </c>
      <c r="Z94" s="37" t="n">
        <f aca="false">(Z89*Annahmen!$B$10+Z90*(Annahmen!$B$11+Annahmen!$B$13*Annahmen!$B$22)+Z91*(Annahmen!$B$12+Annahmen!$B$14*Annahmen!$B$23)+Z92*Annahmen!$B$16)*$D$10</f>
        <v>40789.7894873422</v>
      </c>
      <c r="AA94" s="37" t="n">
        <f aca="false">(AA89*Annahmen!$B$10+AA90*(Annahmen!$B$11+Annahmen!$B$13*Annahmen!$B$22)+AA91*(Annahmen!$B$12+Annahmen!$B$14*Annahmen!$B$23)+AA92*Annahmen!$B$16)*$D$10</f>
        <v>43956.2438686542</v>
      </c>
      <c r="AB94" s="37" t="n">
        <f aca="false">(AB89*Annahmen!$B$10+AB90*(Annahmen!$B$11+Annahmen!$B$13*Annahmen!$B$22)+AB91*(Annahmen!$B$12+Annahmen!$B$14*Annahmen!$B$23)+AB92*Annahmen!$B$16)*$D$10</f>
        <v>47063.2088085846</v>
      </c>
      <c r="AC94" s="37" t="n">
        <f aca="false">(AC89*Annahmen!$B$10+AC90*(Annahmen!$B$11+Annahmen!$B$13*Annahmen!$B$22)+AC91*(Annahmen!$B$12+Annahmen!$B$14*Annahmen!$B$23)+AC92*Annahmen!$B$16)*$D$10</f>
        <v>50111.9317683572</v>
      </c>
      <c r="AD94" s="37" t="n">
        <f aca="false">(AD89*Annahmen!$B$10+AD90*(Annahmen!$B$11+Annahmen!$B$13*Annahmen!$B$22)+AD91*(Annahmen!$B$12+Annahmen!$B$14*Annahmen!$B$23)+AD92*Annahmen!$B$16)*$D$10</f>
        <v>53497.539255458</v>
      </c>
      <c r="AE94" s="37" t="n">
        <f aca="false">(AE89*Annahmen!$B$10+AE90*(Annahmen!$B$11+Annahmen!$B$13*Annahmen!$B$22)+AE91*(Annahmen!$B$12+Annahmen!$B$14*Annahmen!$B$23)+AE92*Annahmen!$B$16)*$D$10</f>
        <v>56819.7324801375</v>
      </c>
      <c r="AF94" s="37" t="n">
        <f aca="false">(AF89*Annahmen!$B$10+AF90*(Annahmen!$B$11+Annahmen!$B$13*Annahmen!$B$22)+AF91*(Annahmen!$B$12+Annahmen!$B$14*Annahmen!$B$23)+AF92*Annahmen!$B$16)*$D$10</f>
        <v>60079.8373941326</v>
      </c>
      <c r="AG94" s="37" t="n">
        <f aca="false">(AG89*Annahmen!$B$10+AG90*(Annahmen!$B$11+Annahmen!$B$13*Annahmen!$B$22)+AG91*(Annahmen!$B$12+Annahmen!$B$14*Annahmen!$B$23)+AG92*Annahmen!$B$16)*$D$10</f>
        <v>63673.0572609135</v>
      </c>
      <c r="AH94" s="37" t="n">
        <f aca="false">(AH89*Annahmen!$B$10+AH90*(Annahmen!$B$11+Annahmen!$B$13*Annahmen!$B$22)+AH91*(Annahmen!$B$12+Annahmen!$B$14*Annahmen!$B$23)+AH92*Annahmen!$B$16)*$D$10</f>
        <v>67199.1683537967</v>
      </c>
      <c r="AI94" s="37" t="n">
        <f aca="false">(AI89*Annahmen!$B$10+AI90*(Annahmen!$B$11+Annahmen!$B$13*Annahmen!$B$22)+AI91*(Annahmen!$B$12+Annahmen!$B$14*Annahmen!$B$23)+AI92*Annahmen!$B$16)*$D$10</f>
        <v>70659.5700352146</v>
      </c>
      <c r="AJ94" s="37" t="n">
        <f aca="false">(AJ89*Annahmen!$B$10+AJ90*(Annahmen!$B$11+Annahmen!$B$13*Annahmen!$B$22)+AJ91*(Annahmen!$B$12+Annahmen!$B$14*Annahmen!$B$23)+AJ92*Annahmen!$B$16)*$D$10</f>
        <v>74580.8399664742</v>
      </c>
      <c r="AK94" s="37" t="n">
        <f aca="false">(AK89*Annahmen!$B$10+AK90*(Annahmen!$B$11+Annahmen!$B$13*Annahmen!$B$22)+AK91*(Annahmen!$B$12+Annahmen!$B$14*Annahmen!$B$23)+AK92*Annahmen!$B$16)*$D$10</f>
        <v>78428.9948251756</v>
      </c>
      <c r="AL94" s="37" t="n">
        <f aca="false">(AL89*Annahmen!$B$10+AL90*(Annahmen!$B$11+Annahmen!$B$13*Annahmen!$B$22)+AL91*(Annahmen!$B$12+Annahmen!$B$14*Annahmen!$B$23)+AL92*Annahmen!$B$16)*$D$10</f>
        <v>82205.5568697955</v>
      </c>
      <c r="AM94" s="37" t="n">
        <f aca="false">(AM89*Annahmen!$B$10+AM90*(Annahmen!$B$11+Annahmen!$B$13*Annahmen!$B$22)+AM91*(Annahmen!$B$12+Annahmen!$B$14*Annahmen!$B$23)+AM92*Annahmen!$B$16)*$D$10</f>
        <v>86568.5264837289</v>
      </c>
      <c r="AN94" s="37" t="n">
        <f aca="false">(AN89*Annahmen!$B$10+AN90*(Annahmen!$B$11+Annahmen!$B$13*Annahmen!$B$22)+AN91*(Annahmen!$B$12+Annahmen!$B$14*Annahmen!$B$23)+AN92*Annahmen!$B$16)*$D$10</f>
        <v>90850.2079412621</v>
      </c>
      <c r="AO94" s="37" t="n">
        <f aca="false">(AO89*Annahmen!$B$10+AO90*(Annahmen!$B$11+Annahmen!$B$13*Annahmen!$B$22)+AO91*(Annahmen!$B$12+Annahmen!$B$14*Annahmen!$B$23)+AO92*Annahmen!$B$16)*$D$10</f>
        <v>95052.2924859455</v>
      </c>
      <c r="AP94" s="37" t="n">
        <f aca="false">(AP89*Annahmen!$B$10+AP90*(Annahmen!$B$11+Annahmen!$B$13*Annahmen!$B$22)+AP91*(Annahmen!$B$12+Annahmen!$B$14*Annahmen!$B$23)+AP92*Annahmen!$B$16)*$D$10</f>
        <v>99176.4326366363</v>
      </c>
      <c r="AQ94" s="37" t="n">
        <f aca="false">(AQ89*Annahmen!$B$10+AQ90*(Annahmen!$B$11+Annahmen!$B$13*Annahmen!$B$22)+AQ91*(Annahmen!$B$12+Annahmen!$B$14*Annahmen!$B$23)+AQ92*Annahmen!$B$16)*$D$10</f>
        <v>103224.243144211</v>
      </c>
      <c r="AR94" s="37" t="n">
        <f aca="false">(AR89*Annahmen!$B$10+AR90*(Annahmen!$B$11+Annahmen!$B$13*Annahmen!$B$22)+AR91*(Annahmen!$B$12+Annahmen!$B$14*Annahmen!$B$23)+AR92*Annahmen!$B$16)*$D$10</f>
        <v>107197.301923256</v>
      </c>
      <c r="AS94" s="37" t="n">
        <f aca="false">(AS89*Annahmen!$B$10+AS90*(Annahmen!$B$11+Annahmen!$B$13*Annahmen!$B$22)+AS91*(Annahmen!$B$12+Annahmen!$B$14*Annahmen!$B$23)+AS92*Annahmen!$B$16)*$D$10</f>
        <v>111097.150959417</v>
      </c>
      <c r="AT94" s="37" t="n">
        <f aca="false">(AT89*Annahmen!$B$10+AT90*(Annahmen!$B$11+Annahmen!$B$13*Annahmen!$B$22)+AT91*(Annahmen!$B$12+Annahmen!$B$14*Annahmen!$B$23)+AT92*Annahmen!$B$16)*$D$10</f>
        <v>114925.297193066</v>
      </c>
      <c r="AU94" s="37" t="n">
        <f aca="false">(AU89*Annahmen!$B$10+AU90*(Annahmen!$B$11+Annahmen!$B$13*Annahmen!$B$22)+AU91*(Annahmen!$B$12+Annahmen!$B$14*Annahmen!$B$23)+AU92*Annahmen!$B$16)*$D$10</f>
        <v>118683.213379943</v>
      </c>
      <c r="AV94" s="37" t="n">
        <f aca="false">(AV89*Annahmen!$B$10+AV90*(Annahmen!$B$11+Annahmen!$B$13*Annahmen!$B$22)+AV91*(Annahmen!$B$12+Annahmen!$B$14*Annahmen!$B$23)+AV92*Annahmen!$B$16)*$D$10</f>
        <v>122372.338929379</v>
      </c>
      <c r="AW94" s="37" t="n">
        <f aca="false">(AW89*Annahmen!$B$10+AW90*(Annahmen!$B$11+Annahmen!$B$13*Annahmen!$B$22)+AW91*(Annahmen!$B$12+Annahmen!$B$14*Annahmen!$B$23)+AW92*Annahmen!$B$16)*$D$10</f>
        <v>125994.080720732</v>
      </c>
      <c r="AX94" s="37" t="n">
        <f aca="false">(AX89*Annahmen!$B$10+AX90*(Annahmen!$B$11+Annahmen!$B$13*Annahmen!$B$22)+AX91*(Annahmen!$B$12+Annahmen!$B$14*Annahmen!$B$23)+AX92*Annahmen!$B$16)*$D$10</f>
        <v>129549.813898607</v>
      </c>
      <c r="AY94" s="37" t="n">
        <f aca="false">(AY89*Annahmen!$B$10+AY90*(Annahmen!$B$11+Annahmen!$B$13*Annahmen!$B$22)+AY91*(Annahmen!$B$12+Annahmen!$B$14*Annahmen!$B$23)+AY92*Annahmen!$B$16)*$D$10</f>
        <v>134353.908647451</v>
      </c>
      <c r="AZ94" s="37" t="n">
        <f aca="false">(AZ89*Annahmen!$B$10+AZ90*(Annahmen!$B$11+Annahmen!$B$13*Annahmen!$B$22)+AZ91*(Annahmen!$B$12+Annahmen!$B$14*Annahmen!$B$23)+AZ92*Annahmen!$B$16)*$D$10</f>
        <v>139069.380754068</v>
      </c>
      <c r="BA94" s="37" t="n">
        <f aca="false">(BA89*Annahmen!$B$10+BA90*(Annahmen!$B$11+Annahmen!$B$13*Annahmen!$B$22)+BA91*(Annahmen!$B$12+Annahmen!$B$14*Annahmen!$B$23)+BA92*Annahmen!$B$16)*$D$10</f>
        <v>143698.056820518</v>
      </c>
      <c r="BB94" s="37" t="n">
        <f aca="false">(BB89*Annahmen!$B$10+BB90*(Annahmen!$B$11+Annahmen!$B$13*Annahmen!$B$22)+BB91*(Annahmen!$B$12+Annahmen!$B$14*Annahmen!$B$23)+BB92*Annahmen!$B$16)*$D$10</f>
        <v>148241.721957221</v>
      </c>
      <c r="BC94" s="37" t="n">
        <f aca="false">(BC89*Annahmen!$B$10+BC90*(Annahmen!$B$11+Annahmen!$B$13*Annahmen!$B$22)+BC91*(Annahmen!$B$12+Annahmen!$B$14*Annahmen!$B$23)+BC92*Annahmen!$B$16)*$D$10</f>
        <v>152702.1208016</v>
      </c>
      <c r="BD94" s="37" t="n">
        <f aca="false">(BD89*Annahmen!$B$10+BD90*(Annahmen!$B$11+Annahmen!$B$13*Annahmen!$B$22)+BD91*(Annahmen!$B$12+Annahmen!$B$14*Annahmen!$B$23)+BD92*Annahmen!$B$16)*$D$10</f>
        <v>157080.958510206</v>
      </c>
      <c r="BE94" s="37" t="n">
        <f aca="false">(BE89*Annahmen!$B$10+BE90*(Annahmen!$B$11+Annahmen!$B$13*Annahmen!$B$22)+BE91*(Annahmen!$B$12+Annahmen!$B$14*Annahmen!$B$23)+BE92*Annahmen!$B$16)*$D$10</f>
        <v>161379.901725046</v>
      </c>
      <c r="BF94" s="37" t="n">
        <f aca="false">(BF89*Annahmen!$B$10+BF90*(Annahmen!$B$11+Annahmen!$B$13*Annahmen!$B$22)+BF91*(Annahmen!$B$12+Annahmen!$B$14*Annahmen!$B$23)+BF92*Annahmen!$B$16)*$D$10</f>
        <v>165600.579514813</v>
      </c>
      <c r="BG94" s="37" t="n">
        <f aca="false">(BG89*Annahmen!$B$10+BG90*(Annahmen!$B$11+Annahmen!$B$13*Annahmen!$B$22)+BG91*(Annahmen!$B$12+Annahmen!$B$14*Annahmen!$B$23)+BG92*Annahmen!$B$16)*$D$10</f>
        <v>169744.584291703</v>
      </c>
      <c r="BH94" s="37" t="n">
        <f aca="false">(BH89*Annahmen!$B$10+BH90*(Annahmen!$B$11+Annahmen!$B$13*Annahmen!$B$22)+BH91*(Annahmen!$B$12+Annahmen!$B$14*Annahmen!$B$23)+BH92*Annahmen!$B$16)*$D$10</f>
        <v>173813.472704473</v>
      </c>
      <c r="BI94" s="37" t="n">
        <f aca="false">(BI89*Annahmen!$B$10+BI90*(Annahmen!$B$11+Annahmen!$B$13*Annahmen!$B$22)+BI91*(Annahmen!$B$12+Annahmen!$B$14*Annahmen!$B$23)+BI92*Annahmen!$B$16)*$D$10</f>
        <v>177808.766508395</v>
      </c>
      <c r="BJ94" s="37" t="n">
        <f aca="false">(BJ89*Annahmen!$B$10+BJ90*(Annahmen!$B$11+Annahmen!$B$13*Annahmen!$B$22)+BJ91*(Annahmen!$B$12+Annahmen!$B$14*Annahmen!$B$23)+BJ92*Annahmen!$B$16)*$D$10</f>
        <v>181731.953412714</v>
      </c>
    </row>
    <row r="95" customFormat="false" ht="15" hidden="false" customHeight="false" outlineLevel="0" collapsed="false">
      <c r="B95" s="5" t="s">
        <v>228</v>
      </c>
      <c r="C95" s="37" t="n">
        <f aca="false">C94*(1-Annahmen!$B$27)+C$21*$E$10*Annahmen!$B$21*Annahmen!$B$24*Annahmen!$B$15*$D$10</f>
        <v>1143.5034688</v>
      </c>
      <c r="D95" s="37" t="n">
        <f aca="false">D94*(1-Annahmen!$B$27)+D$21*$E$10*Annahmen!$B$21*Annahmen!$B$24*Annahmen!$B$15*$D$10</f>
        <v>1498.7665074844</v>
      </c>
      <c r="E95" s="37" t="n">
        <f aca="false">E94*(1-Annahmen!$B$27)+E$21*$E$10*Annahmen!$B$21*Annahmen!$B$24*Annahmen!$B$15*$D$10</f>
        <v>1847.23291275089</v>
      </c>
      <c r="F95" s="37" t="n">
        <f aca="false">F94*(1-Annahmen!$B$27)+F$21*$E$10*Annahmen!$B$21*Annahmen!$B$24*Annahmen!$B$15*$D$10</f>
        <v>2720.86806379958</v>
      </c>
      <c r="G95" s="37" t="n">
        <f aca="false">G94*(1-Annahmen!$B$27)+G$21*$E$10*Annahmen!$B$21*Annahmen!$B$24*Annahmen!$B$15*$D$10</f>
        <v>3423.1825550864</v>
      </c>
      <c r="H95" s="37" t="n">
        <f aca="false">H94*(1-Annahmen!$B$27)+H$21*$E$10*Annahmen!$B$21*Annahmen!$B$24*Annahmen!$B$15*$D$10</f>
        <v>4112.07715767995</v>
      </c>
      <c r="I95" s="37" t="n">
        <f aca="false">I94*(1-Annahmen!$B$27)+I$21*$E$10*Annahmen!$B$21*Annahmen!$B$24*Annahmen!$B$15*$D$10</f>
        <v>5319.65820063882</v>
      </c>
      <c r="J95" s="37" t="n">
        <f aca="false">J94*(1-Annahmen!$B$27)+J$21*$E$10*Annahmen!$B$21*Annahmen!$B$24*Annahmen!$B$15*$D$10</f>
        <v>6349.57393852205</v>
      </c>
      <c r="K95" s="37" t="n">
        <f aca="false">K94*(1-Annahmen!$B$27)+K$21*$E$10*Annahmen!$B$21*Annahmen!$B$24*Annahmen!$B$15*$D$10</f>
        <v>7359.85959525844</v>
      </c>
      <c r="L95" s="37" t="n">
        <f aca="false">L94*(1-Annahmen!$B$27)+L$21*$E$10*Annahmen!$B$21*Annahmen!$B$24*Annahmen!$B$15*$D$10</f>
        <v>8882.75282585339</v>
      </c>
      <c r="M95" s="37" t="n">
        <f aca="false">M94*(1-Annahmen!$B$27)+M$21*$E$10*Annahmen!$B$21*Annahmen!$B$24*Annahmen!$B$15*$D$10</f>
        <v>10222.030162106</v>
      </c>
      <c r="N95" s="37" t="n">
        <f aca="false">N94*(1-Annahmen!$B$27)+N$21*$E$10*Annahmen!$B$21*Annahmen!$B$24*Annahmen!$B$15*$D$10</f>
        <v>11535.8521326206</v>
      </c>
      <c r="O95" s="37" t="n">
        <f aca="false">O94*(1-Annahmen!$B$27)+O$21*$E$10*Annahmen!$B$21*Annahmen!$B$24*Annahmen!$B$15*$D$10</f>
        <v>13533.8522686474</v>
      </c>
      <c r="P95" s="37" t="n">
        <f aca="false">P94*(1-Annahmen!$B$27)+P$21*$E$10*Annahmen!$B$21*Annahmen!$B$24*Annahmen!$B$15*$D$10</f>
        <v>15287.7163537412</v>
      </c>
      <c r="Q95" s="37" t="n">
        <f aca="false">Q94*(1-Annahmen!$B$27)+Q$21*$E$10*Annahmen!$B$21*Annahmen!$B$24*Annahmen!$B$15*$D$10</f>
        <v>17008.3092394558</v>
      </c>
      <c r="R95" s="37" t="n">
        <f aca="false">R94*(1-Annahmen!$B$27)+R$21*$E$10*Annahmen!$B$21*Annahmen!$B$24*Annahmen!$B$15*$D$10</f>
        <v>19405.4288824454</v>
      </c>
      <c r="S95" s="37" t="n">
        <f aca="false">S94*(1-Annahmen!$B$27)+S$21*$E$10*Annahmen!$B$21*Annahmen!$B$24*Annahmen!$B$15*$D$10</f>
        <v>21550.9216912695</v>
      </c>
      <c r="T95" s="37" t="n">
        <f aca="false">T94*(1-Annahmen!$B$27)+T$21*$E$10*Annahmen!$B$21*Annahmen!$B$24*Annahmen!$B$15*$D$10</f>
        <v>23655.8094366756</v>
      </c>
      <c r="U95" s="37" t="n">
        <f aca="false">U94*(1-Annahmen!$B$27)+U$21*$E$10*Annahmen!$B$21*Annahmen!$B$24*Annahmen!$B$15*$D$10</f>
        <v>26430.0433808009</v>
      </c>
      <c r="V95" s="37" t="n">
        <f aca="false">V94*(1-Annahmen!$B$27)+V$21*$E$10*Annahmen!$B$21*Annahmen!$B$24*Annahmen!$B$15*$D$10</f>
        <v>28945.6197136582</v>
      </c>
      <c r="W95" s="37" t="n">
        <f aca="false">W94*(1-Annahmen!$B$27)+W$21*$E$10*Annahmen!$B$21*Annahmen!$B$24*Annahmen!$B$15*$D$10</f>
        <v>31413.7065507453</v>
      </c>
      <c r="X95" s="37" t="n">
        <f aca="false">X94*(1-Annahmen!$B$27)+X$21*$E$10*Annahmen!$B$21*Annahmen!$B$24*Annahmen!$B$15*$D$10</f>
        <v>34544.3981472849</v>
      </c>
      <c r="Y95" s="37" t="n">
        <f aca="false">Y94*(1-Annahmen!$B$27)+Y$21*$E$10*Annahmen!$B$21*Annahmen!$B$24*Annahmen!$B$15*$D$10</f>
        <v>37409.8304175213</v>
      </c>
      <c r="Z95" s="37" t="n">
        <f aca="false">Z94*(1-Annahmen!$B$27)+Z$21*$E$10*Annahmen!$B$21*Annahmen!$B$24*Annahmen!$B$15*$D$10</f>
        <v>40221.3080129751</v>
      </c>
      <c r="AA95" s="37" t="n">
        <f aca="false">AA94*(1-Annahmen!$B$27)+AA$21*$E$10*Annahmen!$B$21*Annahmen!$B$24*Annahmen!$B$15*$D$10</f>
        <v>43334.5116752215</v>
      </c>
      <c r="AB95" s="37" t="n">
        <f aca="false">AB94*(1-Annahmen!$B$27)+AB$21*$E$10*Annahmen!$B$21*Annahmen!$B$24*Annahmen!$B$15*$D$10</f>
        <v>46286.1283681554</v>
      </c>
      <c r="AC95" s="37" t="n">
        <f aca="false">AC94*(1-Annahmen!$B$27)+AC$21*$E$10*Annahmen!$B$21*Annahmen!$B$24*Annahmen!$B$15*$D$10</f>
        <v>49182.4151799394</v>
      </c>
      <c r="AD95" s="37" t="n">
        <f aca="false">AD94*(1-Annahmen!$B$27)+AD$21*$E$10*Annahmen!$B$21*Annahmen!$B$24*Annahmen!$B$15*$D$10</f>
        <v>52556.3502926851</v>
      </c>
      <c r="AE95" s="37" t="n">
        <f aca="false">AE94*(1-Annahmen!$B$27)+AE$21*$E$10*Annahmen!$B$21*Annahmen!$B$24*Annahmen!$B$15*$D$10</f>
        <v>55712.4338561307</v>
      </c>
      <c r="AF95" s="37" t="n">
        <f aca="false">AF94*(1-Annahmen!$B$27)+AF$21*$E$10*Annahmen!$B$21*Annahmen!$B$24*Annahmen!$B$15*$D$10</f>
        <v>58809.533524426</v>
      </c>
      <c r="AG95" s="37" t="n">
        <f aca="false">AG94*(1-Annahmen!$B$27)+AG$21*$E$10*Annahmen!$B$21*Annahmen!$B$24*Annahmen!$B$15*$D$10</f>
        <v>62380.7003978678</v>
      </c>
      <c r="AH95" s="37" t="n">
        <f aca="false">AH94*(1-Annahmen!$B$27)+AH$21*$E$10*Annahmen!$B$21*Annahmen!$B$24*Annahmen!$B$15*$D$10</f>
        <v>65730.5059361068</v>
      </c>
      <c r="AI95" s="37" t="n">
        <f aca="false">AI94*(1-Annahmen!$B$27)+AI$21*$E$10*Annahmen!$B$21*Annahmen!$B$24*Annahmen!$B$15*$D$10</f>
        <v>69017.8875334538</v>
      </c>
      <c r="AJ95" s="37" t="n">
        <f aca="false">AJ94*(1-Annahmen!$B$27)+AJ$21*$E$10*Annahmen!$B$21*Annahmen!$B$24*Annahmen!$B$15*$D$10</f>
        <v>72953.2379681505</v>
      </c>
      <c r="AK95" s="37" t="n">
        <f aca="false">AK94*(1-Annahmen!$B$27)+AK$21*$E$10*Annahmen!$B$21*Annahmen!$B$24*Annahmen!$B$15*$D$10</f>
        <v>76608.9850839168</v>
      </c>
      <c r="AL95" s="37" t="n">
        <f aca="false">AL94*(1-Annahmen!$B$27)+AL$21*$E$10*Annahmen!$B$21*Annahmen!$B$24*Annahmen!$B$15*$D$10</f>
        <v>80196.7190263058</v>
      </c>
      <c r="AM95" s="37" t="n">
        <f aca="false">AM94*(1-Annahmen!$B$27)+AM$21*$E$10*Annahmen!$B$21*Annahmen!$B$24*Annahmen!$B$15*$D$10</f>
        <v>84604.2201595425</v>
      </c>
      <c r="AN95" s="37" t="n">
        <f aca="false">AN94*(1-Annahmen!$B$27)+AN$21*$E$10*Annahmen!$B$21*Annahmen!$B$24*Annahmen!$B$15*$D$10</f>
        <v>88671.817544199</v>
      </c>
      <c r="AO95" s="37" t="n">
        <f aca="false">AO94*(1-Annahmen!$B$27)+AO$21*$E$10*Annahmen!$B$21*Annahmen!$B$24*Annahmen!$B$15*$D$10</f>
        <v>92663.7978616482</v>
      </c>
      <c r="AP95" s="37" t="n">
        <f aca="false">AP94*(1-Annahmen!$B$27)+AP$21*$E$10*Annahmen!$B$21*Annahmen!$B$24*Annahmen!$B$15*$D$10</f>
        <v>96581.7310048045</v>
      </c>
      <c r="AQ95" s="37" t="n">
        <f aca="false">AQ94*(1-Annahmen!$B$27)+AQ$21*$E$10*Annahmen!$B$21*Annahmen!$B$24*Annahmen!$B$15*$D$10</f>
        <v>100427.150987001</v>
      </c>
      <c r="AR95" s="37" t="n">
        <f aca="false">AR94*(1-Annahmen!$B$27)+AR$21*$E$10*Annahmen!$B$21*Annahmen!$B$24*Annahmen!$B$15*$D$10</f>
        <v>104201.556827094</v>
      </c>
      <c r="AS95" s="37" t="n">
        <f aca="false">AS94*(1-Annahmen!$B$27)+AS$21*$E$10*Annahmen!$B$21*Annahmen!$B$24*Annahmen!$B$15*$D$10</f>
        <v>107906.413411446</v>
      </c>
      <c r="AT95" s="37" t="n">
        <f aca="false">AT94*(1-Annahmen!$B$27)+AT$21*$E$10*Annahmen!$B$21*Annahmen!$B$24*Annahmen!$B$15*$D$10</f>
        <v>111543.152333413</v>
      </c>
      <c r="AU95" s="37" t="n">
        <f aca="false">AU94*(1-Annahmen!$B$27)+AU$21*$E$10*Annahmen!$B$21*Annahmen!$B$24*Annahmen!$B$15*$D$10</f>
        <v>115113.172710945</v>
      </c>
      <c r="AV95" s="37" t="n">
        <f aca="false">AV94*(1-Annahmen!$B$27)+AV$21*$E$10*Annahmen!$B$21*Annahmen!$B$24*Annahmen!$B$15*$D$10</f>
        <v>118617.84198291</v>
      </c>
      <c r="AW95" s="37" t="n">
        <f aca="false">AW94*(1-Annahmen!$B$27)+AW$21*$E$10*Annahmen!$B$21*Annahmen!$B$24*Annahmen!$B$15*$D$10</f>
        <v>122058.496684695</v>
      </c>
      <c r="AX95" s="37" t="n">
        <f aca="false">AX94*(1-Annahmen!$B$27)+AX$21*$E$10*Annahmen!$B$21*Annahmen!$B$24*Annahmen!$B$15*$D$10</f>
        <v>125436.443203677</v>
      </c>
      <c r="AY95" s="37" t="n">
        <f aca="false">AY94*(1-Annahmen!$B$27)+AY$21*$E$10*Annahmen!$B$21*Annahmen!$B$24*Annahmen!$B$15*$D$10</f>
        <v>130525.693215078</v>
      </c>
      <c r="AZ95" s="37" t="n">
        <f aca="false">AZ94*(1-Annahmen!$B$27)+AZ$21*$E$10*Annahmen!$B$21*Annahmen!$B$24*Annahmen!$B$15*$D$10</f>
        <v>135005.391716365</v>
      </c>
      <c r="BA95" s="37" t="n">
        <f aca="false">BA94*(1-Annahmen!$B$27)+BA$21*$E$10*Annahmen!$B$21*Annahmen!$B$24*Annahmen!$B$15*$D$10</f>
        <v>139402.633979492</v>
      </c>
      <c r="BB95" s="37" t="n">
        <f aca="false">BB94*(1-Annahmen!$B$27)+BB$21*$E$10*Annahmen!$B$21*Annahmen!$B$24*Annahmen!$B$15*$D$10</f>
        <v>143719.11585936</v>
      </c>
      <c r="BC95" s="37" t="n">
        <f aca="false">BC94*(1-Annahmen!$B$27)+BC$21*$E$10*Annahmen!$B$21*Annahmen!$B$24*Annahmen!$B$15*$D$10</f>
        <v>147956.49476152</v>
      </c>
      <c r="BD95" s="37" t="n">
        <f aca="false">BD94*(1-Annahmen!$B$27)+BD$21*$E$10*Annahmen!$B$21*Annahmen!$B$24*Annahmen!$B$15*$D$10</f>
        <v>152116.390584696</v>
      </c>
      <c r="BE95" s="37" t="n">
        <f aca="false">BE94*(1-Annahmen!$B$27)+BE$21*$E$10*Annahmen!$B$21*Annahmen!$B$24*Annahmen!$B$15*$D$10</f>
        <v>156200.386638794</v>
      </c>
      <c r="BF95" s="37" t="n">
        <f aca="false">BF94*(1-Annahmen!$B$27)+BF$21*$E$10*Annahmen!$B$21*Annahmen!$B$24*Annahmen!$B$15*$D$10</f>
        <v>160210.030539073</v>
      </c>
      <c r="BG95" s="37" t="n">
        <f aca="false">BG94*(1-Annahmen!$B$27)+BG$21*$E$10*Annahmen!$B$21*Annahmen!$B$24*Annahmen!$B$15*$D$10</f>
        <v>164146.835077118</v>
      </c>
      <c r="BH95" s="37" t="n">
        <f aca="false">BH94*(1-Annahmen!$B$27)+BH$21*$E$10*Annahmen!$B$21*Annahmen!$B$24*Annahmen!$B$15*$D$10</f>
        <v>168012.27906925</v>
      </c>
      <c r="BI95" s="37" t="n">
        <f aca="false">BI94*(1-Annahmen!$B$27)+BI$21*$E$10*Annahmen!$B$21*Annahmen!$B$24*Annahmen!$B$15*$D$10</f>
        <v>171807.808182975</v>
      </c>
      <c r="BJ95" s="37" t="n">
        <f aca="false">BJ94*(1-Annahmen!$B$27)+BJ$21*$E$10*Annahmen!$B$21*Annahmen!$B$24*Annahmen!$B$15*$D$10</f>
        <v>175534.835742079</v>
      </c>
    </row>
    <row r="96" customFormat="false" ht="15" hidden="false" customHeight="false" outlineLevel="0" collapsed="false">
      <c r="B96" s="5" t="s">
        <v>239</v>
      </c>
      <c r="C96" s="37" t="n">
        <f aca="false">C89*Annahmen!$B$52+C90*Annahmen!$B$53+C91*Annahmen!$B$54+C95*Annahmen!$B$55+C93*Annahmen!$B$56+C95*INDEX(Annahmen!$B$58:$F$58,1,C$20)*Annahmen!$B$57+C$21*$E$10*Annahmen!$B$21*Annahmen!$B$24*Annahmen!$B$59</f>
        <v>36.6139577504</v>
      </c>
      <c r="D96" s="37" t="n">
        <f aca="false">D89*Annahmen!$B$52+D90*Annahmen!$B$53+D91*Annahmen!$B$54+D95*Annahmen!$B$55+D93*Annahmen!$B$56+D95*INDEX(Annahmen!$B$58:$F$58,1,D$20)*Annahmen!$B$57+D$21*$E$10*Annahmen!$B$21*Annahmen!$B$24*Annahmen!$B$59</f>
        <v>45.4483857998752</v>
      </c>
      <c r="E96" s="37" t="n">
        <f aca="false">E89*Annahmen!$B$52+E90*Annahmen!$B$53+E91*Annahmen!$B$54+E95*Annahmen!$B$55+E93*Annahmen!$B$56+E95*INDEX(Annahmen!$B$58:$F$58,1,E$20)*Annahmen!$B$57+E$21*$E$10*Annahmen!$B$21*Annahmen!$B$24*Annahmen!$B$59</f>
        <v>54.1076170741271</v>
      </c>
      <c r="F96" s="37" t="n">
        <f aca="false">F89*Annahmen!$B$52+F90*Annahmen!$B$53+F91*Annahmen!$B$54+F95*Annahmen!$B$55+F93*Annahmen!$B$56+F95*INDEX(Annahmen!$B$58:$F$58,1,F$20)*Annahmen!$B$57+F$21*$E$10*Annahmen!$B$21*Annahmen!$B$24*Annahmen!$B$59</f>
        <v>83.9800889334612</v>
      </c>
      <c r="G96" s="37" t="n">
        <f aca="false">G89*Annahmen!$B$52+G90*Annahmen!$B$53+G91*Annahmen!$B$54+G95*Annahmen!$B$55+G93*Annahmen!$B$56+G95*INDEX(Annahmen!$B$58:$F$58,1,G$20)*Annahmen!$B$57+G$21*$E$10*Annahmen!$B$21*Annahmen!$B$24*Annahmen!$B$59</f>
        <v>101.438092015692</v>
      </c>
      <c r="H96" s="37" t="n">
        <f aca="false">H89*Annahmen!$B$52+H90*Annahmen!$B$53+H91*Annahmen!$B$54+H95*Annahmen!$B$55+H93*Annahmen!$B$56+H95*INDEX(Annahmen!$B$58:$F$58,1,H$20)*Annahmen!$B$57+H$21*$E$10*Annahmen!$B$21*Annahmen!$B$24*Annahmen!$B$59</f>
        <v>118.550317103299</v>
      </c>
      <c r="I96" s="37" t="n">
        <f aca="false">I89*Annahmen!$B$52+I90*Annahmen!$B$53+I91*Annahmen!$B$54+I95*Annahmen!$B$55+I93*Annahmen!$B$56+I95*INDEX(Annahmen!$B$58:$F$58,1,I$20)*Annahmen!$B$57+I$21*$E$10*Annahmen!$B$21*Annahmen!$B$24*Annahmen!$B$59</f>
        <v>156.708965080404</v>
      </c>
      <c r="J96" s="37" t="n">
        <f aca="false">J89*Annahmen!$B$52+J90*Annahmen!$B$53+J91*Annahmen!$B$54+J95*Annahmen!$B$55+J93*Annahmen!$B$56+J95*INDEX(Annahmen!$B$58:$F$58,1,J$20)*Annahmen!$B$57+J$21*$E$10*Annahmen!$B$21*Annahmen!$B$24*Annahmen!$B$59</f>
        <v>182.289999377883</v>
      </c>
      <c r="K96" s="37" t="n">
        <f aca="false">K89*Annahmen!$B$52+K90*Annahmen!$B$53+K91*Annahmen!$B$54+K95*Annahmen!$B$55+K93*Annahmen!$B$56+K95*INDEX(Annahmen!$B$58:$F$58,1,K$20)*Annahmen!$B$57+K$21*$E$10*Annahmen!$B$21*Annahmen!$B$24*Annahmen!$B$59</f>
        <v>207.365695177787</v>
      </c>
      <c r="L96" s="37" t="n">
        <f aca="false">L89*Annahmen!$B$52+L90*Annahmen!$B$53+L91*Annahmen!$B$54+L95*Annahmen!$B$55+L93*Annahmen!$B$56+L95*INDEX(Annahmen!$B$58:$F$58,1,L$20)*Annahmen!$B$57+L$21*$E$10*Annahmen!$B$21*Annahmen!$B$24*Annahmen!$B$59</f>
        <v>253.331751644451</v>
      </c>
      <c r="M96" s="37" t="n">
        <f aca="false">M89*Annahmen!$B$52+M90*Annahmen!$B$53+M91*Annahmen!$B$54+M95*Annahmen!$B$55+M93*Annahmen!$B$56+M95*INDEX(Annahmen!$B$58:$F$58,1,M$20)*Annahmen!$B$57+M$21*$E$10*Annahmen!$B$21*Annahmen!$B$24*Annahmen!$B$59</f>
        <v>286.56754658237</v>
      </c>
      <c r="N96" s="37" t="n">
        <f aca="false">N89*Annahmen!$B$52+N90*Annahmen!$B$53+N91*Annahmen!$B$54+N95*Annahmen!$B$55+N93*Annahmen!$B$56+N95*INDEX(Annahmen!$B$58:$F$58,1,N$20)*Annahmen!$B$57+N$21*$E$10*Annahmen!$B$21*Annahmen!$B$24*Annahmen!$B$59</f>
        <v>319.148687793728</v>
      </c>
      <c r="O96" s="37" t="n">
        <f aca="false">O89*Annahmen!$B$52+O90*Annahmen!$B$53+O91*Annahmen!$B$54+O95*Annahmen!$B$55+O93*Annahmen!$B$56+O95*INDEX(Annahmen!$B$58:$F$58,1,O$20)*Annahmen!$B$57+O$21*$E$10*Annahmen!$B$21*Annahmen!$B$24*Annahmen!$B$59</f>
        <v>717.948621880806</v>
      </c>
      <c r="P96" s="37" t="n">
        <f aca="false">P89*Annahmen!$B$52+P90*Annahmen!$B$53+P91*Annahmen!$B$54+P95*Annahmen!$B$55+P93*Annahmen!$B$56+P95*INDEX(Annahmen!$B$58:$F$58,1,P$20)*Annahmen!$B$57+P$21*$E$10*Annahmen!$B$21*Annahmen!$B$24*Annahmen!$B$59</f>
        <v>805.293394059289</v>
      </c>
      <c r="Q96" s="37" t="n">
        <f aca="false">Q89*Annahmen!$B$52+Q90*Annahmen!$B$53+Q91*Annahmen!$B$54+Q95*Annahmen!$B$55+Q93*Annahmen!$B$56+Q95*INDEX(Annahmen!$B$58:$F$58,1,Q$20)*Annahmen!$B$57+Q$21*$E$10*Annahmen!$B$21*Annahmen!$B$24*Annahmen!$B$59</f>
        <v>890.951303581515</v>
      </c>
      <c r="R96" s="37" t="n">
        <f aca="false">R89*Annahmen!$B$52+R90*Annahmen!$B$53+R91*Annahmen!$B$54+R95*Annahmen!$B$55+R93*Annahmen!$B$56+R95*INDEX(Annahmen!$B$58:$F$58,1,R$20)*Annahmen!$B$57+R$21*$E$10*Annahmen!$B$21*Annahmen!$B$24*Annahmen!$B$59</f>
        <v>1021.19881093221</v>
      </c>
      <c r="S96" s="37" t="n">
        <f aca="false">S89*Annahmen!$B$52+S90*Annahmen!$B$53+S91*Annahmen!$B$54+S95*Annahmen!$B$55+S93*Annahmen!$B$56+S95*INDEX(Annahmen!$B$58:$F$58,1,S$20)*Annahmen!$B$57+S$21*$E$10*Annahmen!$B$21*Annahmen!$B$24*Annahmen!$B$59</f>
        <v>1128.00840010968</v>
      </c>
      <c r="T96" s="37" t="n">
        <f aca="false">T89*Annahmen!$B$52+T90*Annahmen!$B$53+T91*Annahmen!$B$54+T95*Annahmen!$B$55+T93*Annahmen!$B$56+T95*INDEX(Annahmen!$B$58:$F$58,1,T$20)*Annahmen!$B$57+T$21*$E$10*Annahmen!$B$21*Annahmen!$B$24*Annahmen!$B$59</f>
        <v>1232.76015554654</v>
      </c>
      <c r="U96" s="37" t="n">
        <f aca="false">U89*Annahmen!$B$52+U90*Annahmen!$B$53+U91*Annahmen!$B$54+U95*Annahmen!$B$55+U93*Annahmen!$B$56+U95*INDEX(Annahmen!$B$58:$F$58,1,U$20)*Annahmen!$B$57+U$21*$E$10*Annahmen!$B$21*Annahmen!$B$24*Annahmen!$B$59</f>
        <v>1381.73843673219</v>
      </c>
      <c r="V96" s="37" t="n">
        <f aca="false">V89*Annahmen!$B$52+V90*Annahmen!$B$53+V91*Annahmen!$B$54+V95*Annahmen!$B$55+V93*Annahmen!$B$56+V95*INDEX(Annahmen!$B$58:$F$58,1,V$20)*Annahmen!$B$57+V$21*$E$10*Annahmen!$B$21*Annahmen!$B$24*Annahmen!$B$59</f>
        <v>1506.9234419499</v>
      </c>
      <c r="W96" s="37" t="n">
        <f aca="false">W89*Annahmen!$B$52+W90*Annahmen!$B$53+W91*Annahmen!$B$54+W95*Annahmen!$B$55+W93*Annahmen!$B$56+W95*INDEX(Annahmen!$B$58:$F$58,1,W$20)*Annahmen!$B$57+W$21*$E$10*Annahmen!$B$21*Annahmen!$B$24*Annahmen!$B$59</f>
        <v>1629.70278984242</v>
      </c>
      <c r="X96" s="37" t="n">
        <f aca="false">X89*Annahmen!$B$52+X90*Annahmen!$B$53+X91*Annahmen!$B$54+X95*Annahmen!$B$55+X93*Annahmen!$B$56+X95*INDEX(Annahmen!$B$58:$F$58,1,X$20)*Annahmen!$B$57+X$21*$E$10*Annahmen!$B$21*Annahmen!$B$24*Annahmen!$B$59</f>
        <v>1796.368198556</v>
      </c>
      <c r="Y96" s="37" t="n">
        <f aca="false">Y89*Annahmen!$B$52+Y90*Annahmen!$B$53+Y91*Annahmen!$B$54+Y95*Annahmen!$B$55+Y93*Annahmen!$B$56+Y95*INDEX(Annahmen!$B$58:$F$58,1,Y$20)*Annahmen!$B$57+Y$21*$E$10*Annahmen!$B$21*Annahmen!$B$24*Annahmen!$B$59</f>
        <v>1938.90705387938</v>
      </c>
      <c r="Z96" s="37" t="n">
        <f aca="false">Z89*Annahmen!$B$52+Z90*Annahmen!$B$53+Z91*Annahmen!$B$54+Z95*Annahmen!$B$55+Z93*Annahmen!$B$56+Z95*INDEX(Annahmen!$B$58:$F$58,1,Z$20)*Annahmen!$B$57+Z$21*$E$10*Annahmen!$B$21*Annahmen!$B$24*Annahmen!$B$59</f>
        <v>2078.71399509466</v>
      </c>
      <c r="AA96" s="37" t="n">
        <f aca="false">AA89*Annahmen!$B$52+AA90*Annahmen!$B$53+AA91*Annahmen!$B$54+AA95*Annahmen!$B$55+AA93*Annahmen!$B$56+AA95*INDEX(Annahmen!$B$58:$F$58,1,AA$20)*Annahmen!$B$57+AA$21*$E$10*Annahmen!$B$21*Annahmen!$B$24*Annahmen!$B$59</f>
        <v>3322.33034115396</v>
      </c>
      <c r="AB96" s="37" t="n">
        <f aca="false">AB89*Annahmen!$B$52+AB90*Annahmen!$B$53+AB91*Annahmen!$B$54+AB95*Annahmen!$B$55+AB93*Annahmen!$B$56+AB95*INDEX(Annahmen!$B$58:$F$58,1,AB$20)*Annahmen!$B$57+AB$21*$E$10*Annahmen!$B$21*Annahmen!$B$24*Annahmen!$B$59</f>
        <v>3542.84652038522</v>
      </c>
      <c r="AC96" s="37" t="n">
        <f aca="false">AC89*Annahmen!$B$52+AC90*Annahmen!$B$53+AC91*Annahmen!$B$54+AC95*Annahmen!$B$55+AC93*Annahmen!$B$56+AC95*INDEX(Annahmen!$B$58:$F$58,1,AC$20)*Annahmen!$B$57+AC$21*$E$10*Annahmen!$B$21*Annahmen!$B$24*Annahmen!$B$59</f>
        <v>3759.18013500988</v>
      </c>
      <c r="AD96" s="37" t="n">
        <f aca="false">AD89*Annahmen!$B$52+AD90*Annahmen!$B$53+AD91*Annahmen!$B$54+AD95*Annahmen!$B$55+AD93*Annahmen!$B$56+AD95*INDEX(Annahmen!$B$58:$F$58,1,AD$20)*Annahmen!$B$57+AD$21*$E$10*Annahmen!$B$21*Annahmen!$B$24*Annahmen!$B$59</f>
        <v>4019.39537916378</v>
      </c>
      <c r="AE96" s="37" t="n">
        <f aca="false">AE89*Annahmen!$B$52+AE90*Annahmen!$B$53+AE91*Annahmen!$B$54+AE95*Annahmen!$B$55+AE93*Annahmen!$B$56+AE95*INDEX(Annahmen!$B$58:$F$58,1,AE$20)*Annahmen!$B$57+AE$21*$E$10*Annahmen!$B$21*Annahmen!$B$24*Annahmen!$B$59</f>
        <v>4255.11576160796</v>
      </c>
      <c r="AF96" s="37" t="n">
        <f aca="false">AF89*Annahmen!$B$52+AF90*Annahmen!$B$53+AF91*Annahmen!$B$54+AF95*Annahmen!$B$55+AF93*Annahmen!$B$56+AF95*INDEX(Annahmen!$B$58:$F$58,1,AF$20)*Annahmen!$B$57+AF$21*$E$10*Annahmen!$B$21*Annahmen!$B$24*Annahmen!$B$59</f>
        <v>4486.37894564833</v>
      </c>
      <c r="AG96" s="37" t="n">
        <f aca="false">AG89*Annahmen!$B$52+AG90*Annahmen!$B$53+AG91*Annahmen!$B$54+AG95*Annahmen!$B$55+AG93*Annahmen!$B$56+AG95*INDEX(Annahmen!$B$58:$F$58,1,AG$20)*Annahmen!$B$57+AG$21*$E$10*Annahmen!$B$21*Annahmen!$B$24*Annahmen!$B$59</f>
        <v>4761.2546719584</v>
      </c>
      <c r="AH96" s="37" t="n">
        <f aca="false">AH89*Annahmen!$B$52+AH90*Annahmen!$B$53+AH91*Annahmen!$B$54+AH95*Annahmen!$B$55+AH93*Annahmen!$B$56+AH95*INDEX(Annahmen!$B$58:$F$58,1,AH$20)*Annahmen!$B$57+AH$21*$E$10*Annahmen!$B$21*Annahmen!$B$24*Annahmen!$B$59</f>
        <v>5011.37187204186</v>
      </c>
      <c r="AI96" s="37" t="n">
        <f aca="false">AI89*Annahmen!$B$52+AI90*Annahmen!$B$53+AI91*Annahmen!$B$54+AI95*Annahmen!$B$55+AI93*Annahmen!$B$56+AI95*INDEX(Annahmen!$B$58:$F$58,1,AI$20)*Annahmen!$B$57+AI$21*$E$10*Annahmen!$B$21*Annahmen!$B$24*Annahmen!$B$59</f>
        <v>5256.77351114901</v>
      </c>
      <c r="AJ96" s="37" t="n">
        <f aca="false">AJ89*Annahmen!$B$52+AJ90*Annahmen!$B$53+AJ91*Annahmen!$B$54+AJ95*Annahmen!$B$55+AJ93*Annahmen!$B$56+AJ95*INDEX(Annahmen!$B$58:$F$58,1,AJ$20)*Annahmen!$B$57+AJ$21*$E$10*Annahmen!$B$21*Annahmen!$B$24*Annahmen!$B$59</f>
        <v>5561.52637527915</v>
      </c>
      <c r="AK96" s="37" t="n">
        <f aca="false">AK89*Annahmen!$B$52+AK90*Annahmen!$B$53+AK91*Annahmen!$B$54+AK95*Annahmen!$B$55+AK93*Annahmen!$B$56+AK95*INDEX(Annahmen!$B$58:$F$58,1,AK$20)*Annahmen!$B$57+AK$21*$E$10*Annahmen!$B$21*Annahmen!$B$24*Annahmen!$B$59</f>
        <v>5834.44345192977</v>
      </c>
      <c r="AL96" s="37" t="n">
        <f aca="false">AL89*Annahmen!$B$52+AL90*Annahmen!$B$53+AL91*Annahmen!$B$54+AL95*Annahmen!$B$55+AL93*Annahmen!$B$56+AL95*INDEX(Annahmen!$B$58:$F$58,1,AL$20)*Annahmen!$B$57+AL$21*$E$10*Annahmen!$B$21*Annahmen!$B$24*Annahmen!$B$59</f>
        <v>6102.22370520567</v>
      </c>
      <c r="AM96" s="37" t="n">
        <f aca="false">AM89*Annahmen!$B$52+AM90*Annahmen!$B$53+AM91*Annahmen!$B$54+AM95*Annahmen!$B$55+AM93*Annahmen!$B$56+AM95*INDEX(Annahmen!$B$58:$F$58,1,AM$20)*Annahmen!$B$57+AM$21*$E$10*Annahmen!$B$21*Annahmen!$B$24*Annahmen!$B$59</f>
        <v>7502.48724169349</v>
      </c>
      <c r="AN96" s="37" t="n">
        <f aca="false">AN89*Annahmen!$B$52+AN90*Annahmen!$B$53+AN91*Annahmen!$B$54+AN95*Annahmen!$B$55+AN93*Annahmen!$B$56+AN95*INDEX(Annahmen!$B$58:$F$58,1,AN$20)*Annahmen!$B$57+AN$21*$E$10*Annahmen!$B$21*Annahmen!$B$24*Annahmen!$B$59</f>
        <v>7856.97400800662</v>
      </c>
      <c r="AO96" s="37" t="n">
        <f aca="false">AO89*Annahmen!$B$52+AO90*Annahmen!$B$53+AO91*Annahmen!$B$54+AO95*Annahmen!$B$55+AO93*Annahmen!$B$56+AO95*INDEX(Annahmen!$B$58:$F$58,1,AO$20)*Annahmen!$B$57+AO$21*$E$10*Annahmen!$B$21*Annahmen!$B$24*Annahmen!$B$59</f>
        <v>8204.80489690776</v>
      </c>
      <c r="AP96" s="37" t="n">
        <f aca="false">AP89*Annahmen!$B$52+AP90*Annahmen!$B$53+AP91*Annahmen!$B$54+AP95*Annahmen!$B$55+AP93*Annahmen!$B$56+AP95*INDEX(Annahmen!$B$58:$F$58,1,AP$20)*Annahmen!$B$57+AP$21*$E$10*Annahmen!$B$21*Annahmen!$B$24*Annahmen!$B$59</f>
        <v>8546.11956685931</v>
      </c>
      <c r="AQ96" s="37" t="n">
        <f aca="false">AQ89*Annahmen!$B$52+AQ90*Annahmen!$B$53+AQ91*Annahmen!$B$54+AQ95*Annahmen!$B$55+AQ93*Annahmen!$B$56+AQ95*INDEX(Annahmen!$B$58:$F$58,1,AQ$20)*Annahmen!$B$57+AQ$21*$E$10*Annahmen!$B$21*Annahmen!$B$24*Annahmen!$B$59</f>
        <v>8881.05445224718</v>
      </c>
      <c r="AR96" s="37" t="n">
        <f aca="false">AR89*Annahmen!$B$52+AR90*Annahmen!$B$53+AR91*Annahmen!$B$54+AR95*Annahmen!$B$55+AR93*Annahmen!$B$56+AR95*INDEX(Annahmen!$B$58:$F$58,1,AR$20)*Annahmen!$B$57+AR$21*$E$10*Annahmen!$B$21*Annahmen!$B$24*Annahmen!$B$59</f>
        <v>9209.74284360571</v>
      </c>
      <c r="AS96" s="37" t="n">
        <f aca="false">AS89*Annahmen!$B$52+AS90*Annahmen!$B$53+AS91*Annahmen!$B$54+AS95*Annahmen!$B$55+AS93*Annahmen!$B$56+AS95*INDEX(Annahmen!$B$58:$F$58,1,AS$20)*Annahmen!$B$57+AS$21*$E$10*Annahmen!$B$21*Annahmen!$B$24*Annahmen!$B$59</f>
        <v>9532.31496573193</v>
      </c>
      <c r="AT96" s="37" t="n">
        <f aca="false">AT89*Annahmen!$B$52+AT90*Annahmen!$B$53+AT91*Annahmen!$B$54+AT95*Annahmen!$B$55+AT93*Annahmen!$B$56+AT95*INDEX(Annahmen!$B$58:$F$58,1,AT$20)*Annahmen!$B$57+AT$21*$E$10*Annahmen!$B$21*Annahmen!$B$24*Annahmen!$B$59</f>
        <v>9848.89805374715</v>
      </c>
      <c r="AU96" s="37" t="n">
        <f aca="false">AU89*Annahmen!$B$52+AU90*Annahmen!$B$53+AU91*Annahmen!$B$54+AU95*Annahmen!$B$55+AU93*Annahmen!$B$56+AU95*INDEX(Annahmen!$B$58:$F$58,1,AU$20)*Annahmen!$B$57+AU$21*$E$10*Annahmen!$B$21*Annahmen!$B$24*Annahmen!$B$59</f>
        <v>10159.6164271618</v>
      </c>
      <c r="AV96" s="37" t="n">
        <f aca="false">AV89*Annahmen!$B$52+AV90*Annahmen!$B$53+AV91*Annahmen!$B$54+AV95*Annahmen!$B$55+AV93*Annahmen!$B$56+AV95*INDEX(Annahmen!$B$58:$F$58,1,AV$20)*Annahmen!$B$57+AV$21*$E$10*Annahmen!$B$21*Annahmen!$B$24*Annahmen!$B$59</f>
        <v>10464.5915619983</v>
      </c>
      <c r="AW96" s="37" t="n">
        <f aca="false">AW89*Annahmen!$B$52+AW90*Annahmen!$B$53+AW91*Annahmen!$B$54+AW95*Annahmen!$B$55+AW93*Annahmen!$B$56+AW95*INDEX(Annahmen!$B$58:$F$58,1,AW$20)*Annahmen!$B$57+AW$21*$E$10*Annahmen!$B$21*Annahmen!$B$24*Annahmen!$B$59</f>
        <v>10763.942161025</v>
      </c>
      <c r="AX96" s="37" t="n">
        <f aca="false">AX89*Annahmen!$B$52+AX90*Annahmen!$B$53+AX91*Annahmen!$B$54+AX95*Annahmen!$B$55+AX93*Annahmen!$B$56+AX95*INDEX(Annahmen!$B$58:$F$58,1,AX$20)*Annahmen!$B$57+AX$21*$E$10*Annahmen!$B$21*Annahmen!$B$24*Annahmen!$B$59</f>
        <v>11057.7842221526</v>
      </c>
      <c r="AY96" s="37" t="n">
        <f aca="false">AY89*Annahmen!$B$52+AY90*Annahmen!$B$53+AY91*Annahmen!$B$54+AY95*Annahmen!$B$55+AY93*Annahmen!$B$56+AY95*INDEX(Annahmen!$B$58:$F$58,1,AY$20)*Annahmen!$B$57+AY$21*$E$10*Annahmen!$B$21*Annahmen!$B$24*Annahmen!$B$59</f>
        <v>13159.8800665819</v>
      </c>
      <c r="AZ96" s="37" t="n">
        <f aca="false">AZ89*Annahmen!$B$52+AZ90*Annahmen!$B$53+AZ91*Annahmen!$B$54+AZ95*Annahmen!$B$55+AZ93*Annahmen!$B$56+AZ95*INDEX(Annahmen!$B$58:$F$58,1,AZ$20)*Annahmen!$B$57+AZ$21*$E$10*Annahmen!$B$21*Annahmen!$B$24*Annahmen!$B$59</f>
        <v>13605.957960077</v>
      </c>
      <c r="BA96" s="37" t="n">
        <f aca="false">BA89*Annahmen!$B$52+BA90*Annahmen!$B$53+BA91*Annahmen!$B$54+BA95*Annahmen!$B$55+BA93*Annahmen!$B$56+BA95*INDEX(Annahmen!$B$58:$F$58,1,BA$20)*Annahmen!$B$57+BA$21*$E$10*Annahmen!$B$21*Annahmen!$B$24*Annahmen!$B$59</f>
        <v>14043.7542678885</v>
      </c>
      <c r="BB96" s="37" t="n">
        <f aca="false">BB89*Annahmen!$B$52+BB90*Annahmen!$B$53+BB91*Annahmen!$B$54+BB95*Annahmen!$B$55+BB93*Annahmen!$B$56+BB95*INDEX(Annahmen!$B$58:$F$58,1,BB$20)*Annahmen!$B$57+BB$21*$E$10*Annahmen!$B$21*Annahmen!$B$24*Annahmen!$B$59</f>
        <v>14473.440903</v>
      </c>
      <c r="BC96" s="37" t="n">
        <f aca="false">BC89*Annahmen!$B$52+BC90*Annahmen!$B$53+BC91*Annahmen!$B$54+BC95*Annahmen!$B$55+BC93*Annahmen!$B$56+BC95*INDEX(Annahmen!$B$58:$F$58,1,BC$20)*Annahmen!$B$57+BC$21*$E$10*Annahmen!$B$21*Annahmen!$B$24*Annahmen!$B$59</f>
        <v>14895.1858459324</v>
      </c>
      <c r="BD96" s="37" t="n">
        <f aca="false">BD89*Annahmen!$B$52+BD90*Annahmen!$B$53+BD91*Annahmen!$B$54+BD95*Annahmen!$B$55+BD93*Annahmen!$B$56+BD95*INDEX(Annahmen!$B$58:$F$58,1,BD$20)*Annahmen!$B$57+BD$21*$E$10*Annahmen!$B$21*Annahmen!$B$24*Annahmen!$B$59</f>
        <v>15309.1532418879</v>
      </c>
      <c r="BE96" s="37" t="n">
        <f aca="false">BE89*Annahmen!$B$52+BE90*Annahmen!$B$53+BE91*Annahmen!$B$54+BE95*Annahmen!$B$55+BE93*Annahmen!$B$56+BE95*INDEX(Annahmen!$B$58:$F$58,1,BE$20)*Annahmen!$B$57+BE$21*$E$10*Annahmen!$B$21*Annahmen!$B$24*Annahmen!$B$59</f>
        <v>15715.5034953532</v>
      </c>
      <c r="BF96" s="37" t="n">
        <f aca="false">BF89*Annahmen!$B$52+BF90*Annahmen!$B$53+BF91*Annahmen!$B$54+BF95*Annahmen!$B$55+BF93*Annahmen!$B$56+BF95*INDEX(Annahmen!$B$58:$F$58,1,BF$20)*Annahmen!$B$57+BF$21*$E$10*Annahmen!$B$21*Annahmen!$B$24*Annahmen!$B$59</f>
        <v>16114.3933622294</v>
      </c>
      <c r="BG96" s="37" t="n">
        <f aca="false">BG89*Annahmen!$B$52+BG90*Annahmen!$B$53+BG91*Annahmen!$B$54+BG95*Annahmen!$B$55+BG93*Annahmen!$B$56+BG95*INDEX(Annahmen!$B$58:$F$58,1,BG$20)*Annahmen!$B$57+BG$21*$E$10*Annahmen!$B$21*Annahmen!$B$24*Annahmen!$B$59</f>
        <v>16505.9760395576</v>
      </c>
      <c r="BH96" s="37" t="n">
        <f aca="false">BH89*Annahmen!$B$52+BH90*Annahmen!$B$53+BH91*Annahmen!$B$54+BH95*Annahmen!$B$55+BH93*Annahmen!$B$56+BH95*INDEX(Annahmen!$B$58:$F$58,1,BH$20)*Annahmen!$B$57+BH$21*$E$10*Annahmen!$B$21*Annahmen!$B$24*Annahmen!$B$59</f>
        <v>16890.4012529046</v>
      </c>
      <c r="BI96" s="37" t="n">
        <f aca="false">BI89*Annahmen!$B$52+BI90*Annahmen!$B$53+BI91*Annahmen!$B$54+BI95*Annahmen!$B$55+BI93*Annahmen!$B$56+BI95*INDEX(Annahmen!$B$58:$F$58,1,BI$20)*Annahmen!$B$57+BI$21*$E$10*Annahmen!$B$21*Annahmen!$B$24*Annahmen!$B$59</f>
        <v>17267.815341472</v>
      </c>
      <c r="BJ96" s="37" t="n">
        <f aca="false">BJ89*Annahmen!$B$52+BJ90*Annahmen!$B$53+BJ91*Annahmen!$B$54+BJ95*Annahmen!$B$55+BJ93*Annahmen!$B$56+BJ95*INDEX(Annahmen!$B$58:$F$58,1,BJ$20)*Annahmen!$B$57+BJ$21*$E$10*Annahmen!$B$21*Annahmen!$B$24*Annahmen!$B$59</f>
        <v>17638.3613409929</v>
      </c>
    </row>
    <row r="97" customFormat="false" ht="15" hidden="false" customHeight="false" outlineLevel="0" collapsed="false">
      <c r="B97" s="5" t="s">
        <v>267</v>
      </c>
      <c r="C97" s="37" t="n">
        <f aca="false">C95-C96-C$22</f>
        <v>-15853.1104889504</v>
      </c>
      <c r="D97" s="37" t="n">
        <f aca="false">D95-D96-D$22</f>
        <v>-5706.68187831548</v>
      </c>
      <c r="E97" s="37" t="n">
        <f aca="false">E95-E96-E$22</f>
        <v>-6166.87470432324</v>
      </c>
      <c r="F97" s="37" t="n">
        <f aca="false">F95-F96-F$22</f>
        <v>-13523.1120251339</v>
      </c>
      <c r="G97" s="37" t="n">
        <f aca="false">G95-G96-G$22</f>
        <v>-3838.2555369293</v>
      </c>
      <c r="H97" s="37" t="n">
        <f aca="false">H95-H96-H$22</f>
        <v>-3166.47315942335</v>
      </c>
      <c r="I97" s="37" t="n">
        <f aca="false">I95-I96-I$22</f>
        <v>-8435.05076444158</v>
      </c>
      <c r="J97" s="37" t="n">
        <f aca="false">J95-J96-J$22</f>
        <v>-5630.71606085583</v>
      </c>
      <c r="K97" s="37" t="n">
        <f aca="false">K95-K96-K$22</f>
        <v>-4645.50609991935</v>
      </c>
      <c r="L97" s="37" t="n">
        <f aca="false">L95-L96-L$22</f>
        <v>-13800.5789257911</v>
      </c>
      <c r="M97" s="37" t="n">
        <f aca="false">M95-M96-M$22</f>
        <v>-8194.53738447634</v>
      </c>
      <c r="N97" s="37" t="n">
        <f aca="false">N95-N96-N$22</f>
        <v>-6913.29655517315</v>
      </c>
      <c r="O97" s="37" t="n">
        <f aca="false">O95-O96-O$22</f>
        <v>-20579.3363532334</v>
      </c>
      <c r="P97" s="37" t="n">
        <f aca="false">P95-P96-P$22</f>
        <v>-15312.8170403181</v>
      </c>
      <c r="Q97" s="37" t="n">
        <f aca="false">Q95-Q96-Q$22</f>
        <v>-20677.8820641257</v>
      </c>
      <c r="R97" s="37" t="n">
        <f aca="false">R95-R96-R$22</f>
        <v>-11411.0099284868</v>
      </c>
      <c r="S97" s="37" t="n">
        <f aca="false">S95-S96-S$22</f>
        <v>-9372.32670884013</v>
      </c>
      <c r="T97" s="37" t="n">
        <f aca="false">T95-T96-T$22</f>
        <v>-7372.19071887096</v>
      </c>
      <c r="U97" s="37" t="n">
        <f aca="false">U95-U96-U$22</f>
        <v>-4746.93505593129</v>
      </c>
      <c r="V97" s="37" t="n">
        <f aca="false">V95-V96-V$22</f>
        <v>-2356.54372829168</v>
      </c>
      <c r="W97" s="37" t="n">
        <f aca="false">W95-W96-W$22</f>
        <v>-14011.2362390971</v>
      </c>
      <c r="X97" s="37" t="n">
        <f aca="false">X95-X96-X$22</f>
        <v>-8367.97005127112</v>
      </c>
      <c r="Y97" s="37" t="n">
        <f aca="false">Y95-Y96-Y$22</f>
        <v>-845.076636358092</v>
      </c>
      <c r="Z97" s="37" t="n">
        <f aca="false">Z95-Z96-Z$22</f>
        <v>1826.59401788044</v>
      </c>
      <c r="AA97" s="37" t="n">
        <f aca="false">AA95-AA96-AA$22</f>
        <v>-2621.59866593245</v>
      </c>
      <c r="AB97" s="37" t="n">
        <f aca="false">AB95-AB96-AB$22</f>
        <v>109.501847770181</v>
      </c>
      <c r="AC97" s="37" t="n">
        <f aca="false">AC95-AC96-AC$22</f>
        <v>2789.45504492948</v>
      </c>
      <c r="AD97" s="37" t="n">
        <f aca="false">AD95-AD96-AD$22</f>
        <v>-15814.8432864786</v>
      </c>
      <c r="AE97" s="37" t="n">
        <f aca="false">AE95-AE96-AE$22</f>
        <v>3905.51989452271</v>
      </c>
      <c r="AF97" s="37" t="n">
        <f aca="false">AF95-AF96-AF$22</f>
        <v>6771.35637877766</v>
      </c>
      <c r="AG97" s="37" t="n">
        <f aca="false">AG95-AG96-AG$22</f>
        <v>3092.89152590938</v>
      </c>
      <c r="AH97" s="37" t="n">
        <f aca="false">AH95-AH96-AH$22</f>
        <v>7992.57986406498</v>
      </c>
      <c r="AI97" s="37" t="n">
        <f aca="false">AI95-AI96-AI$22</f>
        <v>11034.5598223048</v>
      </c>
      <c r="AJ97" s="37" t="n">
        <f aca="false">AJ95-AJ96-AJ$22</f>
        <v>10665.1573928713</v>
      </c>
      <c r="AK97" s="37" t="n">
        <f aca="false">AK95-AK96-AK$22</f>
        <v>18047.987431987</v>
      </c>
      <c r="AL97" s="37" t="n">
        <f aca="false">AL95-AL96-AL$22</f>
        <v>21367.9411211001</v>
      </c>
      <c r="AM97" s="37" t="n">
        <f aca="false">AM95-AM96-AM$22</f>
        <v>2151.46525984899</v>
      </c>
      <c r="AN97" s="37" t="n">
        <f aca="false">AN95-AN96-AN$22</f>
        <v>9464.57587819235</v>
      </c>
      <c r="AO97" s="37" t="n">
        <f aca="false">AO95-AO96-AO$22</f>
        <v>3108.72530674047</v>
      </c>
      <c r="AP97" s="37" t="n">
        <f aca="false">AP95-AP96-AP$22</f>
        <v>16685.3437799452</v>
      </c>
      <c r="AQ97" s="37" t="n">
        <f aca="false">AQ95-AQ96-AQ$22</f>
        <v>20195.8288767533</v>
      </c>
      <c r="AR97" s="37" t="n">
        <f aca="false">AR95-AR96-AR$22</f>
        <v>23641.5463254879</v>
      </c>
      <c r="AS97" s="37" t="n">
        <f aca="false">AS95-AS96-AS$22</f>
        <v>20159.4720417142</v>
      </c>
      <c r="AT97" s="37" t="n">
        <f aca="false">AT95-AT96-AT$22</f>
        <v>25279.6278756658</v>
      </c>
      <c r="AU97" s="37" t="n">
        <f aca="false">AU95-AU96-AU$22</f>
        <v>10538.9298797836</v>
      </c>
      <c r="AV97" s="37" t="n">
        <f aca="false">AV95-AV96-AV$22</f>
        <v>31738.6240169114</v>
      </c>
      <c r="AW97" s="37" t="n">
        <f aca="false">AW95-AW96-AW$22</f>
        <v>34879.9281196701</v>
      </c>
      <c r="AX97" s="37" t="n">
        <f aca="false">AX95-AX96-AX$22</f>
        <v>37964.0325775242</v>
      </c>
      <c r="AY97" s="37" t="n">
        <f aca="false">AY95-AY96-AY$22</f>
        <v>21701.5151996564</v>
      </c>
      <c r="AZ97" s="37" t="n">
        <f aca="false">AZ95-AZ96-AZ$22</f>
        <v>29335.1358074475</v>
      </c>
      <c r="BA97" s="37" t="n">
        <f aca="false">BA95-BA96-BA$22</f>
        <v>33294.5817627636</v>
      </c>
      <c r="BB97" s="37" t="n">
        <f aca="false">BB95-BB96-BB$22</f>
        <v>19181.3770075199</v>
      </c>
      <c r="BC97" s="37" t="n">
        <f aca="false">BC95-BC96-BC$22</f>
        <v>40997.0109667478</v>
      </c>
      <c r="BD97" s="37" t="n">
        <f aca="false">BD95-BD96-BD$22</f>
        <v>44742.9393939682</v>
      </c>
      <c r="BE97" s="37" t="n">
        <f aca="false">BE95-BE96-BE$22</f>
        <v>48420.5851946009</v>
      </c>
      <c r="BF97" s="37" t="n">
        <f aca="false">BF95-BF96-BF$22</f>
        <v>52031.3392280034</v>
      </c>
      <c r="BG97" s="37" t="n">
        <f aca="false">BG95-BG96-BG$22</f>
        <v>55576.5610887202</v>
      </c>
      <c r="BH97" s="37" t="n">
        <f aca="false">BH95-BH96-BH$22</f>
        <v>54057.579867505</v>
      </c>
      <c r="BI97" s="37" t="n">
        <f aca="false">BI95-BI96-BI$22</f>
        <v>62475.6948926632</v>
      </c>
      <c r="BJ97" s="37" t="n">
        <f aca="false">BJ95-BJ96-BJ$22</f>
        <v>65832.1764522458</v>
      </c>
    </row>
    <row r="98" customFormat="false" ht="15" hidden="false" customHeight="false" outlineLevel="0" collapsed="false">
      <c r="B98" s="5" t="s">
        <v>401</v>
      </c>
      <c r="C98" s="37" t="n">
        <f aca="false">0+C97-C$23-C$24</f>
        <v>-16269.7771556171</v>
      </c>
      <c r="D98" s="37" t="n">
        <f aca="false">C98+D97-D$23-D$24</f>
        <v>-22393.1257005992</v>
      </c>
      <c r="E98" s="37" t="n">
        <f aca="false">D98+E97-E$23-E$24</f>
        <v>-28976.6670715891</v>
      </c>
      <c r="F98" s="37" t="n">
        <f aca="false">E98+F97-F$23-F$24</f>
        <v>-42916.4457633897</v>
      </c>
      <c r="G98" s="37" t="n">
        <f aca="false">F98+G97-G$23-G$24</f>
        <v>-47171.3679669856</v>
      </c>
      <c r="H98" s="37" t="n">
        <f aca="false">G98+H97-H$23-H$24</f>
        <v>-50754.5077930756</v>
      </c>
      <c r="I98" s="37" t="n">
        <f aca="false">H98+I97-I$23-I$24</f>
        <v>-59606.2252241839</v>
      </c>
      <c r="J98" s="37" t="n">
        <f aca="false">I98+J97-J$23-J$24</f>
        <v>-65653.6079517064</v>
      </c>
      <c r="K98" s="37" t="n">
        <f aca="false">J98+K97-K$23-K$24</f>
        <v>-70715.7807182924</v>
      </c>
      <c r="L98" s="37" t="n">
        <f aca="false">K98+L97-L$23-L$24</f>
        <v>-84933.0263107501</v>
      </c>
      <c r="M98" s="37" t="n">
        <f aca="false">L98+M97-M$23-M$24</f>
        <v>-93544.2303618931</v>
      </c>
      <c r="N98" s="37" t="n">
        <f aca="false">M98+N97-N$23-N$24</f>
        <v>-100874.193583733</v>
      </c>
      <c r="O98" s="37" t="n">
        <f aca="false">N98+O97-O$23-O$24</f>
        <v>-121870.196603633</v>
      </c>
      <c r="P98" s="37" t="n">
        <f aca="false">O98+P97-P$23-P$24</f>
        <v>-137599.680310618</v>
      </c>
      <c r="Q98" s="37" t="n">
        <f aca="false">P98+Q97-Q$23-Q$24</f>
        <v>-158694.22904141</v>
      </c>
      <c r="R98" s="37" t="n">
        <f aca="false">Q98+R97-R$23-R$24</f>
        <v>-170521.905636564</v>
      </c>
      <c r="S98" s="37" t="n">
        <f aca="false">R98+S97-S$23-S$24</f>
        <v>-180310.89901207</v>
      </c>
      <c r="T98" s="37" t="n">
        <f aca="false">S98+T97-T$23-T$24</f>
        <v>-188099.756397608</v>
      </c>
      <c r="U98" s="37" t="n">
        <f aca="false">T98+U97-U$23-U$24</f>
        <v>-193263.358120206</v>
      </c>
      <c r="V98" s="37" t="n">
        <f aca="false">U98+V97-V$23-V$24</f>
        <v>-196036.568515164</v>
      </c>
      <c r="W98" s="37" t="n">
        <f aca="false">V98+W97-W$23-W$24</f>
        <v>-210464.471420928</v>
      </c>
      <c r="X98" s="37" t="n">
        <f aca="false">W98+X97-X$23-X$24</f>
        <v>-219249.108138866</v>
      </c>
      <c r="Y98" s="37" t="n">
        <f aca="false">X98+Y97-Y$23-Y$24</f>
        <v>-220510.851441891</v>
      </c>
      <c r="Z98" s="37" t="n">
        <f aca="false">Y98+Z97-Z$23-Z$24</f>
        <v>-219100.924090677</v>
      </c>
      <c r="AA98" s="37" t="n">
        <f aca="false">Z98+AA97-AA$23-AA$24</f>
        <v>-223441.272756609</v>
      </c>
      <c r="AB98" s="37" t="n">
        <f aca="false">AA98+AB97-AB$23-AB$24</f>
        <v>-225046.180631061</v>
      </c>
      <c r="AC98" s="37" t="n">
        <f aca="false">AB98+AC97-AC$23-AC$24</f>
        <v>-223966.795030576</v>
      </c>
      <c r="AD98" s="37" t="n">
        <f aca="false">AC98+AD97-AD$23-AD$24</f>
        <v>-241487.367483722</v>
      </c>
      <c r="AE98" s="37" t="n">
        <f aca="false">AD98+AE97-AE$23-AE$24</f>
        <v>-239283.236478088</v>
      </c>
      <c r="AF98" s="37" t="n">
        <f aca="false">AE98+AF97-AF$23-AF$24</f>
        <v>-234208.928710421</v>
      </c>
      <c r="AG98" s="37" t="n">
        <f aca="false">AF98+AG97-AG$23-AG$24</f>
        <v>-232808.745517845</v>
      </c>
      <c r="AH98" s="37" t="n">
        <f aca="false">AG98+AH97-AH$23-AH$24</f>
        <v>-226504.533709336</v>
      </c>
      <c r="AI98" s="37" t="n">
        <f aca="false">AH98+AI97-AI$23-AI$24</f>
        <v>-217154.001664809</v>
      </c>
      <c r="AJ98" s="37" t="n">
        <f aca="false">AI98+AJ97-AJ$23-AJ$24</f>
        <v>-208168.531771937</v>
      </c>
      <c r="AK98" s="37" t="n">
        <f aca="false">AJ98+AK97-AK$23-AK$24</f>
        <v>-191795.891562173</v>
      </c>
      <c r="AL98" s="37" t="n">
        <f aca="false">AK98+AL97-AL$23-AL$24</f>
        <v>-172098.957385517</v>
      </c>
      <c r="AM98" s="37" t="n">
        <f aca="false">AL98+AM97-AM$23-AM$24</f>
        <v>-171614.158792335</v>
      </c>
      <c r="AN98" s="37" t="n">
        <f aca="false">AM98+AN97-AN$23-AN$24</f>
        <v>-163811.909303031</v>
      </c>
      <c r="AO98" s="37" t="n">
        <f aca="false">AN98+AO97-AO$23-AO$24</f>
        <v>-162361.170107402</v>
      </c>
      <c r="AP98" s="37" t="n">
        <f aca="false">AO98+AP97-AP$23-AP$24</f>
        <v>-147329.47216079</v>
      </c>
      <c r="AQ98" s="37" t="n">
        <f aca="false">AP98+AQ97-AQ$23-AQ$24</f>
        <v>-128782.948839592</v>
      </c>
      <c r="AR98" s="37" t="n">
        <f aca="false">AQ98+AR97-AR$23-AR$24</f>
        <v>-106786.367791882</v>
      </c>
      <c r="AS98" s="37" t="n">
        <f aca="false">AR98+AS97-AS$23-AS$24</f>
        <v>-88267.520750168</v>
      </c>
      <c r="AT98" s="37" t="n">
        <f aca="false">AS98+AT97-AT$23-AT$24</f>
        <v>-64624.1775967245</v>
      </c>
      <c r="AU98" s="37" t="n">
        <f aca="false">AT98+AU97-AU$23-AU$24</f>
        <v>-55717.1921613853</v>
      </c>
      <c r="AV98" s="37" t="n">
        <f aca="false">AU98+AV97-AV$23-AV$24</f>
        <v>-25606.1723111406</v>
      </c>
      <c r="AW98" s="37" t="n">
        <f aca="false">AV98+AW97-AW$23-AW$24</f>
        <v>7650.49191964061</v>
      </c>
      <c r="AX98" s="37" t="n">
        <f aca="false">AW98+AX97-AX$23-AX$24</f>
        <v>43995.6008860537</v>
      </c>
      <c r="AY98" s="37" t="n">
        <f aca="false">AX98+AY97-AY$23-AY$24</f>
        <v>64082.5327523767</v>
      </c>
      <c r="AZ98" s="37" t="n">
        <f aca="false">AY98+AZ97-AZ$23-AZ$24</f>
        <v>91807.4255042687</v>
      </c>
      <c r="BA98" s="37" t="n">
        <f aca="false">AZ98+BA97-BA$23-BA$24</f>
        <v>123496.104489254</v>
      </c>
      <c r="BB98" s="37" t="n">
        <f aca="false">BA98+BB97-BB$23-BB$24</f>
        <v>141075.918996774</v>
      </c>
      <c r="BC98" s="37" t="n">
        <f aca="false">BB98+BC97-BC$23-BC$24</f>
        <v>180475.7077413</v>
      </c>
      <c r="BD98" s="37" t="n">
        <f aca="false">BC98+BD97-BD$23-BD$24</f>
        <v>223625.765190824</v>
      </c>
      <c r="BE98" s="37" t="n">
        <f aca="false">BD98+BE97-BE$23-BE$24</f>
        <v>270457.808718758</v>
      </c>
      <c r="BF98" s="37" t="n">
        <f aca="false">BE98+BF97-BF$23-BF$24</f>
        <v>320904.946557873</v>
      </c>
      <c r="BG98" s="37" t="n">
        <f aca="false">BF98+BG97-BG$23-BG$24</f>
        <v>374901.646535482</v>
      </c>
      <c r="BH98" s="37" t="n">
        <f aca="false">BG98+BH97-BH$23-BH$24</f>
        <v>427383.705569653</v>
      </c>
      <c r="BI98" s="37" t="n">
        <f aca="false">BH98+BI97-BI$23-BI$24</f>
        <v>488288.219906761</v>
      </c>
      <c r="BJ98" s="37" t="n">
        <f aca="false">BI98+BJ97-BJ$23-BJ$24</f>
        <v>552553.556081229</v>
      </c>
    </row>
    <row r="99" customFormat="false" ht="15" hidden="false" customHeight="false" outlineLevel="0" collapsed="false">
      <c r="B99" s="5" t="s">
        <v>402</v>
      </c>
      <c r="C99" s="38" t="n">
        <f aca="false">IF(C97&gt;=0,C$19,999)</f>
        <v>999</v>
      </c>
      <c r="D99" s="38" t="n">
        <f aca="false">IF(D97&gt;=0,D$19,999)</f>
        <v>999</v>
      </c>
      <c r="E99" s="38" t="n">
        <f aca="false">IF(E97&gt;=0,E$19,999)</f>
        <v>999</v>
      </c>
      <c r="F99" s="38" t="n">
        <f aca="false">IF(F97&gt;=0,F$19,999)</f>
        <v>999</v>
      </c>
      <c r="G99" s="38" t="n">
        <f aca="false">IF(G97&gt;=0,G$19,999)</f>
        <v>999</v>
      </c>
      <c r="H99" s="38" t="n">
        <f aca="false">IF(H97&gt;=0,H$19,999)</f>
        <v>999</v>
      </c>
      <c r="I99" s="38" t="n">
        <f aca="false">IF(I97&gt;=0,I$19,999)</f>
        <v>999</v>
      </c>
      <c r="J99" s="38" t="n">
        <f aca="false">IF(J97&gt;=0,J$19,999)</f>
        <v>999</v>
      </c>
      <c r="K99" s="38" t="n">
        <f aca="false">IF(K97&gt;=0,K$19,999)</f>
        <v>999</v>
      </c>
      <c r="L99" s="38" t="n">
        <f aca="false">IF(L97&gt;=0,L$19,999)</f>
        <v>999</v>
      </c>
      <c r="M99" s="38" t="n">
        <f aca="false">IF(M97&gt;=0,M$19,999)</f>
        <v>999</v>
      </c>
      <c r="N99" s="38" t="n">
        <f aca="false">IF(N97&gt;=0,N$19,999)</f>
        <v>999</v>
      </c>
      <c r="O99" s="38" t="n">
        <f aca="false">IF(O97&gt;=0,O$19,999)</f>
        <v>999</v>
      </c>
      <c r="P99" s="38" t="n">
        <f aca="false">IF(P97&gt;=0,P$19,999)</f>
        <v>999</v>
      </c>
      <c r="Q99" s="38" t="n">
        <f aca="false">IF(Q97&gt;=0,Q$19,999)</f>
        <v>999</v>
      </c>
      <c r="R99" s="38" t="n">
        <f aca="false">IF(R97&gt;=0,R$19,999)</f>
        <v>999</v>
      </c>
      <c r="S99" s="38" t="n">
        <f aca="false">IF(S97&gt;=0,S$19,999)</f>
        <v>999</v>
      </c>
      <c r="T99" s="38" t="n">
        <f aca="false">IF(T97&gt;=0,T$19,999)</f>
        <v>999</v>
      </c>
      <c r="U99" s="38" t="n">
        <f aca="false">IF(U97&gt;=0,U$19,999)</f>
        <v>999</v>
      </c>
      <c r="V99" s="38" t="n">
        <f aca="false">IF(V97&gt;=0,V$19,999)</f>
        <v>999</v>
      </c>
      <c r="W99" s="38" t="n">
        <f aca="false">IF(W97&gt;=0,W$19,999)</f>
        <v>999</v>
      </c>
      <c r="X99" s="38" t="n">
        <f aca="false">IF(X97&gt;=0,X$19,999)</f>
        <v>999</v>
      </c>
      <c r="Y99" s="38" t="n">
        <f aca="false">IF(Y97&gt;=0,Y$19,999)</f>
        <v>999</v>
      </c>
      <c r="Z99" s="38" t="n">
        <f aca="false">IF(Z97&gt;=0,Z$19,999)</f>
        <v>24</v>
      </c>
      <c r="AA99" s="38" t="n">
        <f aca="false">IF(AA97&gt;=0,AA$19,999)</f>
        <v>999</v>
      </c>
      <c r="AB99" s="38" t="n">
        <f aca="false">IF(AB97&gt;=0,AB$19,999)</f>
        <v>26</v>
      </c>
      <c r="AC99" s="38" t="n">
        <f aca="false">IF(AC97&gt;=0,AC$19,999)</f>
        <v>27</v>
      </c>
      <c r="AD99" s="38" t="n">
        <f aca="false">IF(AD97&gt;=0,AD$19,999)</f>
        <v>999</v>
      </c>
      <c r="AE99" s="38" t="n">
        <f aca="false">IF(AE97&gt;=0,AE$19,999)</f>
        <v>29</v>
      </c>
      <c r="AF99" s="38" t="n">
        <f aca="false">IF(AF97&gt;=0,AF$19,999)</f>
        <v>30</v>
      </c>
      <c r="AG99" s="38" t="n">
        <f aca="false">IF(AG97&gt;=0,AG$19,999)</f>
        <v>31</v>
      </c>
      <c r="AH99" s="38" t="n">
        <f aca="false">IF(AH97&gt;=0,AH$19,999)</f>
        <v>32</v>
      </c>
      <c r="AI99" s="38" t="n">
        <f aca="false">IF(AI97&gt;=0,AI$19,999)</f>
        <v>33</v>
      </c>
      <c r="AJ99" s="38" t="n">
        <f aca="false">IF(AJ97&gt;=0,AJ$19,999)</f>
        <v>34</v>
      </c>
      <c r="AK99" s="38" t="n">
        <f aca="false">IF(AK97&gt;=0,AK$19,999)</f>
        <v>35</v>
      </c>
      <c r="AL99" s="38" t="n">
        <f aca="false">IF(AL97&gt;=0,AL$19,999)</f>
        <v>36</v>
      </c>
      <c r="AM99" s="38" t="n">
        <f aca="false">IF(AM97&gt;=0,AM$19,999)</f>
        <v>37</v>
      </c>
      <c r="AN99" s="38" t="n">
        <f aca="false">IF(AN97&gt;=0,AN$19,999)</f>
        <v>38</v>
      </c>
      <c r="AO99" s="38" t="n">
        <f aca="false">IF(AO97&gt;=0,AO$19,999)</f>
        <v>39</v>
      </c>
      <c r="AP99" s="38" t="n">
        <f aca="false">IF(AP97&gt;=0,AP$19,999)</f>
        <v>40</v>
      </c>
      <c r="AQ99" s="38" t="n">
        <f aca="false">IF(AQ97&gt;=0,AQ$19,999)</f>
        <v>41</v>
      </c>
      <c r="AR99" s="38" t="n">
        <f aca="false">IF(AR97&gt;=0,AR$19,999)</f>
        <v>42</v>
      </c>
      <c r="AS99" s="38" t="n">
        <f aca="false">IF(AS97&gt;=0,AS$19,999)</f>
        <v>43</v>
      </c>
      <c r="AT99" s="38" t="n">
        <f aca="false">IF(AT97&gt;=0,AT$19,999)</f>
        <v>44</v>
      </c>
      <c r="AU99" s="38" t="n">
        <f aca="false">IF(AU97&gt;=0,AU$19,999)</f>
        <v>45</v>
      </c>
      <c r="AV99" s="38" t="n">
        <f aca="false">IF(AV97&gt;=0,AV$19,999)</f>
        <v>46</v>
      </c>
      <c r="AW99" s="38" t="n">
        <f aca="false">IF(AW97&gt;=0,AW$19,999)</f>
        <v>47</v>
      </c>
      <c r="AX99" s="38" t="n">
        <f aca="false">IF(AX97&gt;=0,AX$19,999)</f>
        <v>48</v>
      </c>
      <c r="AY99" s="38" t="n">
        <f aca="false">IF(AY97&gt;=0,AY$19,999)</f>
        <v>49</v>
      </c>
      <c r="AZ99" s="38" t="n">
        <f aca="false">IF(AZ97&gt;=0,AZ$19,999)</f>
        <v>50</v>
      </c>
      <c r="BA99" s="38" t="n">
        <f aca="false">IF(BA97&gt;=0,BA$19,999)</f>
        <v>51</v>
      </c>
      <c r="BB99" s="38" t="n">
        <f aca="false">IF(BB97&gt;=0,BB$19,999)</f>
        <v>52</v>
      </c>
      <c r="BC99" s="38" t="n">
        <f aca="false">IF(BC97&gt;=0,BC$19,999)</f>
        <v>53</v>
      </c>
      <c r="BD99" s="38" t="n">
        <f aca="false">IF(BD97&gt;=0,BD$19,999)</f>
        <v>54</v>
      </c>
      <c r="BE99" s="38" t="n">
        <f aca="false">IF(BE97&gt;=0,BE$19,999)</f>
        <v>55</v>
      </c>
      <c r="BF99" s="38" t="n">
        <f aca="false">IF(BF97&gt;=0,BF$19,999)</f>
        <v>56</v>
      </c>
      <c r="BG99" s="38" t="n">
        <f aca="false">IF(BG97&gt;=0,BG$19,999)</f>
        <v>57</v>
      </c>
      <c r="BH99" s="38" t="n">
        <f aca="false">IF(BH97&gt;=0,BH$19,999)</f>
        <v>58</v>
      </c>
      <c r="BI99" s="38" t="n">
        <f aca="false">IF(BI97&gt;=0,BI$19,999)</f>
        <v>59</v>
      </c>
      <c r="BJ99" s="38" t="n">
        <f aca="false">IF(BJ97&gt;=0,BJ$19,999)</f>
        <v>60</v>
      </c>
    </row>
    <row r="100" customFormat="false" ht="15" hidden="false" customHeight="false" outlineLevel="0" collapsed="false">
      <c r="B100" s="19" t="str">
        <f aca="false">"Szenario "&amp;A11&amp;": "&amp;B11</f>
        <v>Szenario 7: Wachstum −30 %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</row>
    <row r="101" customFormat="false" ht="15" hidden="false" customHeight="false" outlineLevel="0" collapsed="false">
      <c r="B101" s="5" t="s">
        <v>396</v>
      </c>
      <c r="C101" s="41" t="n">
        <f aca="false">Annahmen!$B$7*Annahmen!$B$19*(1-Annahmen!$B$31*$C$11)+C$21*$E$11*Annahmen!$B$19</f>
        <v>3.475</v>
      </c>
      <c r="D101" s="41" t="n">
        <f aca="false">C101*(1-Annahmen!$B$31*$C$11)+D$21*$E$11*Annahmen!$B$19</f>
        <v>4.42075</v>
      </c>
      <c r="E101" s="41" t="n">
        <f aca="false">D101*(1-Annahmen!$B$31*$C$11)+E$21*$E$11*Annahmen!$B$19</f>
        <v>5.3381275</v>
      </c>
      <c r="F101" s="41" t="n">
        <f aca="false">E101*(1-Annahmen!$B$31*$C$11)+F$21*$E$11*Annahmen!$B$19</f>
        <v>7.277983675</v>
      </c>
      <c r="G101" s="41" t="n">
        <f aca="false">F101*(1-Annahmen!$B$31*$C$11)+G$21*$E$11*Annahmen!$B$19</f>
        <v>9.15964416475</v>
      </c>
      <c r="H101" s="41" t="n">
        <f aca="false">G101*(1-Annahmen!$B$31*$C$11)+H$21*$E$11*Annahmen!$B$19</f>
        <v>10.9848548398075</v>
      </c>
      <c r="I101" s="41" t="n">
        <f aca="false">H101*(1-Annahmen!$B$31*$C$11)+I$21*$E$11*Annahmen!$B$19</f>
        <v>13.8053091946133</v>
      </c>
      <c r="J101" s="41" t="n">
        <f aca="false">I101*(1-Annahmen!$B$31*$C$11)+J$21*$E$11*Annahmen!$B$19</f>
        <v>16.5411499187749</v>
      </c>
      <c r="K101" s="41" t="n">
        <f aca="false">J101*(1-Annahmen!$B$31*$C$11)+K$21*$E$11*Annahmen!$B$19</f>
        <v>19.1949154212116</v>
      </c>
      <c r="L101" s="41" t="n">
        <f aca="false">K101*(1-Annahmen!$B$31*$C$11)+L$21*$E$11*Annahmen!$B$19</f>
        <v>22.8190679585753</v>
      </c>
      <c r="M101" s="41" t="n">
        <f aca="false">L101*(1-Annahmen!$B$31*$C$11)+M$21*$E$11*Annahmen!$B$19</f>
        <v>26.334495919818</v>
      </c>
      <c r="N101" s="41" t="n">
        <f aca="false">M101*(1-Annahmen!$B$31*$C$11)+N$21*$E$11*Annahmen!$B$19</f>
        <v>29.7444610422235</v>
      </c>
      <c r="O101" s="41" t="n">
        <f aca="false">N101*(1-Annahmen!$B$31*$C$11)+O$21*$E$11*Annahmen!$B$19</f>
        <v>34.4521272109568</v>
      </c>
      <c r="P101" s="41" t="n">
        <f aca="false">O101*(1-Annahmen!$B$31*$C$11)+P$21*$E$11*Annahmen!$B$19</f>
        <v>39.0185633946281</v>
      </c>
      <c r="Q101" s="41" t="n">
        <f aca="false">P101*(1-Annahmen!$B$31*$C$11)+Q$21*$E$11*Annahmen!$B$19</f>
        <v>43.4480064927892</v>
      </c>
      <c r="R101" s="41" t="n">
        <f aca="false">Q101*(1-Annahmen!$B$31*$C$11)+R$21*$E$11*Annahmen!$B$19</f>
        <v>49.1445662980056</v>
      </c>
      <c r="S101" s="41" t="n">
        <f aca="false">R101*(1-Annahmen!$B$31*$C$11)+S$21*$E$11*Annahmen!$B$19</f>
        <v>54.6702293090654</v>
      </c>
      <c r="T101" s="41" t="n">
        <f aca="false">S101*(1-Annahmen!$B$31*$C$11)+T$21*$E$11*Annahmen!$B$19</f>
        <v>60.0301224297934</v>
      </c>
      <c r="U101" s="41" t="n">
        <f aca="false">T101*(1-Annahmen!$B$31*$C$11)+U$21*$E$11*Annahmen!$B$19</f>
        <v>66.6292187568996</v>
      </c>
      <c r="V101" s="41" t="n">
        <f aca="false">U101*(1-Annahmen!$B$31*$C$11)+V$21*$E$11*Annahmen!$B$19</f>
        <v>73.0303421941926</v>
      </c>
      <c r="W101" s="41" t="n">
        <f aca="false">V101*(1-Annahmen!$B$31*$C$11)+W$21*$E$11*Annahmen!$B$19</f>
        <v>79.2394319283669</v>
      </c>
      <c r="X101" s="41" t="n">
        <f aca="false">W101*(1-Annahmen!$B$31*$C$11)+X$21*$E$11*Annahmen!$B$19</f>
        <v>86.6622489705159</v>
      </c>
      <c r="Y101" s="41" t="n">
        <f aca="false">X101*(1-Annahmen!$B$31*$C$11)+Y$21*$E$11*Annahmen!$B$19</f>
        <v>93.8623815014004</v>
      </c>
      <c r="Z101" s="41" t="n">
        <f aca="false">Y101*(1-Annahmen!$B$31*$C$11)+Z$21*$E$11*Annahmen!$B$19</f>
        <v>100.846510056358</v>
      </c>
      <c r="AA101" s="41" t="n">
        <f aca="false">Z101*(1-Annahmen!$B$31*$C$11)+AA$21*$E$11*Annahmen!$B$19</f>
        <v>108.321114754668</v>
      </c>
      <c r="AB101" s="41" t="n">
        <f aca="false">AA101*(1-Annahmen!$B$31*$C$11)+AB$21*$E$11*Annahmen!$B$19</f>
        <v>115.571481312028</v>
      </c>
      <c r="AC101" s="41" t="n">
        <f aca="false">AB101*(1-Annahmen!$B$31*$C$11)+AC$21*$E$11*Annahmen!$B$19</f>
        <v>122.604336872667</v>
      </c>
      <c r="AD101" s="41" t="n">
        <f aca="false">AC101*(1-Annahmen!$B$31*$C$11)+AD$21*$E$11*Annahmen!$B$19</f>
        <v>130.476206766487</v>
      </c>
      <c r="AE101" s="41" t="n">
        <f aca="false">AD101*(1-Annahmen!$B$31*$C$11)+AE$21*$E$11*Annahmen!$B$19</f>
        <v>138.111920563492</v>
      </c>
      <c r="AF101" s="41" t="n">
        <f aca="false">AE101*(1-Annahmen!$B$31*$C$11)+AF$21*$E$11*Annahmen!$B$19</f>
        <v>145.518562946587</v>
      </c>
      <c r="AG101" s="41" t="n">
        <f aca="false">AF101*(1-Annahmen!$B$31*$C$11)+AG$21*$E$11*Annahmen!$B$19</f>
        <v>153.75300605819</v>
      </c>
      <c r="AH101" s="41" t="n">
        <f aca="false">AG101*(1-Annahmen!$B$31*$C$11)+AH$21*$E$11*Annahmen!$B$19</f>
        <v>161.740415876444</v>
      </c>
      <c r="AI101" s="41" t="n">
        <f aca="false">AH101*(1-Annahmen!$B$31*$C$11)+AI$21*$E$11*Annahmen!$B$19</f>
        <v>169.488203400151</v>
      </c>
      <c r="AJ101" s="41" t="n">
        <f aca="false">AI101*(1-Annahmen!$B$31*$C$11)+AJ$21*$E$11*Annahmen!$B$19</f>
        <v>178.403557298146</v>
      </c>
      <c r="AK101" s="41" t="n">
        <f aca="false">AJ101*(1-Annahmen!$B$31*$C$11)+AK$21*$E$11*Annahmen!$B$19</f>
        <v>187.051450579202</v>
      </c>
      <c r="AL101" s="41" t="n">
        <f aca="false">AK101*(1-Annahmen!$B$31*$C$11)+AL$21*$E$11*Annahmen!$B$19</f>
        <v>195.439907061826</v>
      </c>
      <c r="AM101" s="41" t="n">
        <f aca="false">AL101*(1-Annahmen!$B$31*$C$11)+AM$21*$E$11*Annahmen!$B$19</f>
        <v>205.326709849971</v>
      </c>
      <c r="AN101" s="41" t="n">
        <f aca="false">AM101*(1-Annahmen!$B$31*$C$11)+AN$21*$E$11*Annahmen!$B$19</f>
        <v>214.916908554472</v>
      </c>
      <c r="AO101" s="41" t="n">
        <f aca="false">AN101*(1-Annahmen!$B$31*$C$11)+AO$21*$E$11*Annahmen!$B$19</f>
        <v>224.219401297838</v>
      </c>
      <c r="AP101" s="41" t="n">
        <f aca="false">AO101*(1-Annahmen!$B$31*$C$11)+AP$21*$E$11*Annahmen!$B$19</f>
        <v>233.242819258903</v>
      </c>
      <c r="AQ101" s="41" t="n">
        <f aca="false">AP101*(1-Annahmen!$B$31*$C$11)+AQ$21*$E$11*Annahmen!$B$19</f>
        <v>241.995534681135</v>
      </c>
      <c r="AR101" s="41" t="n">
        <f aca="false">AQ101*(1-Annahmen!$B$31*$C$11)+AR$21*$E$11*Annahmen!$B$19</f>
        <v>250.485668640701</v>
      </c>
      <c r="AS101" s="41" t="n">
        <f aca="false">AR101*(1-Annahmen!$B$31*$C$11)+AS$21*$E$11*Annahmen!$B$19</f>
        <v>258.72109858148</v>
      </c>
      <c r="AT101" s="41" t="n">
        <f aca="false">AS101*(1-Annahmen!$B$31*$C$11)+AT$21*$E$11*Annahmen!$B$19</f>
        <v>266.709465624036</v>
      </c>
      <c r="AU101" s="41" t="n">
        <f aca="false">AT101*(1-Annahmen!$B$31*$C$11)+AU$21*$E$11*Annahmen!$B$19</f>
        <v>274.458181655315</v>
      </c>
      <c r="AV101" s="41" t="n">
        <f aca="false">AU101*(1-Annahmen!$B$31*$C$11)+AV$21*$E$11*Annahmen!$B$19</f>
        <v>281.974436205655</v>
      </c>
      <c r="AW101" s="41" t="n">
        <f aca="false">AV101*(1-Annahmen!$B$31*$C$11)+AW$21*$E$11*Annahmen!$B$19</f>
        <v>289.265203119486</v>
      </c>
      <c r="AX101" s="41" t="n">
        <f aca="false">AW101*(1-Annahmen!$B$31*$C$11)+AX$21*$E$11*Annahmen!$B$19</f>
        <v>296.337247025901</v>
      </c>
      <c r="AY101" s="41" t="n">
        <f aca="false">AX101*(1-Annahmen!$B$31*$C$11)+AY$21*$E$11*Annahmen!$B$19</f>
        <v>306.697129615124</v>
      </c>
      <c r="AZ101" s="41" t="n">
        <f aca="false">AY101*(1-Annahmen!$B$31*$C$11)+AZ$21*$E$11*Annahmen!$B$19</f>
        <v>316.74621572667</v>
      </c>
      <c r="BA101" s="41" t="n">
        <f aca="false">AZ101*(1-Annahmen!$B$31*$C$11)+BA$21*$E$11*Annahmen!$B$19</f>
        <v>326.49382925487</v>
      </c>
      <c r="BB101" s="41" t="n">
        <f aca="false">BA101*(1-Annahmen!$B$31*$C$11)+BB$21*$E$11*Annahmen!$B$19</f>
        <v>335.949014377224</v>
      </c>
      <c r="BC101" s="41" t="n">
        <f aca="false">BB101*(1-Annahmen!$B$31*$C$11)+BC$21*$E$11*Annahmen!$B$19</f>
        <v>345.120543945907</v>
      </c>
      <c r="BD101" s="41" t="n">
        <f aca="false">BC101*(1-Annahmen!$B$31*$C$11)+BD$21*$E$11*Annahmen!$B$19</f>
        <v>354.01692762753</v>
      </c>
      <c r="BE101" s="41" t="n">
        <f aca="false">BD101*(1-Annahmen!$B$31*$C$11)+BE$21*$E$11*Annahmen!$B$19</f>
        <v>362.646419798704</v>
      </c>
      <c r="BF101" s="41" t="n">
        <f aca="false">BE101*(1-Annahmen!$B$31*$C$11)+BF$21*$E$11*Annahmen!$B$19</f>
        <v>371.017027204743</v>
      </c>
      <c r="BG101" s="41" t="n">
        <f aca="false">BF101*(1-Annahmen!$B$31*$C$11)+BG$21*$E$11*Annahmen!$B$19</f>
        <v>379.136516388601</v>
      </c>
      <c r="BH101" s="41" t="n">
        <f aca="false">BG101*(1-Annahmen!$B$31*$C$11)+BH$21*$E$11*Annahmen!$B$19</f>
        <v>387.012420896943</v>
      </c>
      <c r="BI101" s="41" t="n">
        <f aca="false">BH101*(1-Annahmen!$B$31*$C$11)+BI$21*$E$11*Annahmen!$B$19</f>
        <v>394.652048270034</v>
      </c>
      <c r="BJ101" s="41" t="n">
        <f aca="false">BI101*(1-Annahmen!$B$31*$C$11)+BJ$21*$E$11*Annahmen!$B$19</f>
        <v>402.062486821933</v>
      </c>
    </row>
    <row r="102" customFormat="false" ht="15" hidden="false" customHeight="false" outlineLevel="0" collapsed="false">
      <c r="B102" s="5" t="s">
        <v>397</v>
      </c>
      <c r="C102" s="41" t="n">
        <f aca="false">Annahmen!$B$7*Annahmen!$B$20*(1-Annahmen!$B$32*$C$11)+C$21*$E$11*Annahmen!$B$20</f>
        <v>2.66</v>
      </c>
      <c r="D102" s="41" t="n">
        <f aca="false">C102*(1-Annahmen!$B$32*$C$11)+D$21*$E$11*Annahmen!$B$20</f>
        <v>3.4048</v>
      </c>
      <c r="E102" s="41" t="n">
        <f aca="false">D102*(1-Annahmen!$B$32*$C$11)+E$21*$E$11*Annahmen!$B$20</f>
        <v>4.134704</v>
      </c>
      <c r="F102" s="41" t="n">
        <f aca="false">E102*(1-Annahmen!$B$32*$C$11)+F$21*$E$11*Annahmen!$B$20</f>
        <v>5.64800992</v>
      </c>
      <c r="G102" s="41" t="n">
        <f aca="false">F102*(1-Annahmen!$B$32*$C$11)+G$21*$E$11*Annahmen!$B$20</f>
        <v>7.1310497216</v>
      </c>
      <c r="H102" s="41" t="n">
        <f aca="false">G102*(1-Annahmen!$B$32*$C$11)+H$21*$E$11*Annahmen!$B$20</f>
        <v>8.584428727168</v>
      </c>
      <c r="I102" s="41" t="n">
        <f aca="false">H102*(1-Annahmen!$B$32*$C$11)+I$21*$E$11*Annahmen!$B$20</f>
        <v>10.8067401526246</v>
      </c>
      <c r="J102" s="41" t="n">
        <f aca="false">I102*(1-Annahmen!$B$32*$C$11)+J$21*$E$11*Annahmen!$B$20</f>
        <v>12.9846053495721</v>
      </c>
      <c r="K102" s="41" t="n">
        <f aca="false">J102*(1-Annahmen!$B$32*$C$11)+K$21*$E$11*Annahmen!$B$20</f>
        <v>15.1189132425807</v>
      </c>
      <c r="L102" s="41" t="n">
        <f aca="false">K102*(1-Annahmen!$B$32*$C$11)+L$21*$E$11*Annahmen!$B$20</f>
        <v>18.0085349777291</v>
      </c>
      <c r="M102" s="41" t="n">
        <f aca="false">L102*(1-Annahmen!$B$32*$C$11)+M$21*$E$11*Annahmen!$B$20</f>
        <v>20.8403642781745</v>
      </c>
      <c r="N102" s="41" t="n">
        <f aca="false">M102*(1-Annahmen!$B$32*$C$11)+N$21*$E$11*Annahmen!$B$20</f>
        <v>23.615556992611</v>
      </c>
      <c r="O102" s="41" t="n">
        <f aca="false">N102*(1-Annahmen!$B$32*$C$11)+O$21*$E$11*Annahmen!$B$20</f>
        <v>27.3992458527588</v>
      </c>
      <c r="P102" s="41" t="n">
        <f aca="false">O102*(1-Annahmen!$B$32*$C$11)+P$21*$E$11*Annahmen!$B$20</f>
        <v>31.1072609357036</v>
      </c>
      <c r="Q102" s="41" t="n">
        <f aca="false">P102*(1-Annahmen!$B$32*$C$11)+Q$21*$E$11*Annahmen!$B$20</f>
        <v>34.7411157169895</v>
      </c>
      <c r="R102" s="41" t="n">
        <f aca="false">Q102*(1-Annahmen!$B$32*$C$11)+R$21*$E$11*Annahmen!$B$20</f>
        <v>39.3662934026498</v>
      </c>
      <c r="S102" s="41" t="n">
        <f aca="false">R102*(1-Annahmen!$B$32*$C$11)+S$21*$E$11*Annahmen!$B$20</f>
        <v>43.8989675345968</v>
      </c>
      <c r="T102" s="41" t="n">
        <f aca="false">S102*(1-Annahmen!$B$32*$C$11)+T$21*$E$11*Annahmen!$B$20</f>
        <v>48.3409881839048</v>
      </c>
      <c r="U102" s="41" t="n">
        <f aca="false">T102*(1-Annahmen!$B$32*$C$11)+U$21*$E$11*Annahmen!$B$20</f>
        <v>53.7581684202267</v>
      </c>
      <c r="V102" s="41" t="n">
        <f aca="false">U102*(1-Annahmen!$B$32*$C$11)+V$21*$E$11*Annahmen!$B$20</f>
        <v>59.0670050518222</v>
      </c>
      <c r="W102" s="41" t="n">
        <f aca="false">V102*(1-Annahmen!$B$32*$C$11)+W$21*$E$11*Annahmen!$B$20</f>
        <v>64.2696649507857</v>
      </c>
      <c r="X102" s="41" t="n">
        <f aca="false">W102*(1-Annahmen!$B$32*$C$11)+X$21*$E$11*Annahmen!$B$20</f>
        <v>70.43227165177</v>
      </c>
      <c r="Y102" s="41" t="n">
        <f aca="false">X102*(1-Annahmen!$B$32*$C$11)+Y$21*$E$11*Annahmen!$B$20</f>
        <v>76.4716262187346</v>
      </c>
      <c r="Z102" s="41" t="n">
        <f aca="false">Y102*(1-Annahmen!$B$32*$C$11)+Z$21*$E$11*Annahmen!$B$20</f>
        <v>82.3901936943599</v>
      </c>
      <c r="AA102" s="41" t="n">
        <f aca="false">Z102*(1-Annahmen!$B$32*$C$11)+AA$21*$E$11*Annahmen!$B$20</f>
        <v>88.7223898204727</v>
      </c>
      <c r="AB102" s="41" t="n">
        <f aca="false">AA102*(1-Annahmen!$B$32*$C$11)+AB$21*$E$11*Annahmen!$B$20</f>
        <v>94.9279420240633</v>
      </c>
      <c r="AC102" s="41" t="n">
        <f aca="false">AB102*(1-Annahmen!$B$32*$C$11)+AC$21*$E$11*Annahmen!$B$20</f>
        <v>101.009383183582</v>
      </c>
      <c r="AD102" s="41" t="n">
        <f aca="false">AC102*(1-Annahmen!$B$32*$C$11)+AD$21*$E$11*Annahmen!$B$20</f>
        <v>107.76719551991</v>
      </c>
      <c r="AE102" s="41" t="n">
        <f aca="false">AD102*(1-Annahmen!$B$32*$C$11)+AE$21*$E$11*Annahmen!$B$20</f>
        <v>114.389851609512</v>
      </c>
      <c r="AF102" s="41" t="n">
        <f aca="false">AE102*(1-Annahmen!$B$32*$C$11)+AF$21*$E$11*Annahmen!$B$20</f>
        <v>120.880054577322</v>
      </c>
      <c r="AG102" s="41" t="n">
        <f aca="false">AF102*(1-Annahmen!$B$32*$C$11)+AG$21*$E$11*Annahmen!$B$20</f>
        <v>128.038453485775</v>
      </c>
      <c r="AH102" s="41" t="n">
        <f aca="false">AG102*(1-Annahmen!$B$32*$C$11)+AH$21*$E$11*Annahmen!$B$20</f>
        <v>135.05368441606</v>
      </c>
      <c r="AI102" s="41" t="n">
        <f aca="false">AH102*(1-Annahmen!$B$32*$C$11)+AI$21*$E$11*Annahmen!$B$20</f>
        <v>141.928610727739</v>
      </c>
      <c r="AJ102" s="41" t="n">
        <f aca="false">AI102*(1-Annahmen!$B$32*$C$11)+AJ$21*$E$11*Annahmen!$B$20</f>
        <v>149.730038513184</v>
      </c>
      <c r="AK102" s="41" t="n">
        <f aca="false">AJ102*(1-Annahmen!$B$32*$C$11)+AK$21*$E$11*Annahmen!$B$20</f>
        <v>157.37543774292</v>
      </c>
      <c r="AL102" s="41" t="n">
        <f aca="false">AK102*(1-Annahmen!$B$32*$C$11)+AL$21*$E$11*Annahmen!$B$20</f>
        <v>164.867928988062</v>
      </c>
      <c r="AM102" s="41" t="n">
        <f aca="false">AL102*(1-Annahmen!$B$32*$C$11)+AM$21*$E$11*Annahmen!$B$20</f>
        <v>173.540570408301</v>
      </c>
      <c r="AN102" s="41" t="n">
        <f aca="false">AM102*(1-Annahmen!$B$32*$C$11)+AN$21*$E$11*Annahmen!$B$20</f>
        <v>182.039759000135</v>
      </c>
      <c r="AO102" s="41" t="n">
        <f aca="false">AN102*(1-Annahmen!$B$32*$C$11)+AO$21*$E$11*Annahmen!$B$20</f>
        <v>190.368963820132</v>
      </c>
      <c r="AP102" s="41" t="n">
        <f aca="false">AO102*(1-Annahmen!$B$32*$C$11)+AP$21*$E$11*Annahmen!$B$20</f>
        <v>198.531584543729</v>
      </c>
      <c r="AQ102" s="41" t="n">
        <f aca="false">AP102*(1-Annahmen!$B$32*$C$11)+AQ$21*$E$11*Annahmen!$B$20</f>
        <v>206.530952852855</v>
      </c>
      <c r="AR102" s="41" t="n">
        <f aca="false">AQ102*(1-Annahmen!$B$32*$C$11)+AR$21*$E$11*Annahmen!$B$20</f>
        <v>214.370333795798</v>
      </c>
      <c r="AS102" s="41" t="n">
        <f aca="false">AR102*(1-Annahmen!$B$32*$C$11)+AS$21*$E$11*Annahmen!$B$20</f>
        <v>222.052927119882</v>
      </c>
      <c r="AT102" s="41" t="n">
        <f aca="false">AS102*(1-Annahmen!$B$32*$C$11)+AT$21*$E$11*Annahmen!$B$20</f>
        <v>229.581868577484</v>
      </c>
      <c r="AU102" s="41" t="n">
        <f aca="false">AT102*(1-Annahmen!$B$32*$C$11)+AU$21*$E$11*Annahmen!$B$20</f>
        <v>236.960231205934</v>
      </c>
      <c r="AV102" s="41" t="n">
        <f aca="false">AU102*(1-Annahmen!$B$32*$C$11)+AV$21*$E$11*Annahmen!$B$20</f>
        <v>244.191026581816</v>
      </c>
      <c r="AW102" s="41" t="n">
        <f aca="false">AV102*(1-Annahmen!$B$32*$C$11)+AW$21*$E$11*Annahmen!$B$20</f>
        <v>251.277206050179</v>
      </c>
      <c r="AX102" s="41" t="n">
        <f aca="false">AW102*(1-Annahmen!$B$32*$C$11)+AX$21*$E$11*Annahmen!$B$20</f>
        <v>258.221661929176</v>
      </c>
      <c r="AY102" s="41" t="n">
        <f aca="false">AX102*(1-Annahmen!$B$32*$C$11)+AY$21*$E$11*Annahmen!$B$20</f>
        <v>267.687228690592</v>
      </c>
      <c r="AZ102" s="41" t="n">
        <f aca="false">AY102*(1-Annahmen!$B$32*$C$11)+AZ$21*$E$11*Annahmen!$B$20</f>
        <v>276.96348411678</v>
      </c>
      <c r="BA102" s="41" t="n">
        <f aca="false">AZ102*(1-Annahmen!$B$32*$C$11)+BA$21*$E$11*Annahmen!$B$20</f>
        <v>286.054214434445</v>
      </c>
      <c r="BB102" s="41" t="n">
        <f aca="false">BA102*(1-Annahmen!$B$32*$C$11)+BB$21*$E$11*Annahmen!$B$20</f>
        <v>294.963130145756</v>
      </c>
      <c r="BC102" s="41" t="n">
        <f aca="false">BB102*(1-Annahmen!$B$32*$C$11)+BC$21*$E$11*Annahmen!$B$20</f>
        <v>303.693867542841</v>
      </c>
      <c r="BD102" s="41" t="n">
        <f aca="false">BC102*(1-Annahmen!$B$32*$C$11)+BD$21*$E$11*Annahmen!$B$20</f>
        <v>312.249990191984</v>
      </c>
      <c r="BE102" s="41" t="n">
        <f aca="false">BD102*(1-Annahmen!$B$32*$C$11)+BE$21*$E$11*Annahmen!$B$20</f>
        <v>320.634990388144</v>
      </c>
      <c r="BF102" s="41" t="n">
        <f aca="false">BE102*(1-Annahmen!$B$32*$C$11)+BF$21*$E$11*Annahmen!$B$20</f>
        <v>328.852290580381</v>
      </c>
      <c r="BG102" s="41" t="n">
        <f aca="false">BF102*(1-Annahmen!$B$32*$C$11)+BG$21*$E$11*Annahmen!$B$20</f>
        <v>336.905244768774</v>
      </c>
      <c r="BH102" s="41" t="n">
        <f aca="false">BG102*(1-Annahmen!$B$32*$C$11)+BH$21*$E$11*Annahmen!$B$20</f>
        <v>344.797139873398</v>
      </c>
      <c r="BI102" s="41" t="n">
        <f aca="false">BH102*(1-Annahmen!$B$32*$C$11)+BI$21*$E$11*Annahmen!$B$20</f>
        <v>352.53119707593</v>
      </c>
      <c r="BJ102" s="41" t="n">
        <f aca="false">BI102*(1-Annahmen!$B$32*$C$11)+BJ$21*$E$11*Annahmen!$B$20</f>
        <v>360.110573134412</v>
      </c>
    </row>
    <row r="103" customFormat="false" ht="15" hidden="false" customHeight="false" outlineLevel="0" collapsed="false">
      <c r="B103" s="5" t="s">
        <v>398</v>
      </c>
      <c r="C103" s="41" t="n">
        <f aca="false">Annahmen!$B$7*Annahmen!$B$21*(1-Annahmen!$B$33*$C$11)+C$21*$E$11*Annahmen!$B$21</f>
        <v>0.8448</v>
      </c>
      <c r="D103" s="41" t="n">
        <f aca="false">C103*(1-Annahmen!$B$33*$C$11)+D$21*$E$11*Annahmen!$B$21</f>
        <v>1.0866624</v>
      </c>
      <c r="E103" s="41" t="n">
        <f aca="false">D103*(1-Annahmen!$B$33*$C$11)+E$21*$E$11*Annahmen!$B$21</f>
        <v>1.3256224512</v>
      </c>
      <c r="F103" s="41" t="n">
        <f aca="false">E103*(1-Annahmen!$B$33*$C$11)+F$21*$E$11*Annahmen!$B$21</f>
        <v>1.8137149817856</v>
      </c>
      <c r="G103" s="41" t="n">
        <f aca="false">F103*(1-Annahmen!$B$33*$C$11)+G$21*$E$11*Annahmen!$B$21</f>
        <v>2.29595040200417</v>
      </c>
      <c r="H103" s="41" t="n">
        <f aca="false">G103*(1-Annahmen!$B$33*$C$11)+H$21*$E$11*Annahmen!$B$21</f>
        <v>2.77239899718012</v>
      </c>
      <c r="I103" s="41" t="n">
        <f aca="false">H103*(1-Annahmen!$B$33*$C$11)+I$21*$E$11*Annahmen!$B$21</f>
        <v>3.49513020921396</v>
      </c>
      <c r="J103" s="41" t="n">
        <f aca="false">I103*(1-Annahmen!$B$33*$C$11)+J$21*$E$11*Annahmen!$B$21</f>
        <v>4.20918864670339</v>
      </c>
      <c r="K103" s="41" t="n">
        <f aca="false">J103*(1-Annahmen!$B$33*$C$11)+K$21*$E$11*Annahmen!$B$21</f>
        <v>4.91467838294295</v>
      </c>
      <c r="L103" s="41" t="n">
        <f aca="false">K103*(1-Annahmen!$B$33*$C$11)+L$21*$E$11*Annahmen!$B$21</f>
        <v>5.86370224234764</v>
      </c>
      <c r="M103" s="41" t="n">
        <f aca="false">L103*(1-Annahmen!$B$33*$C$11)+M$21*$E$11*Annahmen!$B$21</f>
        <v>6.80133781543947</v>
      </c>
      <c r="N103" s="41" t="n">
        <f aca="false">M103*(1-Annahmen!$B$33*$C$11)+N$21*$E$11*Annahmen!$B$21</f>
        <v>7.72772176165419</v>
      </c>
      <c r="O103" s="41" t="n">
        <f aca="false">N103*(1-Annahmen!$B$33*$C$11)+O$21*$E$11*Annahmen!$B$21</f>
        <v>8.97898910051434</v>
      </c>
      <c r="P103" s="41" t="n">
        <f aca="false">O103*(1-Annahmen!$B$33*$C$11)+P$21*$E$11*Annahmen!$B$21</f>
        <v>10.2152412313082</v>
      </c>
      <c r="Q103" s="41" t="n">
        <f aca="false">P103*(1-Annahmen!$B$33*$C$11)+Q$21*$E$11*Annahmen!$B$21</f>
        <v>11.4366583365325</v>
      </c>
      <c r="R103" s="41" t="n">
        <f aca="false">Q103*(1-Annahmen!$B$33*$C$11)+R$21*$E$11*Annahmen!$B$21</f>
        <v>12.9794184364941</v>
      </c>
      <c r="S103" s="41" t="n">
        <f aca="false">R103*(1-Annahmen!$B$33*$C$11)+S$21*$E$11*Annahmen!$B$21</f>
        <v>14.5036654152562</v>
      </c>
      <c r="T103" s="41" t="n">
        <f aca="false">S103*(1-Annahmen!$B$33*$C$11)+T$21*$E$11*Annahmen!$B$21</f>
        <v>16.0096214302731</v>
      </c>
      <c r="U103" s="41" t="n">
        <f aca="false">T103*(1-Annahmen!$B$33*$C$11)+U$21*$E$11*Annahmen!$B$21</f>
        <v>17.8335059731098</v>
      </c>
      <c r="V103" s="41" t="n">
        <f aca="false">U103*(1-Annahmen!$B$33*$C$11)+V$21*$E$11*Annahmen!$B$21</f>
        <v>19.6355039014325</v>
      </c>
      <c r="W103" s="41" t="n">
        <f aca="false">V103*(1-Annahmen!$B$33*$C$11)+W$21*$E$11*Annahmen!$B$21</f>
        <v>21.4158778546153</v>
      </c>
      <c r="X103" s="41" t="n">
        <f aca="false">W103*(1-Annahmen!$B$33*$C$11)+X$21*$E$11*Annahmen!$B$21</f>
        <v>23.5108873203599</v>
      </c>
      <c r="Y103" s="41" t="n">
        <f aca="false">X103*(1-Annahmen!$B$33*$C$11)+Y$21*$E$11*Annahmen!$B$21</f>
        <v>25.5807566725156</v>
      </c>
      <c r="Z103" s="41" t="n">
        <f aca="false">Y103*(1-Annahmen!$B$33*$C$11)+Z$21*$E$11*Annahmen!$B$21</f>
        <v>27.6257875924454</v>
      </c>
      <c r="AA103" s="41" t="n">
        <f aca="false">Z103*(1-Annahmen!$B$33*$C$11)+AA$21*$E$11*Annahmen!$B$21</f>
        <v>29.8142781413361</v>
      </c>
      <c r="AB103" s="41" t="n">
        <f aca="false">AA103*(1-Annahmen!$B$33*$C$11)+AB$21*$E$11*Annahmen!$B$21</f>
        <v>31.97650680364</v>
      </c>
      <c r="AC103" s="41" t="n">
        <f aca="false">AB103*(1-Annahmen!$B$33*$C$11)+AC$21*$E$11*Annahmen!$B$21</f>
        <v>34.1127887219963</v>
      </c>
      <c r="AD103" s="41" t="n">
        <f aca="false">AC103*(1-Annahmen!$B$33*$C$11)+AD$21*$E$11*Annahmen!$B$21</f>
        <v>36.4754352573324</v>
      </c>
      <c r="AE103" s="41" t="n">
        <f aca="false">AD103*(1-Annahmen!$B$33*$C$11)+AE$21*$E$11*Annahmen!$B$21</f>
        <v>38.8097300342444</v>
      </c>
      <c r="AF103" s="41" t="n">
        <f aca="false">AE103*(1-Annahmen!$B$33*$C$11)+AF$21*$E$11*Annahmen!$B$21</f>
        <v>41.1160132738335</v>
      </c>
      <c r="AG103" s="41" t="n">
        <f aca="false">AF103*(1-Annahmen!$B$33*$C$11)+AG$21*$E$11*Annahmen!$B$21</f>
        <v>43.6466211145475</v>
      </c>
      <c r="AH103" s="41" t="n">
        <f aca="false">AG103*(1-Annahmen!$B$33*$C$11)+AH$21*$E$11*Annahmen!$B$21</f>
        <v>46.1468616611729</v>
      </c>
      <c r="AI103" s="41" t="n">
        <f aca="false">AH103*(1-Annahmen!$B$33*$C$11)+AI$21*$E$11*Annahmen!$B$21</f>
        <v>48.6170993212388</v>
      </c>
      <c r="AJ103" s="41" t="n">
        <f aca="false">AI103*(1-Annahmen!$B$33*$C$11)+AJ$21*$E$11*Annahmen!$B$21</f>
        <v>51.393694129384</v>
      </c>
      <c r="AK103" s="41" t="n">
        <f aca="false">AJ103*(1-Annahmen!$B$33*$C$11)+AK$21*$E$11*Annahmen!$B$21</f>
        <v>54.1369697998313</v>
      </c>
      <c r="AL103" s="41" t="n">
        <f aca="false">AK103*(1-Annahmen!$B$33*$C$11)+AL$21*$E$11*Annahmen!$B$21</f>
        <v>56.8473261622334</v>
      </c>
      <c r="AM103" s="41" t="n">
        <f aca="false">AL103*(1-Annahmen!$B$33*$C$11)+AM$21*$E$11*Annahmen!$B$21</f>
        <v>59.9451582482866</v>
      </c>
      <c r="AN103" s="41" t="n">
        <f aca="false">AM103*(1-Annahmen!$B$33*$C$11)+AN$21*$E$11*Annahmen!$B$21</f>
        <v>63.0058163493071</v>
      </c>
      <c r="AO103" s="41" t="n">
        <f aca="false">AN103*(1-Annahmen!$B$33*$C$11)+AO$21*$E$11*Annahmen!$B$21</f>
        <v>66.0297465531154</v>
      </c>
      <c r="AP103" s="41" t="n">
        <f aca="false">AO103*(1-Annahmen!$B$33*$C$11)+AP$21*$E$11*Annahmen!$B$21</f>
        <v>69.0173895944781</v>
      </c>
      <c r="AQ103" s="41" t="n">
        <f aca="false">AP103*(1-Annahmen!$B$33*$C$11)+AQ$21*$E$11*Annahmen!$B$21</f>
        <v>71.9691809193443</v>
      </c>
      <c r="AR103" s="41" t="n">
        <f aca="false">AQ103*(1-Annahmen!$B$33*$C$11)+AR$21*$E$11*Annahmen!$B$21</f>
        <v>74.8855507483122</v>
      </c>
      <c r="AS103" s="41" t="n">
        <f aca="false">AR103*(1-Annahmen!$B$33*$C$11)+AS$21*$E$11*Annahmen!$B$21</f>
        <v>77.7669241393325</v>
      </c>
      <c r="AT103" s="41" t="n">
        <f aca="false">AS103*(1-Annahmen!$B$33*$C$11)+AT$21*$E$11*Annahmen!$B$21</f>
        <v>80.6137210496605</v>
      </c>
      <c r="AU103" s="41" t="n">
        <f aca="false">AT103*(1-Annahmen!$B$33*$C$11)+AU$21*$E$11*Annahmen!$B$21</f>
        <v>83.4263563970645</v>
      </c>
      <c r="AV103" s="41" t="n">
        <f aca="false">AU103*(1-Annahmen!$B$33*$C$11)+AV$21*$E$11*Annahmen!$B$21</f>
        <v>86.2052401202998</v>
      </c>
      <c r="AW103" s="41" t="n">
        <f aca="false">AV103*(1-Annahmen!$B$33*$C$11)+AW$21*$E$11*Annahmen!$B$21</f>
        <v>88.9507772388562</v>
      </c>
      <c r="AX103" s="41" t="n">
        <f aca="false">AW103*(1-Annahmen!$B$33*$C$11)+AX$21*$E$11*Annahmen!$B$21</f>
        <v>91.6633679119899</v>
      </c>
      <c r="AY103" s="41" t="n">
        <f aca="false">AX103*(1-Annahmen!$B$33*$C$11)+AY$21*$E$11*Annahmen!$B$21</f>
        <v>95.183407497046</v>
      </c>
      <c r="AZ103" s="41" t="n">
        <f aca="false">AY103*(1-Annahmen!$B$33*$C$11)+AZ$21*$E$11*Annahmen!$B$21</f>
        <v>98.6612066070815</v>
      </c>
      <c r="BA103" s="41" t="n">
        <f aca="false">AZ103*(1-Annahmen!$B$33*$C$11)+BA$21*$E$11*Annahmen!$B$21</f>
        <v>102.097272127796</v>
      </c>
      <c r="BB103" s="41" t="n">
        <f aca="false">BA103*(1-Annahmen!$B$33*$C$11)+BB$21*$E$11*Annahmen!$B$21</f>
        <v>105.492104862263</v>
      </c>
      <c r="BC103" s="41" t="n">
        <f aca="false">BB103*(1-Annahmen!$B$33*$C$11)+BC$21*$E$11*Annahmen!$B$21</f>
        <v>108.846199603916</v>
      </c>
      <c r="BD103" s="41" t="n">
        <f aca="false">BC103*(1-Annahmen!$B$33*$C$11)+BD$21*$E$11*Annahmen!$B$21</f>
        <v>112.160045208669</v>
      </c>
      <c r="BE103" s="41" t="n">
        <f aca="false">BD103*(1-Annahmen!$B$33*$C$11)+BE$21*$E$11*Annahmen!$B$21</f>
        <v>115.434124666165</v>
      </c>
      <c r="BF103" s="41" t="n">
        <f aca="false">BE103*(1-Annahmen!$B$33*$C$11)+BF$21*$E$11*Annahmen!$B$21</f>
        <v>118.668915170171</v>
      </c>
      <c r="BG103" s="41" t="n">
        <f aca="false">BF103*(1-Annahmen!$B$33*$C$11)+BG$21*$E$11*Annahmen!$B$21</f>
        <v>121.864888188129</v>
      </c>
      <c r="BH103" s="41" t="n">
        <f aca="false">BG103*(1-Annahmen!$B$33*$C$11)+BH$21*$E$11*Annahmen!$B$21</f>
        <v>125.022509529871</v>
      </c>
      <c r="BI103" s="41" t="n">
        <f aca="false">BH103*(1-Annahmen!$B$33*$C$11)+BI$21*$E$11*Annahmen!$B$21</f>
        <v>128.142239415513</v>
      </c>
      <c r="BJ103" s="41" t="n">
        <f aca="false">BI103*(1-Annahmen!$B$33*$C$11)+BJ$21*$E$11*Annahmen!$B$21</f>
        <v>131.224532542527</v>
      </c>
    </row>
    <row r="104" customFormat="false" ht="15" hidden="false" customHeight="false" outlineLevel="0" collapsed="false">
      <c r="B104" s="5" t="s">
        <v>399</v>
      </c>
      <c r="C104" s="41" t="n">
        <f aca="false">Annahmen!$B$7*Annahmen!$B$21*Annahmen!$B$24*(1-Annahmen!$B$33*$C$11)+C$21*$E$11*Annahmen!$B$21*Annahmen!$B$24</f>
        <v>0.16896</v>
      </c>
      <c r="D104" s="41" t="n">
        <f aca="false">C104*(1-Annahmen!$B$33*$C$11)+D$21*$E$11*Annahmen!$B$21*Annahmen!$B$24</f>
        <v>0.21733248</v>
      </c>
      <c r="E104" s="41" t="n">
        <f aca="false">D104*(1-Annahmen!$B$33*$C$11)+E$21*$E$11*Annahmen!$B$21*Annahmen!$B$24</f>
        <v>0.26512449024</v>
      </c>
      <c r="F104" s="41" t="n">
        <f aca="false">E104*(1-Annahmen!$B$33*$C$11)+F$21*$E$11*Annahmen!$B$21*Annahmen!$B$24</f>
        <v>0.36274299635712</v>
      </c>
      <c r="G104" s="41" t="n">
        <f aca="false">F104*(1-Annahmen!$B$33*$C$11)+G$21*$E$11*Annahmen!$B$21*Annahmen!$B$24</f>
        <v>0.459190080400835</v>
      </c>
      <c r="H104" s="41" t="n">
        <f aca="false">G104*(1-Annahmen!$B$33*$C$11)+H$21*$E$11*Annahmen!$B$21*Annahmen!$B$24</f>
        <v>0.554479799436024</v>
      </c>
      <c r="I104" s="41" t="n">
        <f aca="false">H104*(1-Annahmen!$B$33*$C$11)+I$21*$E$11*Annahmen!$B$21*Annahmen!$B$24</f>
        <v>0.699026041842792</v>
      </c>
      <c r="J104" s="41" t="n">
        <f aca="false">I104*(1-Annahmen!$B$33*$C$11)+J$21*$E$11*Annahmen!$B$21*Annahmen!$B$24</f>
        <v>0.841837729340679</v>
      </c>
      <c r="K104" s="41" t="n">
        <f aca="false">J104*(1-Annahmen!$B$33*$C$11)+K$21*$E$11*Annahmen!$B$21*Annahmen!$B$24</f>
        <v>0.982935676588591</v>
      </c>
      <c r="L104" s="41" t="n">
        <f aca="false">K104*(1-Annahmen!$B$33*$C$11)+L$21*$E$11*Annahmen!$B$21*Annahmen!$B$24</f>
        <v>1.17274044846953</v>
      </c>
      <c r="M104" s="41" t="n">
        <f aca="false">L104*(1-Annahmen!$B$33*$C$11)+M$21*$E$11*Annahmen!$B$21*Annahmen!$B$24</f>
        <v>1.36026756308789</v>
      </c>
      <c r="N104" s="41" t="n">
        <f aca="false">M104*(1-Annahmen!$B$33*$C$11)+N$21*$E$11*Annahmen!$B$21*Annahmen!$B$24</f>
        <v>1.54554435233084</v>
      </c>
      <c r="O104" s="41" t="n">
        <f aca="false">N104*(1-Annahmen!$B$33*$C$11)+O$21*$E$11*Annahmen!$B$21*Annahmen!$B$24</f>
        <v>1.79579782010287</v>
      </c>
      <c r="P104" s="41" t="n">
        <f aca="false">O104*(1-Annahmen!$B$33*$C$11)+P$21*$E$11*Annahmen!$B$21*Annahmen!$B$24</f>
        <v>2.04304824626163</v>
      </c>
      <c r="Q104" s="41" t="n">
        <f aca="false">P104*(1-Annahmen!$B$33*$C$11)+Q$21*$E$11*Annahmen!$B$21*Annahmen!$B$24</f>
        <v>2.28733166730649</v>
      </c>
      <c r="R104" s="41" t="n">
        <f aca="false">Q104*(1-Annahmen!$B$33*$C$11)+R$21*$E$11*Annahmen!$B$21*Annahmen!$B$24</f>
        <v>2.59588368729882</v>
      </c>
      <c r="S104" s="41" t="n">
        <f aca="false">R104*(1-Annahmen!$B$33*$C$11)+S$21*$E$11*Annahmen!$B$21*Annahmen!$B$24</f>
        <v>2.90073308305123</v>
      </c>
      <c r="T104" s="41" t="n">
        <f aca="false">S104*(1-Annahmen!$B$33*$C$11)+T$21*$E$11*Annahmen!$B$21*Annahmen!$B$24</f>
        <v>3.20192428605462</v>
      </c>
      <c r="U104" s="41" t="n">
        <f aca="false">T104*(1-Annahmen!$B$33*$C$11)+U$21*$E$11*Annahmen!$B$21*Annahmen!$B$24</f>
        <v>3.56670119462196</v>
      </c>
      <c r="V104" s="41" t="n">
        <f aca="false">U104*(1-Annahmen!$B$33*$C$11)+V$21*$E$11*Annahmen!$B$21*Annahmen!$B$24</f>
        <v>3.9271007802865</v>
      </c>
      <c r="W104" s="41" t="n">
        <f aca="false">V104*(1-Annahmen!$B$33*$C$11)+W$21*$E$11*Annahmen!$B$21*Annahmen!$B$24</f>
        <v>4.28317557092306</v>
      </c>
      <c r="X104" s="41" t="n">
        <f aca="false">W104*(1-Annahmen!$B$33*$C$11)+X$21*$E$11*Annahmen!$B$21*Annahmen!$B$24</f>
        <v>4.70217746407198</v>
      </c>
      <c r="Y104" s="41" t="n">
        <f aca="false">X104*(1-Annahmen!$B$33*$C$11)+Y$21*$E$11*Annahmen!$B$21*Annahmen!$B$24</f>
        <v>5.11615133450312</v>
      </c>
      <c r="Z104" s="41" t="n">
        <f aca="false">Y104*(1-Annahmen!$B$33*$C$11)+Z$21*$E$11*Annahmen!$B$21*Annahmen!$B$24</f>
        <v>5.52515751848908</v>
      </c>
      <c r="AA104" s="41" t="n">
        <f aca="false">Z104*(1-Annahmen!$B$33*$C$11)+AA$21*$E$11*Annahmen!$B$21*Annahmen!$B$24</f>
        <v>5.96285562826721</v>
      </c>
      <c r="AB104" s="41" t="n">
        <f aca="false">AA104*(1-Annahmen!$B$33*$C$11)+AB$21*$E$11*Annahmen!$B$21*Annahmen!$B$24</f>
        <v>6.395301360728</v>
      </c>
      <c r="AC104" s="41" t="n">
        <f aca="false">AB104*(1-Annahmen!$B$33*$C$11)+AC$21*$E$11*Annahmen!$B$21*Annahmen!$B$24</f>
        <v>6.82255774439927</v>
      </c>
      <c r="AD104" s="41" t="n">
        <f aca="false">AC104*(1-Annahmen!$B$33*$C$11)+AD$21*$E$11*Annahmen!$B$21*Annahmen!$B$24</f>
        <v>7.29508705146648</v>
      </c>
      <c r="AE104" s="41" t="n">
        <f aca="false">AD104*(1-Annahmen!$B$33*$C$11)+AE$21*$E$11*Annahmen!$B$21*Annahmen!$B$24</f>
        <v>7.76194600684888</v>
      </c>
      <c r="AF104" s="41" t="n">
        <f aca="false">AE104*(1-Annahmen!$B$33*$C$11)+AF$21*$E$11*Annahmen!$B$21*Annahmen!$B$24</f>
        <v>8.22320265476669</v>
      </c>
      <c r="AG104" s="41" t="n">
        <f aca="false">AF104*(1-Annahmen!$B$33*$C$11)+AG$21*$E$11*Annahmen!$B$21*Annahmen!$B$24</f>
        <v>8.72932422290949</v>
      </c>
      <c r="AH104" s="41" t="n">
        <f aca="false">AG104*(1-Annahmen!$B$33*$C$11)+AH$21*$E$11*Annahmen!$B$21*Annahmen!$B$24</f>
        <v>9.22937233223458</v>
      </c>
      <c r="AI104" s="41" t="n">
        <f aca="false">AH104*(1-Annahmen!$B$33*$C$11)+AI$21*$E$11*Annahmen!$B$21*Annahmen!$B$24</f>
        <v>9.72341986424776</v>
      </c>
      <c r="AJ104" s="41" t="n">
        <f aca="false">AI104*(1-Annahmen!$B$33*$C$11)+AJ$21*$E$11*Annahmen!$B$21*Annahmen!$B$24</f>
        <v>10.2787388258768</v>
      </c>
      <c r="AK104" s="41" t="n">
        <f aca="false">AJ104*(1-Annahmen!$B$33*$C$11)+AK$21*$E$11*Annahmen!$B$21*Annahmen!$B$24</f>
        <v>10.8273939599663</v>
      </c>
      <c r="AL104" s="41" t="n">
        <f aca="false">AK104*(1-Annahmen!$B$33*$C$11)+AL$21*$E$11*Annahmen!$B$21*Annahmen!$B$24</f>
        <v>11.3694652324467</v>
      </c>
      <c r="AM104" s="41" t="n">
        <f aca="false">AL104*(1-Annahmen!$B$33*$C$11)+AM$21*$E$11*Annahmen!$B$21*Annahmen!$B$24</f>
        <v>11.9890316496573</v>
      </c>
      <c r="AN104" s="41" t="n">
        <f aca="false">AM104*(1-Annahmen!$B$33*$C$11)+AN$21*$E$11*Annahmen!$B$21*Annahmen!$B$24</f>
        <v>12.6011632698614</v>
      </c>
      <c r="AO104" s="41" t="n">
        <f aca="false">AN104*(1-Annahmen!$B$33*$C$11)+AO$21*$E$11*Annahmen!$B$21*Annahmen!$B$24</f>
        <v>13.2059493106231</v>
      </c>
      <c r="AP104" s="41" t="n">
        <f aca="false">AO104*(1-Annahmen!$B$33*$C$11)+AP$21*$E$11*Annahmen!$B$21*Annahmen!$B$24</f>
        <v>13.8034779188956</v>
      </c>
      <c r="AQ104" s="41" t="n">
        <f aca="false">AP104*(1-Annahmen!$B$33*$C$11)+AQ$21*$E$11*Annahmen!$B$21*Annahmen!$B$24</f>
        <v>14.3938361838689</v>
      </c>
      <c r="AR104" s="41" t="n">
        <f aca="false">AQ104*(1-Annahmen!$B$33*$C$11)+AR$21*$E$11*Annahmen!$B$21*Annahmen!$B$24</f>
        <v>14.9771101496624</v>
      </c>
      <c r="AS104" s="41" t="n">
        <f aca="false">AR104*(1-Annahmen!$B$33*$C$11)+AS$21*$E$11*Annahmen!$B$21*Annahmen!$B$24</f>
        <v>15.5533848278665</v>
      </c>
      <c r="AT104" s="41" t="n">
        <f aca="false">AS104*(1-Annahmen!$B$33*$C$11)+AT$21*$E$11*Annahmen!$B$21*Annahmen!$B$24</f>
        <v>16.1227442099321</v>
      </c>
      <c r="AU104" s="41" t="n">
        <f aca="false">AT104*(1-Annahmen!$B$33*$C$11)+AU$21*$E$11*Annahmen!$B$21*Annahmen!$B$24</f>
        <v>16.6852712794129</v>
      </c>
      <c r="AV104" s="41" t="n">
        <f aca="false">AU104*(1-Annahmen!$B$33*$C$11)+AV$21*$E$11*Annahmen!$B$21*Annahmen!$B$24</f>
        <v>17.2410480240599</v>
      </c>
      <c r="AW104" s="41" t="n">
        <f aca="false">AV104*(1-Annahmen!$B$33*$C$11)+AW$21*$E$11*Annahmen!$B$21*Annahmen!$B$24</f>
        <v>17.7901554477712</v>
      </c>
      <c r="AX104" s="41" t="n">
        <f aca="false">AW104*(1-Annahmen!$B$33*$C$11)+AX$21*$E$11*Annahmen!$B$21*Annahmen!$B$24</f>
        <v>18.332673582398</v>
      </c>
      <c r="AY104" s="41" t="n">
        <f aca="false">AX104*(1-Annahmen!$B$33*$C$11)+AY$21*$E$11*Annahmen!$B$21*Annahmen!$B$24</f>
        <v>19.0366814994092</v>
      </c>
      <c r="AZ104" s="41" t="n">
        <f aca="false">AY104*(1-Annahmen!$B$33*$C$11)+AZ$21*$E$11*Annahmen!$B$21*Annahmen!$B$24</f>
        <v>19.7322413214163</v>
      </c>
      <c r="BA104" s="41" t="n">
        <f aca="false">AZ104*(1-Annahmen!$B$33*$C$11)+BA$21*$E$11*Annahmen!$B$21*Annahmen!$B$24</f>
        <v>20.4194544255593</v>
      </c>
      <c r="BB104" s="41" t="n">
        <f aca="false">BA104*(1-Annahmen!$B$33*$C$11)+BB$21*$E$11*Annahmen!$B$21*Annahmen!$B$24</f>
        <v>21.0984209724526</v>
      </c>
      <c r="BC104" s="41" t="n">
        <f aca="false">BB104*(1-Annahmen!$B$33*$C$11)+BC$21*$E$11*Annahmen!$B$21*Annahmen!$B$24</f>
        <v>21.7692399207831</v>
      </c>
      <c r="BD104" s="41" t="n">
        <f aca="false">BC104*(1-Annahmen!$B$33*$C$11)+BD$21*$E$11*Annahmen!$B$21*Annahmen!$B$24</f>
        <v>22.4320090417338</v>
      </c>
      <c r="BE104" s="41" t="n">
        <f aca="false">BD104*(1-Annahmen!$B$33*$C$11)+BE$21*$E$11*Annahmen!$B$21*Annahmen!$B$24</f>
        <v>23.0868249332329</v>
      </c>
      <c r="BF104" s="41" t="n">
        <f aca="false">BE104*(1-Annahmen!$B$33*$C$11)+BF$21*$E$11*Annahmen!$B$21*Annahmen!$B$24</f>
        <v>23.7337830340341</v>
      </c>
      <c r="BG104" s="41" t="n">
        <f aca="false">BF104*(1-Annahmen!$B$33*$C$11)+BG$21*$E$11*Annahmen!$B$21*Annahmen!$B$24</f>
        <v>24.3729776376257</v>
      </c>
      <c r="BH104" s="41" t="n">
        <f aca="false">BG104*(1-Annahmen!$B$33*$C$11)+BH$21*$E$11*Annahmen!$B$21*Annahmen!$B$24</f>
        <v>25.0045019059742</v>
      </c>
      <c r="BI104" s="41" t="n">
        <f aca="false">BH104*(1-Annahmen!$B$33*$C$11)+BI$21*$E$11*Annahmen!$B$21*Annahmen!$B$24</f>
        <v>25.6284478831025</v>
      </c>
      <c r="BJ104" s="41" t="n">
        <f aca="false">BI104*(1-Annahmen!$B$33*$C$11)+BJ$21*$E$11*Annahmen!$B$21*Annahmen!$B$24</f>
        <v>26.2449065085053</v>
      </c>
    </row>
    <row r="105" customFormat="false" ht="15" hidden="false" customHeight="false" outlineLevel="0" collapsed="false">
      <c r="B105" s="5" t="s">
        <v>223</v>
      </c>
      <c r="C105" s="38" t="n">
        <f aca="false">C101+C102+C103</f>
        <v>6.9798</v>
      </c>
      <c r="D105" s="38" t="n">
        <f aca="false">D101+D102+D103</f>
        <v>8.9122124</v>
      </c>
      <c r="E105" s="38" t="n">
        <f aca="false">E101+E102+E103</f>
        <v>10.7984539512</v>
      </c>
      <c r="F105" s="38" t="n">
        <f aca="false">F101+F102+F103</f>
        <v>14.7397085767856</v>
      </c>
      <c r="G105" s="38" t="n">
        <f aca="false">G101+G102+G103</f>
        <v>18.5866442883542</v>
      </c>
      <c r="H105" s="38" t="n">
        <f aca="false">H101+H102+H103</f>
        <v>22.3416825641556</v>
      </c>
      <c r="I105" s="38" t="n">
        <f aca="false">I101+I102+I103</f>
        <v>28.1071795564519</v>
      </c>
      <c r="J105" s="38" t="n">
        <f aca="false">J101+J102+J103</f>
        <v>33.7349439150504</v>
      </c>
      <c r="K105" s="38" t="n">
        <f aca="false">K101+K102+K103</f>
        <v>39.2285070467353</v>
      </c>
      <c r="L105" s="38" t="n">
        <f aca="false">L101+L102+L103</f>
        <v>46.691305178652</v>
      </c>
      <c r="M105" s="38" t="n">
        <f aca="false">M101+M102+M103</f>
        <v>53.976198013432</v>
      </c>
      <c r="N105" s="38" t="n">
        <f aca="false">N101+N102+N103</f>
        <v>61.0877397964887</v>
      </c>
      <c r="O105" s="38" t="n">
        <f aca="false">O101+O102+O103</f>
        <v>70.8303621642299</v>
      </c>
      <c r="P105" s="38" t="n">
        <f aca="false">P101+P102+P103</f>
        <v>80.3410655616399</v>
      </c>
      <c r="Q105" s="38" t="n">
        <f aca="false">Q101+Q102+Q103</f>
        <v>89.6257805463112</v>
      </c>
      <c r="R105" s="38" t="n">
        <f aca="false">R101+R102+R103</f>
        <v>101.490278137149</v>
      </c>
      <c r="S105" s="38" t="n">
        <f aca="false">S101+S102+S103</f>
        <v>113.072862258918</v>
      </c>
      <c r="T105" s="38" t="n">
        <f aca="false">T101+T102+T103</f>
        <v>124.380732043971</v>
      </c>
      <c r="U105" s="38" t="n">
        <f aca="false">U101+U102+U103</f>
        <v>138.220893150236</v>
      </c>
      <c r="V105" s="38" t="n">
        <f aca="false">V101+V102+V103</f>
        <v>151.732851147447</v>
      </c>
      <c r="W105" s="38" t="n">
        <f aca="false">W101+W102+W103</f>
        <v>164.924974733768</v>
      </c>
      <c r="X105" s="38" t="n">
        <f aca="false">X101+X102+X103</f>
        <v>180.605407942646</v>
      </c>
      <c r="Y105" s="38" t="n">
        <f aca="false">Y101+Y102+Y103</f>
        <v>195.914764392651</v>
      </c>
      <c r="Z105" s="38" t="n">
        <f aca="false">Z101+Z102+Z103</f>
        <v>210.862491343164</v>
      </c>
      <c r="AA105" s="38" t="n">
        <f aca="false">AA101+AA102+AA103</f>
        <v>226.857782716476</v>
      </c>
      <c r="AB105" s="38" t="n">
        <f aca="false">AB101+AB102+AB103</f>
        <v>242.475930139731</v>
      </c>
      <c r="AC105" s="38" t="n">
        <f aca="false">AC101+AC102+AC103</f>
        <v>257.726508778245</v>
      </c>
      <c r="AD105" s="38" t="n">
        <f aca="false">AD101+AD102+AD103</f>
        <v>274.71883754373</v>
      </c>
      <c r="AE105" s="38" t="n">
        <f aca="false">AE101+AE102+AE103</f>
        <v>291.311502207249</v>
      </c>
      <c r="AF105" s="38" t="n">
        <f aca="false">AF101+AF102+AF103</f>
        <v>307.514630797743</v>
      </c>
      <c r="AG105" s="38" t="n">
        <f aca="false">AG101+AG102+AG103</f>
        <v>325.438080658513</v>
      </c>
      <c r="AH105" s="38" t="n">
        <f aca="false">AH101+AH102+AH103</f>
        <v>342.940961953677</v>
      </c>
      <c r="AI105" s="38" t="n">
        <f aca="false">AI101+AI102+AI103</f>
        <v>360.033913449128</v>
      </c>
      <c r="AJ105" s="38" t="n">
        <f aca="false">AJ101+AJ102+AJ103</f>
        <v>379.527289940714</v>
      </c>
      <c r="AK105" s="38" t="n">
        <f aca="false">AK101+AK102+AK103</f>
        <v>398.563858121953</v>
      </c>
      <c r="AL105" s="38" t="n">
        <f aca="false">AL101+AL102+AL103</f>
        <v>417.155162212121</v>
      </c>
      <c r="AM105" s="38" t="n">
        <f aca="false">AM101+AM102+AM103</f>
        <v>438.812438506558</v>
      </c>
      <c r="AN105" s="38" t="n">
        <f aca="false">AN101+AN102+AN103</f>
        <v>459.962483903914</v>
      </c>
      <c r="AO105" s="38" t="n">
        <f aca="false">AO101+AO102+AO103</f>
        <v>480.618111671085</v>
      </c>
      <c r="AP105" s="38" t="n">
        <f aca="false">AP101+AP102+AP103</f>
        <v>500.79179339711</v>
      </c>
      <c r="AQ105" s="38" t="n">
        <f aca="false">AQ101+AQ102+AQ103</f>
        <v>520.495668453335</v>
      </c>
      <c r="AR105" s="38" t="n">
        <f aca="false">AR101+AR102+AR103</f>
        <v>539.741553184811</v>
      </c>
      <c r="AS105" s="38" t="n">
        <f aca="false">AS101+AS102+AS103</f>
        <v>558.540949840694</v>
      </c>
      <c r="AT105" s="38" t="n">
        <f aca="false">AT101+AT102+AT103</f>
        <v>576.90505525118</v>
      </c>
      <c r="AU105" s="38" t="n">
        <f aca="false">AU101+AU102+AU103</f>
        <v>594.844769258314</v>
      </c>
      <c r="AV105" s="38" t="n">
        <f aca="false">AV101+AV102+AV103</f>
        <v>612.370702907771</v>
      </c>
      <c r="AW105" s="38" t="n">
        <f aca="false">AW101+AW102+AW103</f>
        <v>629.493186408521</v>
      </c>
      <c r="AX105" s="38" t="n">
        <f aca="false">AX101+AX102+AX103</f>
        <v>646.222276867067</v>
      </c>
      <c r="AY105" s="38" t="n">
        <f aca="false">AY101+AY102+AY103</f>
        <v>669.567765802762</v>
      </c>
      <c r="AZ105" s="38" t="n">
        <f aca="false">AZ101+AZ102+AZ103</f>
        <v>692.370906450532</v>
      </c>
      <c r="BA105" s="38" t="n">
        <f aca="false">BA101+BA102+BA103</f>
        <v>714.645315817111</v>
      </c>
      <c r="BB105" s="38" t="n">
        <f aca="false">BB101+BB102+BB103</f>
        <v>736.404249385243</v>
      </c>
      <c r="BC105" s="38" t="n">
        <f aca="false">BC101+BC102+BC103</f>
        <v>757.660611092664</v>
      </c>
      <c r="BD105" s="38" t="n">
        <f aca="false">BD101+BD102+BD103</f>
        <v>778.426963028183</v>
      </c>
      <c r="BE105" s="38" t="n">
        <f aca="false">BE101+BE102+BE103</f>
        <v>798.715534853013</v>
      </c>
      <c r="BF105" s="38" t="n">
        <f aca="false">BF101+BF102+BF103</f>
        <v>818.538232955295</v>
      </c>
      <c r="BG105" s="38" t="n">
        <f aca="false">BG101+BG102+BG103</f>
        <v>837.906649345503</v>
      </c>
      <c r="BH105" s="38" t="n">
        <f aca="false">BH101+BH102+BH103</f>
        <v>856.832070300212</v>
      </c>
      <c r="BI105" s="38" t="n">
        <f aca="false">BI101+BI102+BI103</f>
        <v>875.325484761477</v>
      </c>
      <c r="BJ105" s="38" t="n">
        <f aca="false">BJ101+BJ102+BJ103</f>
        <v>893.397592498872</v>
      </c>
    </row>
    <row r="106" customFormat="false" ht="15" hidden="false" customHeight="false" outlineLevel="0" collapsed="false">
      <c r="B106" s="5" t="s">
        <v>400</v>
      </c>
      <c r="C106" s="37" t="n">
        <f aca="false">(C101*Annahmen!$B$10+C102*(Annahmen!$B$11+Annahmen!$B$13*Annahmen!$B$22)+C103*(Annahmen!$B$12+Annahmen!$B$14*Annahmen!$B$23)+C104*Annahmen!$B$16)*$D$11</f>
        <v>836.01124</v>
      </c>
      <c r="D106" s="37" t="n">
        <f aca="false">(D101*Annahmen!$B$10+D102*(Annahmen!$B$11+Annahmen!$B$13*Annahmen!$B$22)+D103*(Annahmen!$B$12+Annahmen!$B$14*Annahmen!$B$23)+D104*Annahmen!$B$16)*$D$11</f>
        <v>1070.61419512</v>
      </c>
      <c r="E106" s="37" t="n">
        <f aca="false">(E101*Annahmen!$B$10+E102*(Annahmen!$B$11+Annahmen!$B$13*Annahmen!$B$22)+E103*(Annahmen!$B$12+Annahmen!$B$14*Annahmen!$B$23)+E104*Annahmen!$B$16)*$D$11</f>
        <v>1300.73656647856</v>
      </c>
      <c r="F106" s="37" t="n">
        <f aca="false">(F101*Annahmen!$B$10+F102*(Annahmen!$B$11+Annahmen!$B$13*Annahmen!$B$22)+F103*(Annahmen!$B$12+Annahmen!$B$14*Annahmen!$B$23)+F104*Annahmen!$B$16)*$D$11</f>
        <v>1777.14236956182</v>
      </c>
      <c r="G106" s="37" t="n">
        <f aca="false">(G101*Annahmen!$B$10+G102*(Annahmen!$B$11+Annahmen!$B$13*Annahmen!$B$22)+G103*(Annahmen!$B$12+Annahmen!$B$14*Annahmen!$B$23)+G104*Annahmen!$B$16)*$D$11</f>
        <v>2244.43150045501</v>
      </c>
      <c r="H106" s="37" t="n">
        <f aca="false">(H101*Annahmen!$B$10+H102*(Annahmen!$B$11+Annahmen!$B$13*Annahmen!$B$22)+H103*(Annahmen!$B$12+Annahmen!$B$14*Annahmen!$B$23)+H104*Annahmen!$B$16)*$D$11</f>
        <v>2702.79846480693</v>
      </c>
      <c r="I106" s="37" t="n">
        <f aca="false">(I101*Annahmen!$B$10+I102*(Annahmen!$B$11+Annahmen!$B$13*Annahmen!$B$22)+I103*(Annahmen!$B$12+Annahmen!$B$14*Annahmen!$B$23)+I104*Annahmen!$B$16)*$D$11</f>
        <v>3403.10181880102</v>
      </c>
      <c r="J106" s="37" t="n">
        <f aca="false">(J101*Annahmen!$B$10+J102*(Annahmen!$B$11+Annahmen!$B$13*Annahmen!$B$22)+J103*(Annahmen!$B$12+Annahmen!$B$14*Annahmen!$B$23)+J104*Annahmen!$B$16)*$D$11</f>
        <v>4090.03379225543</v>
      </c>
      <c r="K106" s="37" t="n">
        <f aca="false">(K101*Annahmen!$B$10+K102*(Annahmen!$B$11+Annahmen!$B$13*Annahmen!$B$22)+K103*(Annahmen!$B$12+Annahmen!$B$14*Annahmen!$B$23)+K104*Annahmen!$B$16)*$D$11</f>
        <v>4763.87907294988</v>
      </c>
      <c r="L106" s="37" t="n">
        <f aca="false">(L101*Annahmen!$B$10+L102*(Annahmen!$B$11+Annahmen!$B$13*Annahmen!$B$22)+L103*(Annahmen!$B$12+Annahmen!$B$14*Annahmen!$B$23)+L104*Annahmen!$B$16)*$D$11</f>
        <v>5675.58430149425</v>
      </c>
      <c r="M106" s="37" t="n">
        <f aca="false">(M101*Annahmen!$B$10+M102*(Annahmen!$B$11+Annahmen!$B$13*Annahmen!$B$22)+M103*(Annahmen!$B$12+Annahmen!$B$14*Annahmen!$B$23)+M104*Annahmen!$B$16)*$D$11</f>
        <v>6569.92774690171</v>
      </c>
      <c r="N106" s="37" t="n">
        <f aca="false">(N101*Annahmen!$B$10+N102*(Annahmen!$B$11+Annahmen!$B$13*Annahmen!$B$22)+N103*(Annahmen!$B$12+Annahmen!$B$14*Annahmen!$B$23)+N104*Annahmen!$B$16)*$D$11</f>
        <v>7447.27814200317</v>
      </c>
      <c r="O106" s="37" t="n">
        <f aca="false">(O101*Annahmen!$B$10+O102*(Annahmen!$B$11+Annahmen!$B$13*Annahmen!$B$22)+O103*(Annahmen!$B$12+Annahmen!$B$14*Annahmen!$B$23)+O104*Annahmen!$B$16)*$D$11</f>
        <v>8642.22042805614</v>
      </c>
      <c r="P106" s="37" t="n">
        <f aca="false">(P101*Annahmen!$B$10+P102*(Annahmen!$B$11+Annahmen!$B$13*Annahmen!$B$22)+P103*(Annahmen!$B$12+Annahmen!$B$14*Annahmen!$B$23)+P104*Annahmen!$B$16)*$D$11</f>
        <v>9814.44864834772</v>
      </c>
      <c r="Q106" s="37" t="n">
        <f aca="false">(Q101*Annahmen!$B$10+Q102*(Annahmen!$B$11+Annahmen!$B$13*Annahmen!$B$22)+Q103*(Annahmen!$B$12+Annahmen!$B$14*Annahmen!$B$23)+Q104*Annahmen!$B$16)*$D$11</f>
        <v>10964.4443884492</v>
      </c>
      <c r="R106" s="37" t="n">
        <f aca="false">(R101*Annahmen!$B$10+R102*(Annahmen!$B$11+Annahmen!$B$13*Annahmen!$B$22)+R103*(Annahmen!$B$12+Annahmen!$B$14*Annahmen!$B$23)+R104*Annahmen!$B$16)*$D$11</f>
        <v>12426.9028289211</v>
      </c>
      <c r="S106" s="37" t="n">
        <f aca="false">(S101*Annahmen!$B$10+S102*(Annahmen!$B$11+Annahmen!$B$13*Annahmen!$B$22)+S103*(Annahmen!$B$12+Annahmen!$B$14*Annahmen!$B$23)+S104*Annahmen!$B$16)*$D$11</f>
        <v>13861.6257040618</v>
      </c>
      <c r="T106" s="37" t="n">
        <f aca="false">(T101*Annahmen!$B$10+T102*(Annahmen!$B$11+Annahmen!$B$13*Annahmen!$B$22)+T103*(Annahmen!$B$12+Annahmen!$B$14*Annahmen!$B$23)+T104*Annahmen!$B$16)*$D$11</f>
        <v>15269.1998055938</v>
      </c>
      <c r="U106" s="37" t="n">
        <f aca="false">(U101*Annahmen!$B$10+U102*(Annahmen!$B$11+Annahmen!$B$13*Annahmen!$B$22)+U103*(Annahmen!$B$12+Annahmen!$B$14*Annahmen!$B$23)+U104*Annahmen!$B$16)*$D$11</f>
        <v>16984.4230971304</v>
      </c>
      <c r="V106" s="37" t="n">
        <f aca="false">(V101*Annahmen!$B$10+V102*(Annahmen!$B$11+Annahmen!$B$13*Annahmen!$B$22)+V103*(Annahmen!$B$12+Annahmen!$B$14*Annahmen!$B$23)+V104*Annahmen!$B$16)*$D$11</f>
        <v>18667.1977330643</v>
      </c>
      <c r="W106" s="37" t="n">
        <f aca="false">(W101*Annahmen!$B$10+W102*(Annahmen!$B$11+Annahmen!$B$13*Annahmen!$B$22)+W103*(Annahmen!$B$12+Annahmen!$B$14*Annahmen!$B$23)+W104*Annahmen!$B$16)*$D$11</f>
        <v>20318.2086208144</v>
      </c>
      <c r="X106" s="37" t="n">
        <f aca="false">(X101*Annahmen!$B$10+X102*(Annahmen!$B$11+Annahmen!$B$13*Annahmen!$B$22)+X103*(Annahmen!$B$12+Annahmen!$B$14*Annahmen!$B$23)+X104*Annahmen!$B$16)*$D$11</f>
        <v>22272.3495923187</v>
      </c>
      <c r="Y106" s="37" t="n">
        <f aca="false">(Y101*Annahmen!$B$10+Y102*(Annahmen!$B$11+Annahmen!$B$13*Annahmen!$B$22)+Y103*(Annahmen!$B$12+Annahmen!$B$14*Annahmen!$B$23)+Y104*Annahmen!$B$16)*$D$11</f>
        <v>24189.6164784555</v>
      </c>
      <c r="Z106" s="37" t="n">
        <f aca="false">(Z101*Annahmen!$B$10+Z102*(Annahmen!$B$11+Annahmen!$B$13*Annahmen!$B$22)+Z103*(Annahmen!$B$12+Annahmen!$B$14*Annahmen!$B$23)+Z104*Annahmen!$B$16)*$D$11</f>
        <v>26070.7857253697</v>
      </c>
      <c r="AA106" s="37" t="n">
        <f aca="false">(AA101*Annahmen!$B$10+AA102*(Annahmen!$B$11+Annahmen!$B$13*Annahmen!$B$22)+AA103*(Annahmen!$B$12+Annahmen!$B$14*Annahmen!$B$23)+AA104*Annahmen!$B$16)*$D$11</f>
        <v>28083.7282186327</v>
      </c>
      <c r="AB106" s="37" t="n">
        <f aca="false">(AB101*Annahmen!$B$10+AB102*(Annahmen!$B$11+Annahmen!$B$13*Annahmen!$B$22)+AB103*(Annahmen!$B$12+Annahmen!$B$14*Annahmen!$B$23)+AB104*Annahmen!$B$16)*$D$11</f>
        <v>30058.8560697558</v>
      </c>
      <c r="AC106" s="37" t="n">
        <f aca="false">(AC101*Annahmen!$B$10+AC102*(Annahmen!$B$11+Annahmen!$B$13*Annahmen!$B$22)+AC103*(Annahmen!$B$12+Annahmen!$B$14*Annahmen!$B$23)+AC104*Annahmen!$B$16)*$D$11</f>
        <v>31996.9621671027</v>
      </c>
      <c r="AD106" s="37" t="n">
        <f aca="false">(AD101*Annahmen!$B$10+AD102*(Annahmen!$B$11+Annahmen!$B$13*Annahmen!$B$22)+AD103*(Annahmen!$B$12+Annahmen!$B$14*Annahmen!$B$23)+AD104*Annahmen!$B$16)*$D$11</f>
        <v>34149.4897243429</v>
      </c>
      <c r="AE106" s="37" t="n">
        <f aca="false">(AE101*Annahmen!$B$10+AE102*(Annahmen!$B$11+Annahmen!$B$13*Annahmen!$B$22)+AE103*(Annahmen!$B$12+Annahmen!$B$14*Annahmen!$B$23)+AE104*Annahmen!$B$16)*$D$11</f>
        <v>36261.7022430825</v>
      </c>
      <c r="AF106" s="37" t="n">
        <f aca="false">(AF101*Annahmen!$B$10+AF102*(Annahmen!$B$11+Annahmen!$B$13*Annahmen!$B$22)+AF103*(Annahmen!$B$12+Annahmen!$B$14*Annahmen!$B$23)+AF104*Annahmen!$B$16)*$D$11</f>
        <v>38334.4426278323</v>
      </c>
      <c r="AG106" s="37" t="n">
        <f aca="false">(AG101*Annahmen!$B$10+AG102*(Annahmen!$B$11+Annahmen!$B$13*Annahmen!$B$22)+AG103*(Annahmen!$B$12+Annahmen!$B$14*Annahmen!$B$23)+AG104*Annahmen!$B$16)*$D$11</f>
        <v>40619.2030028711</v>
      </c>
      <c r="AH106" s="37" t="n">
        <f aca="false">(AH101*Annahmen!$B$10+AH102*(Annahmen!$B$11+Annahmen!$B$13*Annahmen!$B$22)+AH103*(Annahmen!$B$12+Annahmen!$B$14*Annahmen!$B$23)+AH104*Annahmen!$B$16)*$D$11</f>
        <v>42861.2947014032</v>
      </c>
      <c r="AI106" s="37" t="n">
        <f aca="false">(AI101*Annahmen!$B$10+AI102*(Annahmen!$B$11+Annahmen!$B$13*Annahmen!$B$22)+AI103*(Annahmen!$B$12+Annahmen!$B$14*Annahmen!$B$23)+AI104*Annahmen!$B$16)*$D$11</f>
        <v>45061.607406375</v>
      </c>
      <c r="AJ106" s="37" t="n">
        <f aca="false">(AJ101*Annahmen!$B$10+AJ102*(Annahmen!$B$11+Annahmen!$B$13*Annahmen!$B$22)+AJ103*(Annahmen!$B$12+Annahmen!$B$14*Annahmen!$B$23)+AJ104*Annahmen!$B$16)*$D$11</f>
        <v>47555.2351925275</v>
      </c>
      <c r="AK106" s="37" t="n">
        <f aca="false">(AK101*Annahmen!$B$10+AK102*(Annahmen!$B$11+Annahmen!$B$13*Annahmen!$B$22)+AK103*(Annahmen!$B$12+Annahmen!$B$14*Annahmen!$B$23)+AK104*Annahmen!$B$16)*$D$11</f>
        <v>50002.3697096994</v>
      </c>
      <c r="AL106" s="37" t="n">
        <f aca="false">(AL101*Annahmen!$B$10+AL102*(Annahmen!$B$11+Annahmen!$B$13*Annahmen!$B$22)+AL103*(Annahmen!$B$12+Annahmen!$B$14*Annahmen!$B$23)+AL104*Annahmen!$B$16)*$D$11</f>
        <v>52403.9789052511</v>
      </c>
      <c r="AM106" s="37" t="n">
        <f aca="false">(AM101*Annahmen!$B$10+AM102*(Annahmen!$B$11+Annahmen!$B$13*Annahmen!$B$22)+AM103*(Annahmen!$B$12+Annahmen!$B$14*Annahmen!$B$23)+AM104*Annahmen!$B$16)*$D$11</f>
        <v>55178.7895516089</v>
      </c>
      <c r="AN106" s="37" t="n">
        <f aca="false">(AN101*Annahmen!$B$10+AN102*(Annahmen!$B$11+Annahmen!$B$13*Annahmen!$B$22)+AN103*(Annahmen!$B$12+Annahmen!$B$14*Annahmen!$B$23)+AN104*Annahmen!$B$16)*$D$11</f>
        <v>57901.9036423262</v>
      </c>
      <c r="AO106" s="37" t="n">
        <f aca="false">(AO101*Annahmen!$B$10+AO102*(Annahmen!$B$11+Annahmen!$B$13*Annahmen!$B$22)+AO103*(Annahmen!$B$12+Annahmen!$B$14*Annahmen!$B$23)+AO104*Annahmen!$B$16)*$D$11</f>
        <v>60574.3967142291</v>
      </c>
      <c r="AP106" s="37" t="n">
        <f aca="false">(AP101*Annahmen!$B$10+AP102*(Annahmen!$B$11+Annahmen!$B$13*Annahmen!$B$22)+AP103*(Annahmen!$B$12+Annahmen!$B$14*Annahmen!$B$23)+AP104*Annahmen!$B$16)*$D$11</f>
        <v>63197.3196780904</v>
      </c>
      <c r="AQ106" s="37" t="n">
        <f aca="false">(AQ101*Annahmen!$B$10+AQ102*(Annahmen!$B$11+Annahmen!$B$13*Annahmen!$B$22)+AQ103*(Annahmen!$B$12+Annahmen!$B$14*Annahmen!$B$23)+AQ104*Annahmen!$B$16)*$D$11</f>
        <v>65771.6994270162</v>
      </c>
      <c r="AR106" s="37" t="n">
        <f aca="false">(AR101*Annahmen!$B$10+AR102*(Annahmen!$B$11+Annahmen!$B$13*Annahmen!$B$22)+AR103*(Annahmen!$B$12+Annahmen!$B$14*Annahmen!$B$23)+AR104*Annahmen!$B$16)*$D$11</f>
        <v>68298.5394289194</v>
      </c>
      <c r="AS106" s="37" t="n">
        <f aca="false">(AS101*Annahmen!$B$10+AS102*(Annahmen!$B$11+Annahmen!$B$13*Annahmen!$B$22)+AS103*(Annahmen!$B$12+Annahmen!$B$14*Annahmen!$B$23)+AS104*Annahmen!$B$16)*$D$11</f>
        <v>70778.8203035152</v>
      </c>
      <c r="AT106" s="37" t="n">
        <f aca="false">(AT101*Annahmen!$B$10+AT102*(Annahmen!$B$11+Annahmen!$B$13*Annahmen!$B$22)+AT103*(Annahmen!$B$12+Annahmen!$B$14*Annahmen!$B$23)+AT104*Annahmen!$B$16)*$D$11</f>
        <v>73213.5003842583</v>
      </c>
      <c r="AU106" s="37" t="n">
        <f aca="false">(AU101*Annahmen!$B$10+AU102*(Annahmen!$B$11+Annahmen!$B$13*Annahmen!$B$22)+AU103*(Annahmen!$B$12+Annahmen!$B$14*Annahmen!$B$23)+AU104*Annahmen!$B$16)*$D$11</f>
        <v>75603.5162656344</v>
      </c>
      <c r="AV106" s="37" t="n">
        <f aca="false">(AV101*Annahmen!$B$10+AV102*(Annahmen!$B$11+Annahmen!$B$13*Annahmen!$B$22)+AV103*(Annahmen!$B$12+Annahmen!$B$14*Annahmen!$B$23)+AV104*Annahmen!$B$16)*$D$11</f>
        <v>77949.7833362009</v>
      </c>
      <c r="AW106" s="37" t="n">
        <f aca="false">(AW101*Annahmen!$B$10+AW102*(Annahmen!$B$11+Annahmen!$B$13*Annahmen!$B$22)+AW103*(Annahmen!$B$12+Annahmen!$B$14*Annahmen!$B$23)+AW104*Annahmen!$B$16)*$D$11</f>
        <v>80253.1962977678</v>
      </c>
      <c r="AX106" s="37" t="n">
        <f aca="false">(AX101*Annahmen!$B$10+AX102*(Annahmen!$B$11+Annahmen!$B$13*Annahmen!$B$22)+AX103*(Annahmen!$B$12+Annahmen!$B$14*Annahmen!$B$23)+AX104*Annahmen!$B$16)*$D$11</f>
        <v>82514.6296710912</v>
      </c>
      <c r="AY106" s="37" t="n">
        <f aca="false">(AY101*Annahmen!$B$10+AY102*(Annahmen!$B$11+Annahmen!$B$13*Annahmen!$B$22)+AY103*(Annahmen!$B$12+Annahmen!$B$14*Annahmen!$B$23)+AY104*Annahmen!$B$16)*$D$11</f>
        <v>85570.5002884483</v>
      </c>
      <c r="AZ106" s="37" t="n">
        <f aca="false">(AZ101*Annahmen!$B$10+AZ102*(Annahmen!$B$11+Annahmen!$B$13*Annahmen!$B$22)+AZ103*(Annahmen!$B$12+Annahmen!$B$14*Annahmen!$B$23)+AZ104*Annahmen!$B$16)*$D$11</f>
        <v>88569.9994694477</v>
      </c>
      <c r="BA106" s="37" t="n">
        <f aca="false">(BA101*Annahmen!$B$10+BA102*(Annahmen!$B$11+Annahmen!$B$13*Annahmen!$B$22)+BA103*(Annahmen!$B$12+Annahmen!$B$14*Annahmen!$B$23)+BA104*Annahmen!$B$16)*$D$11</f>
        <v>91514.2890652691</v>
      </c>
      <c r="BB106" s="37" t="n">
        <f aca="false">(BB101*Annahmen!$B$10+BB102*(Annahmen!$B$11+Annahmen!$B$13*Annahmen!$B$22)+BB103*(Annahmen!$B$12+Annahmen!$B$14*Annahmen!$B$23)+BB104*Annahmen!$B$16)*$D$11</f>
        <v>94404.5045357742</v>
      </c>
      <c r="BC106" s="37" t="n">
        <f aca="false">(BC101*Annahmen!$B$10+BC102*(Annahmen!$B$11+Annahmen!$B$13*Annahmen!$B$22)+BC103*(Annahmen!$B$12+Annahmen!$B$14*Annahmen!$B$23)+BC104*Annahmen!$B$16)*$D$11</f>
        <v>97241.7555974215</v>
      </c>
      <c r="BD106" s="37" t="n">
        <f aca="false">(BD101*Annahmen!$B$10+BD102*(Annahmen!$B$11+Annahmen!$B$13*Annahmen!$B$22)+BD103*(Annahmen!$B$12+Annahmen!$B$14*Annahmen!$B$23)+BD104*Annahmen!$B$16)*$D$11</f>
        <v>100027.126854314</v>
      </c>
      <c r="BE106" s="37" t="n">
        <f aca="false">(BE101*Annahmen!$B$10+BE102*(Annahmen!$B$11+Annahmen!$B$13*Annahmen!$B$22)+BE103*(Annahmen!$B$12+Annahmen!$B$14*Annahmen!$B$23)+BE104*Annahmen!$B$16)*$D$11</f>
        <v>102761.678412841</v>
      </c>
      <c r="BF106" s="37" t="n">
        <f aca="false">(BF101*Annahmen!$B$10+BF102*(Annahmen!$B$11+Annahmen!$B$13*Annahmen!$B$22)+BF103*(Annahmen!$B$12+Annahmen!$B$14*Annahmen!$B$23)+BF104*Annahmen!$B$16)*$D$11</f>
        <v>105446.446480351</v>
      </c>
      <c r="BG106" s="37" t="n">
        <f aca="false">(BG101*Annahmen!$B$10+BG102*(Annahmen!$B$11+Annahmen!$B$13*Annahmen!$B$22)+BG103*(Annahmen!$B$12+Annahmen!$B$14*Annahmen!$B$23)+BG104*Annahmen!$B$16)*$D$11</f>
        <v>108082.443948305</v>
      </c>
      <c r="BH106" s="37" t="n">
        <f aca="false">(BH101*Annahmen!$B$10+BH102*(Annahmen!$B$11+Annahmen!$B$13*Annahmen!$B$22)+BH103*(Annahmen!$B$12+Annahmen!$B$14*Annahmen!$B$23)+BH104*Annahmen!$B$16)*$D$11</f>
        <v>110670.660960308</v>
      </c>
      <c r="BI106" s="37" t="n">
        <f aca="false">(BI101*Annahmen!$B$10+BI102*(Annahmen!$B$11+Annahmen!$B$13*Annahmen!$B$22)+BI103*(Annahmen!$B$12+Annahmen!$B$14*Annahmen!$B$23)+BI104*Annahmen!$B$16)*$D$11</f>
        <v>113212.065465455</v>
      </c>
      <c r="BJ106" s="37" t="n">
        <f aca="false">(BJ101*Annahmen!$B$10+BJ102*(Annahmen!$B$11+Annahmen!$B$13*Annahmen!$B$22)+BJ103*(Annahmen!$B$12+Annahmen!$B$14*Annahmen!$B$23)+BJ104*Annahmen!$B$16)*$D$11</f>
        <v>115707.603757358</v>
      </c>
    </row>
    <row r="107" customFormat="false" ht="15" hidden="false" customHeight="false" outlineLevel="0" collapsed="false">
      <c r="B107" s="5" t="s">
        <v>228</v>
      </c>
      <c r="C107" s="37" t="n">
        <f aca="false">C106*(1-Annahmen!$B$27)+C$21*$E$11*Annahmen!$B$21*Annahmen!$B$24*Annahmen!$B$15*$D$11</f>
        <v>894.506678</v>
      </c>
      <c r="D107" s="37" t="n">
        <f aca="false">D106*(1-Annahmen!$B$27)+D$21*$E$11*Annahmen!$B$21*Annahmen!$B$24*Annahmen!$B$15*$D$11</f>
        <v>1117.379485364</v>
      </c>
      <c r="E107" s="37" t="n">
        <f aca="false">E106*(1-Annahmen!$B$27)+E$21*$E$11*Annahmen!$B$21*Annahmen!$B$24*Annahmen!$B$15*$D$11</f>
        <v>1335.99573815463</v>
      </c>
      <c r="F107" s="37" t="n">
        <f aca="false">F106*(1-Annahmen!$B$27)+F$21*$E$11*Annahmen!$B$21*Annahmen!$B$24*Annahmen!$B$15*$D$11</f>
        <v>1888.87725108373</v>
      </c>
      <c r="G107" s="37" t="n">
        <f aca="false">G106*(1-Annahmen!$B$27)+G$21*$E$11*Annahmen!$B$21*Annahmen!$B$24*Annahmen!$B$15*$D$11</f>
        <v>2332.80192543226</v>
      </c>
      <c r="H107" s="37" t="n">
        <f aca="false">H106*(1-Annahmen!$B$27)+H$21*$E$11*Annahmen!$B$21*Annahmen!$B$24*Annahmen!$B$15*$D$11</f>
        <v>2768.25054156658</v>
      </c>
      <c r="I107" s="37" t="n">
        <f aca="false">I106*(1-Annahmen!$B$27)+I$21*$E$11*Annahmen!$B$21*Annahmen!$B$24*Annahmen!$B$15*$D$11</f>
        <v>3533.83472786097</v>
      </c>
      <c r="J107" s="37" t="n">
        <f aca="false">J106*(1-Annahmen!$B$27)+J$21*$E$11*Annahmen!$B$21*Annahmen!$B$24*Annahmen!$B$15*$D$11</f>
        <v>4186.42010264266</v>
      </c>
      <c r="K107" s="37" t="n">
        <f aca="false">K106*(1-Annahmen!$B$27)+K$21*$E$11*Annahmen!$B$21*Annahmen!$B$24*Annahmen!$B$15*$D$11</f>
        <v>4826.57311930239</v>
      </c>
      <c r="L107" s="37" t="n">
        <f aca="false">L106*(1-Annahmen!$B$27)+L$21*$E$11*Annahmen!$B$21*Annahmen!$B$24*Annahmen!$B$15*$D$11</f>
        <v>5792.98908641954</v>
      </c>
      <c r="M107" s="37" t="n">
        <f aca="false">M106*(1-Annahmen!$B$27)+M$21*$E$11*Annahmen!$B$21*Annahmen!$B$24*Annahmen!$B$15*$D$11</f>
        <v>6642.61535955663</v>
      </c>
      <c r="N107" s="37" t="n">
        <f aca="false">N106*(1-Annahmen!$B$27)+N$21*$E$11*Annahmen!$B$21*Annahmen!$B$24*Annahmen!$B$15*$D$11</f>
        <v>7476.09823490301</v>
      </c>
      <c r="O107" s="37" t="n">
        <f aca="false">O106*(1-Annahmen!$B$27)+O$21*$E$11*Annahmen!$B$21*Annahmen!$B$24*Annahmen!$B$15*$D$11</f>
        <v>8745.02140665333</v>
      </c>
      <c r="P107" s="37" t="n">
        <f aca="false">P106*(1-Annahmen!$B$27)+P$21*$E$11*Annahmen!$B$21*Annahmen!$B$24*Annahmen!$B$15*$D$11</f>
        <v>9858.63821593034</v>
      </c>
      <c r="Q107" s="37" t="n">
        <f aca="false">Q106*(1-Annahmen!$B$27)+Q$21*$E$11*Annahmen!$B$21*Annahmen!$B$24*Annahmen!$B$15*$D$11</f>
        <v>10951.1341690268</v>
      </c>
      <c r="R107" s="37" t="n">
        <f aca="false">R106*(1-Annahmen!$B$27)+R$21*$E$11*Annahmen!$B$21*Annahmen!$B$24*Annahmen!$B$15*$D$11</f>
        <v>12474.197687475</v>
      </c>
      <c r="S107" s="37" t="n">
        <f aca="false">S106*(1-Annahmen!$B$27)+S$21*$E$11*Annahmen!$B$21*Annahmen!$B$24*Annahmen!$B$15*$D$11</f>
        <v>13837.1844188587</v>
      </c>
      <c r="T107" s="37" t="n">
        <f aca="false">T106*(1-Annahmen!$B$27)+T$21*$E$11*Annahmen!$B$21*Annahmen!$B$24*Annahmen!$B$15*$D$11</f>
        <v>15174.3798153142</v>
      </c>
      <c r="U107" s="37" t="n">
        <f aca="false">U106*(1-Annahmen!$B$27)+U$21*$E$11*Annahmen!$B$21*Annahmen!$B$24*Annahmen!$B$15*$D$11</f>
        <v>16937.5699422739</v>
      </c>
      <c r="V107" s="37" t="n">
        <f aca="false">V106*(1-Annahmen!$B$27)+V$21*$E$11*Annahmen!$B$21*Annahmen!$B$24*Annahmen!$B$15*$D$11</f>
        <v>18536.2058464111</v>
      </c>
      <c r="W107" s="37" t="n">
        <f aca="false">W106*(1-Annahmen!$B$27)+W$21*$E$11*Annahmen!$B$21*Annahmen!$B$24*Annahmen!$B$15*$D$11</f>
        <v>20104.6661897737</v>
      </c>
      <c r="X107" s="37" t="n">
        <f aca="false">X106*(1-Annahmen!$B$27)+X$21*$E$11*Annahmen!$B$21*Annahmen!$B$24*Annahmen!$B$15*$D$11</f>
        <v>22094.8281127028</v>
      </c>
      <c r="Y107" s="37" t="n">
        <f aca="false">Y106*(1-Annahmen!$B$27)+Y$21*$E$11*Annahmen!$B$21*Annahmen!$B$24*Annahmen!$B$15*$D$11</f>
        <v>23916.2316545328</v>
      </c>
      <c r="Z107" s="37" t="n">
        <f aca="false">Z106*(1-Annahmen!$B$27)+Z$21*$E$11*Annahmen!$B$21*Annahmen!$B$24*Annahmen!$B$15*$D$11</f>
        <v>25703.3424391012</v>
      </c>
      <c r="AA107" s="37" t="n">
        <f aca="false">AA106*(1-Annahmen!$B$27)+AA$21*$E$11*Annahmen!$B$21*Annahmen!$B$24*Annahmen!$B$15*$D$11</f>
        <v>27682.501807701</v>
      </c>
      <c r="AB107" s="37" t="n">
        <f aca="false">AB106*(1-Annahmen!$B$27)+AB$21*$E$11*Annahmen!$B$21*Annahmen!$B$24*Annahmen!$B$15*$D$11</f>
        <v>29558.873266268</v>
      </c>
      <c r="AC107" s="37" t="n">
        <f aca="false">AC106*(1-Annahmen!$B$27)+AC$21*$E$11*Annahmen!$B$21*Annahmen!$B$24*Annahmen!$B$15*$D$11</f>
        <v>31400.0740587476</v>
      </c>
      <c r="AD107" s="37" t="n">
        <f aca="false">AD106*(1-Annahmen!$B$27)+AD$21*$E$11*Annahmen!$B$21*Annahmen!$B$24*Annahmen!$B$15*$D$11</f>
        <v>33545.2712381257</v>
      </c>
      <c r="AE107" s="37" t="n">
        <f aca="false">AE106*(1-Annahmen!$B$27)+AE$21*$E$11*Annahmen!$B$21*Annahmen!$B$24*Annahmen!$B$15*$D$11</f>
        <v>35551.8731309284</v>
      </c>
      <c r="AF107" s="37" t="n">
        <f aca="false">AF106*(1-Annahmen!$B$27)+AF$21*$E$11*Annahmen!$B$21*Annahmen!$B$24*Annahmen!$B$15*$D$11</f>
        <v>37520.9764964407</v>
      </c>
      <c r="AG107" s="37" t="n">
        <f aca="false">AG106*(1-Annahmen!$B$27)+AG$21*$E$11*Annahmen!$B$21*Annahmen!$B$24*Annahmen!$B$15*$D$11</f>
        <v>39791.7948527276</v>
      </c>
      <c r="AH107" s="37" t="n">
        <f aca="false">AH106*(1-Annahmen!$B$27)+AH$21*$E$11*Annahmen!$B$21*Annahmen!$B$24*Annahmen!$B$15*$D$11</f>
        <v>41921.7819663331</v>
      </c>
      <c r="AI107" s="37" t="n">
        <f aca="false">AI106*(1-Annahmen!$B$27)+AI$21*$E$11*Annahmen!$B$21*Annahmen!$B$24*Annahmen!$B$15*$D$11</f>
        <v>44012.0790360563</v>
      </c>
      <c r="AJ107" s="37" t="n">
        <f aca="false">AJ106*(1-Annahmen!$B$27)+AJ$21*$E$11*Annahmen!$B$21*Annahmen!$B$24*Annahmen!$B$15*$D$11</f>
        <v>46514.7534329011</v>
      </c>
      <c r="AK107" s="37" t="n">
        <f aca="false">AK106*(1-Annahmen!$B$27)+AK$21*$E$11*Annahmen!$B$21*Annahmen!$B$24*Annahmen!$B$15*$D$11</f>
        <v>48839.5312242145</v>
      </c>
      <c r="AL107" s="37" t="n">
        <f aca="false">AL106*(1-Annahmen!$B$27)+AL$21*$E$11*Annahmen!$B$21*Annahmen!$B$24*Annahmen!$B$15*$D$11</f>
        <v>51121.0599599885</v>
      </c>
      <c r="AM107" s="37" t="n">
        <f aca="false">AM106*(1-Annahmen!$B$27)+AM$21*$E$11*Annahmen!$B$21*Annahmen!$B$24*Annahmen!$B$15*$D$11</f>
        <v>53924.2900740284</v>
      </c>
      <c r="AN107" s="37" t="n">
        <f aca="false">AN106*(1-Annahmen!$B$27)+AN$21*$E$11*Annahmen!$B$21*Annahmen!$B$24*Annahmen!$B$15*$D$11</f>
        <v>56511.2484602099</v>
      </c>
      <c r="AO107" s="37" t="n">
        <f aca="false">AO106*(1-Annahmen!$B$27)+AO$21*$E$11*Annahmen!$B$21*Annahmen!$B$24*Annahmen!$B$15*$D$11</f>
        <v>59050.1168785177</v>
      </c>
      <c r="AP107" s="37" t="n">
        <f aca="false">AP106*(1-Annahmen!$B$27)+AP$21*$E$11*Annahmen!$B$21*Annahmen!$B$24*Annahmen!$B$15*$D$11</f>
        <v>61541.8936941859</v>
      </c>
      <c r="AQ107" s="37" t="n">
        <f aca="false">AQ106*(1-Annahmen!$B$27)+AQ$21*$E$11*Annahmen!$B$21*Annahmen!$B$24*Annahmen!$B$15*$D$11</f>
        <v>63987.5544556654</v>
      </c>
      <c r="AR107" s="37" t="n">
        <f aca="false">AR106*(1-Annahmen!$B$27)+AR$21*$E$11*Annahmen!$B$21*Annahmen!$B$24*Annahmen!$B$15*$D$11</f>
        <v>66388.0524574734</v>
      </c>
      <c r="AS107" s="37" t="n">
        <f aca="false">AS106*(1-Annahmen!$B$27)+AS$21*$E$11*Annahmen!$B$21*Annahmen!$B$24*Annahmen!$B$15*$D$11</f>
        <v>68744.3192883394</v>
      </c>
      <c r="AT107" s="37" t="n">
        <f aca="false">AT106*(1-Annahmen!$B$27)+AT$21*$E$11*Annahmen!$B$21*Annahmen!$B$24*Annahmen!$B$15*$D$11</f>
        <v>71057.2653650454</v>
      </c>
      <c r="AU107" s="37" t="n">
        <f aca="false">AU106*(1-Annahmen!$B$27)+AU$21*$E$11*Annahmen!$B$21*Annahmen!$B$24*Annahmen!$B$15*$D$11</f>
        <v>73327.7804523527</v>
      </c>
      <c r="AV107" s="37" t="n">
        <f aca="false">AV106*(1-Annahmen!$B$27)+AV$21*$E$11*Annahmen!$B$21*Annahmen!$B$24*Annahmen!$B$15*$D$11</f>
        <v>75556.7341693909</v>
      </c>
      <c r="AW107" s="37" t="n">
        <f aca="false">AW106*(1-Annahmen!$B$27)+AW$21*$E$11*Annahmen!$B$21*Annahmen!$B$24*Annahmen!$B$15*$D$11</f>
        <v>77744.9764828794</v>
      </c>
      <c r="AX107" s="37" t="n">
        <f aca="false">AX106*(1-Annahmen!$B$27)+AX$21*$E$11*Annahmen!$B$21*Annahmen!$B$24*Annahmen!$B$15*$D$11</f>
        <v>79893.3381875367</v>
      </c>
      <c r="AY107" s="37" t="n">
        <f aca="false">AY106*(1-Annahmen!$B$27)+AY$21*$E$11*Annahmen!$B$21*Annahmen!$B$24*Annahmen!$B$15*$D$11</f>
        <v>83130.7352740259</v>
      </c>
      <c r="AZ107" s="37" t="n">
        <f aca="false">AZ106*(1-Annahmen!$B$27)+AZ$21*$E$11*Annahmen!$B$21*Annahmen!$B$24*Annahmen!$B$15*$D$11</f>
        <v>85980.2594959753</v>
      </c>
      <c r="BA107" s="37" t="n">
        <f aca="false">BA106*(1-Annahmen!$B$27)+BA$21*$E$11*Annahmen!$B$21*Annahmen!$B$24*Annahmen!$B$15*$D$11</f>
        <v>88777.3346120056</v>
      </c>
      <c r="BB107" s="37" t="n">
        <f aca="false">BB106*(1-Annahmen!$B$27)+BB$21*$E$11*Annahmen!$B$21*Annahmen!$B$24*Annahmen!$B$15*$D$11</f>
        <v>91523.0393089855</v>
      </c>
      <c r="BC107" s="37" t="n">
        <f aca="false">BC106*(1-Annahmen!$B$27)+BC$21*$E$11*Annahmen!$B$21*Annahmen!$B$24*Annahmen!$B$15*$D$11</f>
        <v>94218.4278175504</v>
      </c>
      <c r="BD107" s="37" t="n">
        <f aca="false">BD106*(1-Annahmen!$B$27)+BD$21*$E$11*Annahmen!$B$21*Annahmen!$B$24*Annahmen!$B$15*$D$11</f>
        <v>96864.5305115987</v>
      </c>
      <c r="BE107" s="37" t="n">
        <f aca="false">BE106*(1-Annahmen!$B$27)+BE$21*$E$11*Annahmen!$B$21*Annahmen!$B$24*Annahmen!$B$15*$D$11</f>
        <v>99462.3544921988</v>
      </c>
      <c r="BF107" s="37" t="n">
        <f aca="false">BF106*(1-Annahmen!$B$27)+BF$21*$E$11*Annahmen!$B$21*Annahmen!$B$24*Annahmen!$B$15*$D$11</f>
        <v>102012.884156334</v>
      </c>
      <c r="BG107" s="37" t="n">
        <f aca="false">BG106*(1-Annahmen!$B$27)+BG$21*$E$11*Annahmen!$B$21*Annahmen!$B$24*Annahmen!$B$15*$D$11</f>
        <v>104517.081750889</v>
      </c>
      <c r="BH107" s="37" t="n">
        <f aca="false">BH106*(1-Annahmen!$B$27)+BH$21*$E$11*Annahmen!$B$21*Annahmen!$B$24*Annahmen!$B$15*$D$11</f>
        <v>106975.887912293</v>
      </c>
      <c r="BI107" s="37" t="n">
        <f aca="false">BI106*(1-Annahmen!$B$27)+BI$21*$E$11*Annahmen!$B$21*Annahmen!$B$24*Annahmen!$B$15*$D$11</f>
        <v>109390.222192182</v>
      </c>
      <c r="BJ107" s="37" t="n">
        <f aca="false">BJ106*(1-Annahmen!$B$27)+BJ$21*$E$11*Annahmen!$B$21*Annahmen!$B$24*Annahmen!$B$15*$D$11</f>
        <v>111760.983569491</v>
      </c>
    </row>
    <row r="108" customFormat="false" ht="15" hidden="false" customHeight="false" outlineLevel="0" collapsed="false">
      <c r="B108" s="5" t="s">
        <v>239</v>
      </c>
      <c r="C108" s="37" t="n">
        <f aca="false">C101*Annahmen!$B$52+C102*Annahmen!$B$53+C103*Annahmen!$B$54+C107*Annahmen!$B$55+C105*Annahmen!$B$56+C107*INDEX(Annahmen!$B$58:$F$58,1,C$20)*Annahmen!$B$57+C$21*$E$11*Annahmen!$B$21*Annahmen!$B$24*Annahmen!$B$59</f>
        <v>29.482983424</v>
      </c>
      <c r="D108" s="37" t="n">
        <f aca="false">D101*Annahmen!$B$52+D102*Annahmen!$B$53+D103*Annahmen!$B$54+D107*Annahmen!$B$55+D105*Annahmen!$B$56+D107*INDEX(Annahmen!$B$58:$F$58,1,D$20)*Annahmen!$B$57+D$21*$E$11*Annahmen!$B$21*Annahmen!$B$24*Annahmen!$B$59</f>
        <v>35.397822222912</v>
      </c>
      <c r="E108" s="37" t="n">
        <f aca="false">E101*Annahmen!$B$52+E102*Annahmen!$B$53+E103*Annahmen!$B$54+E107*Annahmen!$B$55+E105*Annahmen!$B$56+E107*INDEX(Annahmen!$B$58:$F$58,1,E$20)*Annahmen!$B$57+E$21*$E$11*Annahmen!$B$21*Annahmen!$B$24*Annahmen!$B$59</f>
        <v>41.1954470441571</v>
      </c>
      <c r="F108" s="37" t="n">
        <f aca="false">F101*Annahmen!$B$52+F102*Annahmen!$B$53+F103*Annahmen!$B$54+F107*Annahmen!$B$55+F105*Annahmen!$B$56+F107*INDEX(Annahmen!$B$58:$F$58,1,F$20)*Annahmen!$B$57+F$21*$E$11*Annahmen!$B$21*Annahmen!$B$24*Annahmen!$B$59</f>
        <v>61.5768976994728</v>
      </c>
      <c r="G108" s="37" t="n">
        <f aca="false">G101*Annahmen!$B$52+G102*Annahmen!$B$53+G103*Annahmen!$B$54+G107*Annahmen!$B$55+G105*Annahmen!$B$56+G107*INDEX(Annahmen!$B$58:$F$58,1,G$20)*Annahmen!$B$57+G$21*$E$11*Annahmen!$B$21*Annahmen!$B$24*Annahmen!$B$59</f>
        <v>73.3573076894029</v>
      </c>
      <c r="H108" s="37" t="n">
        <f aca="false">H101*Annahmen!$B$52+H102*Annahmen!$B$53+H103*Annahmen!$B$54+H107*Annahmen!$B$55+H105*Annahmen!$B$56+H107*INDEX(Annahmen!$B$58:$F$58,1,H$20)*Annahmen!$B$57+H$21*$E$11*Annahmen!$B$21*Annahmen!$B$24*Annahmen!$B$59</f>
        <v>84.9043295420698</v>
      </c>
      <c r="I108" s="37" t="n">
        <f aca="false">I101*Annahmen!$B$52+I102*Annahmen!$B$53+I103*Annahmen!$B$54+I107*Annahmen!$B$55+I105*Annahmen!$B$56+I107*INDEX(Annahmen!$B$58:$F$58,1,I$20)*Annahmen!$B$57+I$21*$E$11*Annahmen!$B$21*Annahmen!$B$24*Annahmen!$B$59</f>
        <v>110.921569374656</v>
      </c>
      <c r="J108" s="37" t="n">
        <f aca="false">J101*Annahmen!$B$52+J102*Annahmen!$B$53+J103*Annahmen!$B$54+J107*Annahmen!$B$55+J105*Annahmen!$B$56+J107*INDEX(Annahmen!$B$58:$F$58,1,J$20)*Annahmen!$B$57+J$21*$E$11*Annahmen!$B$21*Annahmen!$B$24*Annahmen!$B$59</f>
        <v>128.22666505909</v>
      </c>
      <c r="K108" s="37" t="n">
        <f aca="false">K101*Annahmen!$B$52+K102*Annahmen!$B$53+K103*Annahmen!$B$54+K107*Annahmen!$B$55+K105*Annahmen!$B$56+K107*INDEX(Annahmen!$B$58:$F$58,1,K$20)*Annahmen!$B$57+K$21*$E$11*Annahmen!$B$21*Annahmen!$B$24*Annahmen!$B$59</f>
        <v>145.189713157622</v>
      </c>
      <c r="L108" s="37" t="n">
        <f aca="false">L101*Annahmen!$B$52+L102*Annahmen!$B$53+L103*Annahmen!$B$54+L107*Annahmen!$B$55+L105*Annahmen!$B$56+L107*INDEX(Annahmen!$B$58:$F$58,1,L$20)*Annahmen!$B$57+L$21*$E$11*Annahmen!$B$21*Annahmen!$B$24*Annahmen!$B$59</f>
        <v>176.516705037941</v>
      </c>
      <c r="M108" s="37" t="n">
        <f aca="false">M101*Annahmen!$B$52+M102*Annahmen!$B$53+M103*Annahmen!$B$54+M107*Annahmen!$B$55+M105*Annahmen!$B$56+M107*INDEX(Annahmen!$B$58:$F$58,1,M$20)*Annahmen!$B$57+M$21*$E$11*Annahmen!$B$21*Annahmen!$B$24*Annahmen!$B$59</f>
        <v>199.027606550555</v>
      </c>
      <c r="N108" s="37" t="n">
        <f aca="false">N101*Annahmen!$B$52+N102*Annahmen!$B$53+N103*Annahmen!$B$54+N107*Annahmen!$B$55+N105*Annahmen!$B$56+N107*INDEX(Annahmen!$B$58:$F$58,1,N$20)*Annahmen!$B$57+N$21*$E$11*Annahmen!$B$21*Annahmen!$B$24*Annahmen!$B$59</f>
        <v>221.094786435267</v>
      </c>
      <c r="O108" s="37" t="n">
        <f aca="false">O101*Annahmen!$B$52+O102*Annahmen!$B$53+O103*Annahmen!$B$54+O107*Annahmen!$B$55+O105*Annahmen!$B$56+O107*INDEX(Annahmen!$B$58:$F$58,1,O$20)*Annahmen!$B$57+O$21*$E$11*Annahmen!$B$21*Annahmen!$B$24*Annahmen!$B$59</f>
        <v>480.951472153895</v>
      </c>
      <c r="P108" s="37" t="n">
        <f aca="false">P101*Annahmen!$B$52+P102*Annahmen!$B$53+P103*Annahmen!$B$54+P107*Annahmen!$B$55+P105*Annahmen!$B$56+P107*INDEX(Annahmen!$B$58:$F$58,1,P$20)*Annahmen!$B$57+P$21*$E$11*Annahmen!$B$21*Annahmen!$B$24*Annahmen!$B$59</f>
        <v>538.280012815926</v>
      </c>
      <c r="Q108" s="37" t="n">
        <f aca="false">Q101*Annahmen!$B$52+Q102*Annahmen!$B$53+Q103*Annahmen!$B$54+Q107*Annahmen!$B$55+Q105*Annahmen!$B$56+Q107*INDEX(Annahmen!$B$58:$F$58,1,Q$20)*Annahmen!$B$57+Q$21*$E$11*Annahmen!$B$21*Annahmen!$B$24*Annahmen!$B$59</f>
        <v>594.500379079966</v>
      </c>
      <c r="R108" s="37" t="n">
        <f aca="false">R101*Annahmen!$B$52+R102*Annahmen!$B$53+R103*Annahmen!$B$54+R107*Annahmen!$B$55+R105*Annahmen!$B$56+R107*INDEX(Annahmen!$B$58:$F$58,1,R$20)*Annahmen!$B$57+R$21*$E$11*Annahmen!$B$21*Annahmen!$B$24*Annahmen!$B$59</f>
        <v>680.515453060852</v>
      </c>
      <c r="S108" s="37" t="n">
        <f aca="false">S101*Annahmen!$B$52+S102*Annahmen!$B$53+S103*Annahmen!$B$54+S107*Annahmen!$B$55+S105*Annahmen!$B$56+S107*INDEX(Annahmen!$B$58:$F$58,1,S$20)*Annahmen!$B$57+S$21*$E$11*Annahmen!$B$21*Annahmen!$B$24*Annahmen!$B$59</f>
        <v>750.655033205685</v>
      </c>
      <c r="T108" s="37" t="n">
        <f aca="false">T101*Annahmen!$B$52+T102*Annahmen!$B$53+T103*Annahmen!$B$54+T107*Annahmen!$B$55+T105*Annahmen!$B$56+T107*INDEX(Annahmen!$B$58:$F$58,1,T$20)*Annahmen!$B$57+T$21*$E$11*Annahmen!$B$21*Annahmen!$B$24*Annahmen!$B$59</f>
        <v>819.441971583767</v>
      </c>
      <c r="U108" s="37" t="n">
        <f aca="false">U101*Annahmen!$B$52+U102*Annahmen!$B$53+U103*Annahmen!$B$54+U107*Annahmen!$B$55+U105*Annahmen!$B$56+U107*INDEX(Annahmen!$B$58:$F$58,1,U$20)*Annahmen!$B$57+U$21*$E$11*Annahmen!$B$21*Annahmen!$B$24*Annahmen!$B$59</f>
        <v>917.784362409143</v>
      </c>
      <c r="V108" s="37" t="n">
        <f aca="false">V101*Annahmen!$B$52+V102*Annahmen!$B$53+V103*Annahmen!$B$54+V107*Annahmen!$B$55+V105*Annahmen!$B$56+V107*INDEX(Annahmen!$B$58:$F$58,1,V$20)*Annahmen!$B$57+V$21*$E$11*Annahmen!$B$21*Annahmen!$B$24*Annahmen!$B$59</f>
        <v>1000.01709419933</v>
      </c>
      <c r="W108" s="37" t="n">
        <f aca="false">W101*Annahmen!$B$52+W102*Annahmen!$B$53+W103*Annahmen!$B$54+W107*Annahmen!$B$55+W105*Annahmen!$B$56+W107*INDEX(Annahmen!$B$58:$F$58,1,W$20)*Annahmen!$B$57+W$21*$E$11*Annahmen!$B$21*Annahmen!$B$24*Annahmen!$B$59</f>
        <v>1080.66799013669</v>
      </c>
      <c r="X108" s="37" t="n">
        <f aca="false">X101*Annahmen!$B$52+X102*Annahmen!$B$53+X103*Annahmen!$B$54+X107*Annahmen!$B$55+X105*Annahmen!$B$56+X107*INDEX(Annahmen!$B$58:$F$58,1,X$20)*Annahmen!$B$57+X$21*$E$11*Annahmen!$B$21*Annahmen!$B$24*Annahmen!$B$59</f>
        <v>1190.64999958087</v>
      </c>
      <c r="Y108" s="37" t="n">
        <f aca="false">Y101*Annahmen!$B$52+Y102*Annahmen!$B$53+Y103*Annahmen!$B$54+Y107*Annahmen!$B$55+Y105*Annahmen!$B$56+Y107*INDEX(Annahmen!$B$58:$F$58,1,Y$20)*Annahmen!$B$57+Y$21*$E$11*Annahmen!$B$21*Annahmen!$B$24*Annahmen!$B$59</f>
        <v>1284.30275313818</v>
      </c>
      <c r="Z108" s="37" t="n">
        <f aca="false">Z101*Annahmen!$B$52+Z102*Annahmen!$B$53+Z103*Annahmen!$B$54+Z107*Annahmen!$B$55+Z105*Annahmen!$B$56+Z107*INDEX(Annahmen!$B$58:$F$58,1,Z$20)*Annahmen!$B$57+Z$21*$E$11*Annahmen!$B$21*Annahmen!$B$24*Annahmen!$B$59</f>
        <v>1376.15870585648</v>
      </c>
      <c r="AA108" s="37" t="n">
        <f aca="false">AA101*Annahmen!$B$52+AA102*Annahmen!$B$53+AA103*Annahmen!$B$54+AA107*Annahmen!$B$55+AA105*Annahmen!$B$56+AA107*INDEX(Annahmen!$B$58:$F$58,1,AA$20)*Annahmen!$B$57+AA$21*$E$11*Annahmen!$B$21*Annahmen!$B$24*Annahmen!$B$59</f>
        <v>2173.75839094879</v>
      </c>
      <c r="AB108" s="37" t="n">
        <f aca="false">AB101*Annahmen!$B$52+AB102*Annahmen!$B$53+AB103*Annahmen!$B$54+AB107*Annahmen!$B$55+AB105*Annahmen!$B$56+AB107*INDEX(Annahmen!$B$58:$F$58,1,AB$20)*Annahmen!$B$57+AB$21*$E$11*Annahmen!$B$21*Annahmen!$B$24*Annahmen!$B$59</f>
        <v>2317.0768281084</v>
      </c>
      <c r="AC108" s="37" t="n">
        <f aca="false">AC101*Annahmen!$B$52+AC102*Annahmen!$B$53+AC103*Annahmen!$B$54+AC107*Annahmen!$B$55+AC105*Annahmen!$B$56+AC107*INDEX(Annahmen!$B$58:$F$58,1,AC$20)*Annahmen!$B$57+AC$21*$E$11*Annahmen!$B$21*Annahmen!$B$24*Annahmen!$B$59</f>
        <v>2457.67475295502</v>
      </c>
      <c r="AD108" s="37" t="n">
        <f aca="false">AD101*Annahmen!$B$52+AD102*Annahmen!$B$53+AD103*Annahmen!$B$54+AD107*Annahmen!$B$55+AD105*Annahmen!$B$56+AD107*INDEX(Annahmen!$B$58:$F$58,1,AD$20)*Annahmen!$B$57+AD$21*$E$11*Annahmen!$B$21*Annahmen!$B$24*Annahmen!$B$59</f>
        <v>2627.22985769127</v>
      </c>
      <c r="AE108" s="37" t="n">
        <f aca="false">AE101*Annahmen!$B$52+AE102*Annahmen!$B$53+AE103*Annahmen!$B$54+AE107*Annahmen!$B$55+AE105*Annahmen!$B$56+AE107*INDEX(Annahmen!$B$58:$F$58,1,AE$20)*Annahmen!$B$57+AE$21*$E$11*Annahmen!$B$21*Annahmen!$B$24*Annahmen!$B$59</f>
        <v>2780.44555720742</v>
      </c>
      <c r="AF108" s="37" t="n">
        <f aca="false">AF101*Annahmen!$B$52+AF102*Annahmen!$B$53+AF103*Annahmen!$B$54+AF107*Annahmen!$B$55+AF105*Annahmen!$B$56+AF107*INDEX(Annahmen!$B$58:$F$58,1,AF$20)*Annahmen!$B$57+AF$21*$E$11*Annahmen!$B$21*Annahmen!$B$24*Annahmen!$B$59</f>
        <v>2930.76178345385</v>
      </c>
      <c r="AG108" s="37" t="n">
        <f aca="false">AG101*Annahmen!$B$52+AG102*Annahmen!$B$53+AG103*Annahmen!$B$54+AG107*Annahmen!$B$55+AG105*Annahmen!$B$56+AG107*INDEX(Annahmen!$B$58:$F$58,1,AG$20)*Annahmen!$B$57+AG$21*$E$11*Annahmen!$B$21*Annahmen!$B$24*Annahmen!$B$59</f>
        <v>3109.85984707952</v>
      </c>
      <c r="AH108" s="37" t="n">
        <f aca="false">AH101*Annahmen!$B$52+AH102*Annahmen!$B$53+AH103*Annahmen!$B$54+AH107*Annahmen!$B$55+AH105*Annahmen!$B$56+AH107*INDEX(Annahmen!$B$58:$F$58,1,AH$20)*Annahmen!$B$57+AH$21*$E$11*Annahmen!$B$21*Annahmen!$B$24*Annahmen!$B$59</f>
        <v>3272.44670057024</v>
      </c>
      <c r="AI108" s="37" t="n">
        <f aca="false">AI101*Annahmen!$B$52+AI102*Annahmen!$B$53+AI103*Annahmen!$B$54+AI107*Annahmen!$B$55+AI105*Annahmen!$B$56+AI107*INDEX(Annahmen!$B$58:$F$58,1,AI$20)*Annahmen!$B$57+AI$21*$E$11*Annahmen!$B$21*Annahmen!$B$24*Annahmen!$B$59</f>
        <v>3431.96573458025</v>
      </c>
      <c r="AJ108" s="37" t="n">
        <f aca="false">AJ101*Annahmen!$B$52+AJ102*Annahmen!$B$53+AJ103*Annahmen!$B$54+AJ107*Annahmen!$B$55+AJ105*Annahmen!$B$56+AJ107*INDEX(Annahmen!$B$58:$F$58,1,AJ$20)*Annahmen!$B$57+AJ$21*$E$11*Annahmen!$B$21*Annahmen!$B$24*Annahmen!$B$59</f>
        <v>3630.64164409932</v>
      </c>
      <c r="AK108" s="37" t="n">
        <f aca="false">AK101*Annahmen!$B$52+AK102*Annahmen!$B$53+AK103*Annahmen!$B$54+AK107*Annahmen!$B$55+AK105*Annahmen!$B$56+AK107*INDEX(Annahmen!$B$58:$F$58,1,AK$20)*Annahmen!$B$57+AK$21*$E$11*Annahmen!$B$21*Annahmen!$B$24*Annahmen!$B$59</f>
        <v>3808.06704629548</v>
      </c>
      <c r="AL108" s="37" t="n">
        <f aca="false">AL101*Annahmen!$B$52+AL102*Annahmen!$B$53+AL103*Annahmen!$B$54+AL107*Annahmen!$B$55+AL105*Annahmen!$B$56+AL107*INDEX(Annahmen!$B$58:$F$58,1,AL$20)*Annahmen!$B$57+AL$21*$E$11*Annahmen!$B$21*Annahmen!$B$24*Annahmen!$B$59</f>
        <v>3982.15019889033</v>
      </c>
      <c r="AM108" s="37" t="n">
        <f aca="false">AM101*Annahmen!$B$52+AM102*Annahmen!$B$53+AM103*Annahmen!$B$54+AM107*Annahmen!$B$55+AM105*Annahmen!$B$56+AM107*INDEX(Annahmen!$B$58:$F$58,1,AM$20)*Annahmen!$B$57+AM$21*$E$11*Annahmen!$B$21*Annahmen!$B$24*Annahmen!$B$59</f>
        <v>4879.71510363431</v>
      </c>
      <c r="AN108" s="37" t="n">
        <f aca="false">AN101*Annahmen!$B$52+AN102*Annahmen!$B$53+AN103*Annahmen!$B$54+AN107*Annahmen!$B$55+AN105*Annahmen!$B$56+AN107*INDEX(Annahmen!$B$58:$F$58,1,AN$20)*Annahmen!$B$57+AN$21*$E$11*Annahmen!$B$21*Annahmen!$B$24*Annahmen!$B$59</f>
        <v>5109.47201240155</v>
      </c>
      <c r="AO108" s="37" t="n">
        <f aca="false">AO101*Annahmen!$B$52+AO102*Annahmen!$B$53+AO103*Annahmen!$B$54+AO107*Annahmen!$B$55+AO105*Annahmen!$B$56+AO107*INDEX(Annahmen!$B$58:$F$58,1,AO$20)*Annahmen!$B$57+AO$21*$E$11*Annahmen!$B$21*Annahmen!$B$24*Annahmen!$B$59</f>
        <v>5334.91176046449</v>
      </c>
      <c r="AP108" s="37" t="n">
        <f aca="false">AP101*Annahmen!$B$52+AP102*Annahmen!$B$53+AP103*Annahmen!$B$54+AP107*Annahmen!$B$55+AP105*Annahmen!$B$56+AP107*INDEX(Annahmen!$B$58:$F$58,1,AP$20)*Annahmen!$B$57+AP$21*$E$11*Annahmen!$B$21*Annahmen!$B$24*Annahmen!$B$59</f>
        <v>5556.12500559606</v>
      </c>
      <c r="AQ108" s="37" t="n">
        <f aca="false">AQ101*Annahmen!$B$52+AQ102*Annahmen!$B$53+AQ103*Annahmen!$B$54+AQ107*Annahmen!$B$55+AQ105*Annahmen!$B$56+AQ107*INDEX(Annahmen!$B$58:$F$58,1,AQ$20)*Annahmen!$B$57+AQ$21*$E$11*Annahmen!$B$21*Annahmen!$B$24*Annahmen!$B$59</f>
        <v>5773.20031113041</v>
      </c>
      <c r="AR108" s="37" t="n">
        <f aca="false">AR101*Annahmen!$B$52+AR102*Annahmen!$B$53+AR103*Annahmen!$B$54+AR107*Annahmen!$B$55+AR105*Annahmen!$B$56+AR107*INDEX(Annahmen!$B$58:$F$58,1,AR$20)*Annahmen!$B$57+AR$21*$E$11*Annahmen!$B$21*Annahmen!$B$24*Annahmen!$B$59</f>
        <v>5986.22419811228</v>
      </c>
      <c r="AS108" s="37" t="n">
        <f aca="false">AS101*Annahmen!$B$52+AS102*Annahmen!$B$53+AS103*Annahmen!$B$54+AS107*Annahmen!$B$55+AS105*Annahmen!$B$56+AS107*INDEX(Annahmen!$B$58:$F$58,1,AS$20)*Annahmen!$B$57+AS$21*$E$11*Annahmen!$B$21*Annahmen!$B$24*Annahmen!$B$59</f>
        <v>6195.28119607378</v>
      </c>
      <c r="AT108" s="37" t="n">
        <f aca="false">AT101*Annahmen!$B$52+AT102*Annahmen!$B$53+AT103*Annahmen!$B$54+AT107*Annahmen!$B$55+AT105*Annahmen!$B$56+AT107*INDEX(Annahmen!$B$58:$F$58,1,AT$20)*Annahmen!$B$57+AT$21*$E$11*Annahmen!$B$21*Annahmen!$B$24*Annahmen!$B$59</f>
        <v>6400.45389247611</v>
      </c>
      <c r="AU108" s="37" t="n">
        <f aca="false">AU101*Annahmen!$B$52+AU102*Annahmen!$B$53+AU103*Annahmen!$B$54+AU107*Annahmen!$B$55+AU105*Annahmen!$B$56+AU107*INDEX(Annahmen!$B$58:$F$58,1,AU$20)*Annahmen!$B$57+AU$21*$E$11*Annahmen!$B$21*Annahmen!$B$24*Annahmen!$B$59</f>
        <v>6601.82298085272</v>
      </c>
      <c r="AV108" s="37" t="n">
        <f aca="false">AV101*Annahmen!$B$52+AV102*Annahmen!$B$53+AV103*Annahmen!$B$54+AV107*Annahmen!$B$55+AV105*Annahmen!$B$56+AV107*INDEX(Annahmen!$B$58:$F$58,1,AV$20)*Annahmen!$B$57+AV$21*$E$11*Annahmen!$B$21*Annahmen!$B$24*Annahmen!$B$59</f>
        <v>6799.46730768943</v>
      </c>
      <c r="AW108" s="37" t="n">
        <f aca="false">AW101*Annahmen!$B$52+AW102*Annahmen!$B$53+AW103*Annahmen!$B$54+AW107*Annahmen!$B$55+AW105*Annahmen!$B$56+AW107*INDEX(Annahmen!$B$58:$F$58,1,AW$20)*Annahmen!$B$57+AW$21*$E$11*Annahmen!$B$21*Annahmen!$B$24*Annahmen!$B$59</f>
        <v>6993.46391807621</v>
      </c>
      <c r="AX108" s="37" t="n">
        <f aca="false">AX101*Annahmen!$B$52+AX102*Annahmen!$B$53+AX103*Annahmen!$B$54+AX107*Annahmen!$B$55+AX105*Annahmen!$B$56+AX107*INDEX(Annahmen!$B$58:$F$58,1,AX$20)*Annahmen!$B$57+AX$21*$E$11*Annahmen!$B$21*Annahmen!$B$24*Annahmen!$B$59</f>
        <v>7183.88810016383</v>
      </c>
      <c r="AY108" s="37" t="n">
        <f aca="false">AY101*Annahmen!$B$52+AY102*Annahmen!$B$53+AY103*Annahmen!$B$54+AY107*Annahmen!$B$55+AY105*Annahmen!$B$56+AY107*INDEX(Annahmen!$B$58:$F$58,1,AY$20)*Annahmen!$B$57+AY$21*$E$11*Annahmen!$B$21*Annahmen!$B$24*Annahmen!$B$59</f>
        <v>8529.44894433363</v>
      </c>
      <c r="AZ108" s="37" t="n">
        <f aca="false">AZ101*Annahmen!$B$52+AZ102*Annahmen!$B$53+AZ103*Annahmen!$B$54+AZ107*Annahmen!$B$55+AZ105*Annahmen!$B$56+AZ107*INDEX(Annahmen!$B$58:$F$58,1,AZ$20)*Annahmen!$B$57+AZ$21*$E$11*Annahmen!$B$21*Annahmen!$B$24*Annahmen!$B$59</f>
        <v>8817.92132927394</v>
      </c>
      <c r="BA108" s="37" t="n">
        <f aca="false">BA101*Annahmen!$B$52+BA102*Annahmen!$B$53+BA103*Annahmen!$B$54+BA107*Annahmen!$B$55+BA105*Annahmen!$B$56+BA107*INDEX(Annahmen!$B$58:$F$58,1,BA$20)*Annahmen!$B$57+BA$21*$E$11*Annahmen!$B$21*Annahmen!$B$24*Annahmen!$B$59</f>
        <v>9101.03448624422</v>
      </c>
      <c r="BB108" s="37" t="n">
        <f aca="false">BB101*Annahmen!$B$52+BB102*Annahmen!$B$53+BB103*Annahmen!$B$54+BB107*Annahmen!$B$55+BB105*Annahmen!$B$56+BB107*INDEX(Annahmen!$B$58:$F$58,1,BB$20)*Annahmen!$B$57+BB$21*$E$11*Annahmen!$B$21*Annahmen!$B$24*Annahmen!$B$59</f>
        <v>9378.89974603524</v>
      </c>
      <c r="BC108" s="37" t="n">
        <f aca="false">BC101*Annahmen!$B$52+BC102*Annahmen!$B$53+BC103*Annahmen!$B$54+BC107*Annahmen!$B$55+BC105*Annahmen!$B$56+BC107*INDEX(Annahmen!$B$58:$F$58,1,BC$20)*Annahmen!$B$57+BC$21*$E$11*Annahmen!$B$21*Annahmen!$B$24*Annahmen!$B$59</f>
        <v>9651.6258910011</v>
      </c>
      <c r="BD108" s="37" t="n">
        <f aca="false">BD101*Annahmen!$B$52+BD102*Annahmen!$B$53+BD103*Annahmen!$B$54+BD107*Annahmen!$B$55+BD105*Annahmen!$B$56+BD107*INDEX(Annahmen!$B$58:$F$58,1,BD$20)*Annahmen!$B$57+BD$21*$E$11*Annahmen!$B$21*Annahmen!$B$24*Annahmen!$B$59</f>
        <v>9919.31921805189</v>
      </c>
      <c r="BE108" s="37" t="n">
        <f aca="false">BE101*Annahmen!$B$52+BE102*Annahmen!$B$53+BE103*Annahmen!$B$54+BE107*Annahmen!$B$55+BE105*Annahmen!$B$56+BE107*INDEX(Annahmen!$B$58:$F$58,1,BE$20)*Annahmen!$B$57+BE$21*$E$11*Annahmen!$B$21*Annahmen!$B$24*Annahmen!$B$59</f>
        <v>10182.0835999971</v>
      </c>
      <c r="BF108" s="37" t="n">
        <f aca="false">BF101*Annahmen!$B$52+BF102*Annahmen!$B$53+BF103*Annahmen!$B$54+BF107*Annahmen!$B$55+BF105*Annahmen!$B$56+BF107*INDEX(Annahmen!$B$58:$F$58,1,BF$20)*Annahmen!$B$57+BF$21*$E$11*Annahmen!$B$21*Annahmen!$B$24*Annahmen!$B$59</f>
        <v>10440.0205452855</v>
      </c>
      <c r="BG108" s="37" t="n">
        <f aca="false">BG101*Annahmen!$B$52+BG102*Annahmen!$B$53+BG103*Annahmen!$B$54+BG107*Annahmen!$B$55+BG105*Annahmen!$B$56+BG107*INDEX(Annahmen!$B$58:$F$58,1,BG$20)*Annahmen!$B$57+BG$21*$E$11*Annahmen!$B$21*Annahmen!$B$24*Annahmen!$B$59</f>
        <v>10693.2292561838</v>
      </c>
      <c r="BH108" s="37" t="n">
        <f aca="false">BH101*Annahmen!$B$52+BH102*Annahmen!$B$53+BH103*Annahmen!$B$54+BH107*Annahmen!$B$55+BH105*Annahmen!$B$56+BH107*INDEX(Annahmen!$B$58:$F$58,1,BH$20)*Annahmen!$B$57+BH$21*$E$11*Annahmen!$B$21*Annahmen!$B$24*Annahmen!$B$59</f>
        <v>10941.8066854391</v>
      </c>
      <c r="BI108" s="37" t="n">
        <f aca="false">BI101*Annahmen!$B$52+BI102*Annahmen!$B$53+BI103*Annahmen!$B$54+BI107*Annahmen!$B$55+BI105*Annahmen!$B$56+BI107*INDEX(Annahmen!$B$58:$F$58,1,BI$20)*Annahmen!$B$57+BI$21*$E$11*Annahmen!$B$21*Annahmen!$B$24*Annahmen!$B$59</f>
        <v>11185.8475914631</v>
      </c>
      <c r="BJ108" s="37" t="n">
        <f aca="false">BJ101*Annahmen!$B$52+BJ102*Annahmen!$B$53+BJ103*Annahmen!$B$54+BJ107*Annahmen!$B$55+BJ105*Annahmen!$B$56+BJ107*INDEX(Annahmen!$B$58:$F$58,1,BJ$20)*Annahmen!$B$57+BJ$21*$E$11*Annahmen!$B$21*Annahmen!$B$24*Annahmen!$B$59</f>
        <v>11425.4445920813</v>
      </c>
    </row>
    <row r="109" customFormat="false" ht="15" hidden="false" customHeight="false" outlineLevel="0" collapsed="false">
      <c r="B109" s="5" t="s">
        <v>267</v>
      </c>
      <c r="C109" s="37" t="n">
        <f aca="false">C107-C108-C$22</f>
        <v>-16094.976305424</v>
      </c>
      <c r="D109" s="37" t="n">
        <f aca="false">D107-D108-D$22</f>
        <v>-6078.01833685891</v>
      </c>
      <c r="E109" s="37" t="n">
        <f aca="false">E107-E108-E$22</f>
        <v>-6665.19970888953</v>
      </c>
      <c r="F109" s="37" t="n">
        <f aca="false">F107-F108-F$22</f>
        <v>-14332.6996466157</v>
      </c>
      <c r="G109" s="37" t="n">
        <f aca="false">G107-G108-G$22</f>
        <v>-4900.55538225715</v>
      </c>
      <c r="H109" s="37" t="n">
        <f aca="false">H107-H108-H$22</f>
        <v>-4476.65378797549</v>
      </c>
      <c r="I109" s="37" t="n">
        <f aca="false">I107-I108-I$22</f>
        <v>-10175.0868415137</v>
      </c>
      <c r="J109" s="37" t="n">
        <f aca="false">J107-J108-J$22</f>
        <v>-7739.80656241644</v>
      </c>
      <c r="K109" s="37" t="n">
        <f aca="false">K107-K108-K$22</f>
        <v>-7116.61659385524</v>
      </c>
      <c r="L109" s="37" t="n">
        <f aca="false">L107-L108-L$22</f>
        <v>-16813.5276186184</v>
      </c>
      <c r="M109" s="37" t="n">
        <f aca="false">M107-M108-M$22</f>
        <v>-11686.4122469939</v>
      </c>
      <c r="N109" s="37" t="n">
        <f aca="false">N107-N108-N$22</f>
        <v>-10874.9965515323</v>
      </c>
      <c r="O109" s="37" t="n">
        <f aca="false">O107-O108-O$22</f>
        <v>-25131.1700655006</v>
      </c>
      <c r="P109" s="37" t="n">
        <f aca="false">P107-P108-P$22</f>
        <v>-20474.8817968856</v>
      </c>
      <c r="Q109" s="37" t="n">
        <f aca="false">Q107-Q108-Q$22</f>
        <v>-26438.6062100532</v>
      </c>
      <c r="R109" s="37" t="n">
        <f aca="false">R107-R108-R$22</f>
        <v>-18001.5577655859</v>
      </c>
      <c r="S109" s="37" t="n">
        <f aca="false">S107-S108-S$22</f>
        <v>-16708.710614347</v>
      </c>
      <c r="T109" s="37" t="n">
        <f aca="false">T107-T108-T$22</f>
        <v>-15440.3021562696</v>
      </c>
      <c r="U109" s="37" t="n">
        <f aca="false">U107-U108-U$22</f>
        <v>-13775.4544201353</v>
      </c>
      <c r="V109" s="37" t="n">
        <f aca="false">V107-V108-V$22</f>
        <v>-12259.0512477883</v>
      </c>
      <c r="W109" s="37" t="n">
        <f aca="false">W107-W108-W$22</f>
        <v>-24771.241800363</v>
      </c>
      <c r="X109" s="37" t="n">
        <f aca="false">X107-X108-X$22</f>
        <v>-20211.8218868781</v>
      </c>
      <c r="Y109" s="37" t="n">
        <f aca="false">Y107-Y108-Y$22</f>
        <v>-13684.0710986054</v>
      </c>
      <c r="Z109" s="37" t="n">
        <f aca="false">Z107-Z108-Z$22</f>
        <v>-11988.8162667552</v>
      </c>
      <c r="AA109" s="37" t="n">
        <f aca="false">AA107-AA108-AA$22</f>
        <v>-17125.0365832477</v>
      </c>
      <c r="AB109" s="37" t="n">
        <f aca="false">AB107-AB108-AB$22</f>
        <v>-15391.9835618404</v>
      </c>
      <c r="AC109" s="37" t="n">
        <f aca="false">AC107-AC108-AC$22</f>
        <v>-13691.3806942075</v>
      </c>
      <c r="AD109" s="37" t="n">
        <f aca="false">AD107-AD108-AD$22</f>
        <v>-33433.7568195655</v>
      </c>
      <c r="AE109" s="37" t="n">
        <f aca="false">AE107-AE108-AE$22</f>
        <v>-14780.370626279</v>
      </c>
      <c r="AF109" s="37" t="n">
        <f aca="false">AF107-AF108-AF$22</f>
        <v>-12961.5834870132</v>
      </c>
      <c r="AG109" s="37" t="n">
        <f aca="false">AG107-AG108-AG$22</f>
        <v>-17844.6191943519</v>
      </c>
      <c r="AH109" s="37" t="n">
        <f aca="false">AH107-AH108-AH$22</f>
        <v>-14077.2189342372</v>
      </c>
      <c r="AI109" s="37" t="n">
        <f aca="false">AI107-AI108-AI$22</f>
        <v>-12146.440898524</v>
      </c>
      <c r="AJ109" s="37" t="n">
        <f aca="false">AJ107-AJ108-AJ$22</f>
        <v>-13842.4424111982</v>
      </c>
      <c r="AK109" s="37" t="n">
        <f aca="false">AK107-AK108-AK$22</f>
        <v>-7695.09002208101</v>
      </c>
      <c r="AL109" s="37" t="n">
        <f aca="false">AL107-AL108-AL$22</f>
        <v>-5587.64443890179</v>
      </c>
      <c r="AM109" s="37" t="n">
        <f aca="false">AM107-AM108-AM$22</f>
        <v>-25905.6926876059</v>
      </c>
      <c r="AN109" s="37" t="n">
        <f aca="false">AN107-AN108-AN$22</f>
        <v>-19948.4912101916</v>
      </c>
      <c r="AO109" s="37" t="n">
        <f aca="false">AO107-AO108-AO$22</f>
        <v>-27635.0625399468</v>
      </c>
      <c r="AP109" s="37" t="n">
        <f aca="false">AP107-AP108-AP$22</f>
        <v>-15364.4989694102</v>
      </c>
      <c r="AQ109" s="37" t="n">
        <f aca="false">AQ107-AQ108-AQ$22</f>
        <v>-13135.9135134651</v>
      </c>
      <c r="AR109" s="37" t="n">
        <f aca="false">AR107-AR108-AR$22</f>
        <v>-10948.4393986388</v>
      </c>
      <c r="AS109" s="37" t="n">
        <f aca="false">AS107-AS108-AS$22</f>
        <v>-15665.5883117344</v>
      </c>
      <c r="AT109" s="37" t="n">
        <f aca="false">AT107-AT108-AT$22</f>
        <v>-11757.8149314307</v>
      </c>
      <c r="AU109" s="37" t="n">
        <f aca="false">AU107-AU108-AU$22</f>
        <v>-27688.6689325</v>
      </c>
      <c r="AV109" s="37" t="n">
        <f aca="false">AV107-AV108-AV$22</f>
        <v>-7657.35954229852</v>
      </c>
      <c r="AW109" s="37" t="n">
        <f aca="false">AW107-AW108-AW$22</f>
        <v>-5663.11383919677</v>
      </c>
      <c r="AX109" s="37" t="n">
        <f aca="false">AX107-AX108-AX$22</f>
        <v>-3705.17631662716</v>
      </c>
      <c r="AY109" s="37" t="n">
        <f aca="false">AY107-AY108-AY$22</f>
        <v>-21063.0116191477</v>
      </c>
      <c r="AZ109" s="37" t="n">
        <f aca="false">AZ107-AZ108-AZ$22</f>
        <v>-14901.9597821386</v>
      </c>
      <c r="BA109" s="37" t="n">
        <f aca="false">BA107-BA108-BA$22</f>
        <v>-12387.9978230786</v>
      </c>
      <c r="BB109" s="37" t="n">
        <f aca="false">BB107-BB108-BB$22</f>
        <v>-27920.1583858897</v>
      </c>
      <c r="BC109" s="37" t="n">
        <f aca="false">BC107-BC108-BC$22</f>
        <v>-7497.49602229068</v>
      </c>
      <c r="BD109" s="37" t="n">
        <f aca="false">BD107-BD108-BD$22</f>
        <v>-5119.08665529324</v>
      </c>
      <c r="BE109" s="37" t="n">
        <f aca="false">BE107-BE108-BE$22</f>
        <v>-2784.02705663833</v>
      </c>
      <c r="BF109" s="37" t="n">
        <f aca="false">BF107-BF108-BF$22</f>
        <v>-491.434337791856</v>
      </c>
      <c r="BG109" s="37" t="n">
        <f aca="false">BG107-BG108-BG$22</f>
        <v>1759.55454586558</v>
      </c>
      <c r="BH109" s="37" t="n">
        <f aca="false">BH107-BH108-BH$22</f>
        <v>-1030.21672198623</v>
      </c>
      <c r="BI109" s="37" t="n">
        <f aca="false">BI107-BI108-BI$22</f>
        <v>6140.07665187893</v>
      </c>
      <c r="BJ109" s="37" t="n">
        <f aca="false">BJ107-BJ108-BJ$22</f>
        <v>8271.24102856917</v>
      </c>
    </row>
    <row r="110" customFormat="false" ht="15" hidden="false" customHeight="false" outlineLevel="0" collapsed="false">
      <c r="B110" s="5" t="s">
        <v>401</v>
      </c>
      <c r="C110" s="37" t="n">
        <f aca="false">0+C109-C$23-C$24</f>
        <v>-16511.6429720907</v>
      </c>
      <c r="D110" s="37" t="n">
        <f aca="false">C110+D109-D$23-D$24</f>
        <v>-23006.3279756163</v>
      </c>
      <c r="E110" s="37" t="n">
        <f aca="false">D110+E109-E$23-E$24</f>
        <v>-30088.1943511724</v>
      </c>
      <c r="F110" s="37" t="n">
        <f aca="false">E110+F109-F$23-F$24</f>
        <v>-44837.5606644549</v>
      </c>
      <c r="G110" s="37" t="n">
        <f aca="false">F110+G109-G$23-G$24</f>
        <v>-50154.7827133787</v>
      </c>
      <c r="H110" s="37" t="n">
        <f aca="false">G110+H109-H$23-H$24</f>
        <v>-55048.1031680208</v>
      </c>
      <c r="I110" s="37" t="n">
        <f aca="false">H110+I109-I$23-I$24</f>
        <v>-65639.8566762012</v>
      </c>
      <c r="J110" s="37" t="n">
        <f aca="false">I110+J109-J$23-J$24</f>
        <v>-73796.3299052843</v>
      </c>
      <c r="K110" s="37" t="n">
        <f aca="false">J110+K109-K$23-K$24</f>
        <v>-81329.6131658062</v>
      </c>
      <c r="L110" s="37" t="n">
        <f aca="false">K110+L109-L$23-L$24</f>
        <v>-98559.8074510913</v>
      </c>
      <c r="M110" s="37" t="n">
        <f aca="false">L110+M109-M$23-M$24</f>
        <v>-110662.886364752</v>
      </c>
      <c r="N110" s="37" t="n">
        <f aca="false">M110+N109-N$23-N$24</f>
        <v>-121954.549582951</v>
      </c>
      <c r="O110" s="37" t="n">
        <f aca="false">N110+O109-O$23-O$24</f>
        <v>-147502.386315118</v>
      </c>
      <c r="P110" s="37" t="n">
        <f aca="false">O110+P109-P$23-P$24</f>
        <v>-168393.93477867</v>
      </c>
      <c r="Q110" s="37" t="n">
        <f aca="false">P110+Q109-Q$23-Q$24</f>
        <v>-195249.20765539</v>
      </c>
      <c r="R110" s="37" t="n">
        <f aca="false">Q110+R109-R$23-R$24</f>
        <v>-213667.432087643</v>
      </c>
      <c r="S110" s="37" t="n">
        <f aca="false">R110+S109-S$23-S$24</f>
        <v>-230792.809368656</v>
      </c>
      <c r="T110" s="37" t="n">
        <f aca="false">S110+T109-T$23-T$24</f>
        <v>-246649.778191593</v>
      </c>
      <c r="U110" s="37" t="n">
        <f aca="false">T110+U109-U$23-U$24</f>
        <v>-260841.899278394</v>
      </c>
      <c r="V110" s="37" t="n">
        <f aca="false">U110+V109-V$23-V$24</f>
        <v>-273517.617192849</v>
      </c>
      <c r="W110" s="37" t="n">
        <f aca="false">V110+W109-W$23-W$24</f>
        <v>-298705.525659879</v>
      </c>
      <c r="X110" s="37" t="n">
        <f aca="false">W110+X109-X$23-X$24</f>
        <v>-319334.014213424</v>
      </c>
      <c r="Y110" s="37" t="n">
        <f aca="false">X110+Y109-Y$23-Y$24</f>
        <v>-333434.751978696</v>
      </c>
      <c r="Z110" s="37" t="n">
        <f aca="false">Y110+Z109-Z$23-Z$24</f>
        <v>-345840.234912118</v>
      </c>
      <c r="AA110" s="37" t="n">
        <f aca="false">Z110+AA109-AA$23-AA$24</f>
        <v>-364684.021495366</v>
      </c>
      <c r="AB110" s="37" t="n">
        <f aca="false">AA110+AB109-AB$23-AB$24</f>
        <v>-381790.414779428</v>
      </c>
      <c r="AC110" s="37" t="n">
        <f aca="false">AB110+AC109-AC$23-AC$24</f>
        <v>-397191.86491808</v>
      </c>
      <c r="AD110" s="37" t="n">
        <f aca="false">AC110+AD109-AD$23-AD$24</f>
        <v>-432331.350904312</v>
      </c>
      <c r="AE110" s="37" t="n">
        <f aca="false">AD110+AE109-AE$23-AE$24</f>
        <v>-448813.11041948</v>
      </c>
      <c r="AF110" s="37" t="n">
        <f aca="false">AE110+AF109-AF$23-AF$24</f>
        <v>-463471.742517604</v>
      </c>
      <c r="AG110" s="37" t="n">
        <f aca="false">AF110+AG109-AG$23-AG$24</f>
        <v>-483009.07004529</v>
      </c>
      <c r="AH110" s="37" t="n">
        <f aca="false">AG110+AH109-AH$23-AH$24</f>
        <v>-498774.657035082</v>
      </c>
      <c r="AI110" s="37" t="n">
        <f aca="false">AH110+AI109-AI$23-AI$24</f>
        <v>-512605.125711384</v>
      </c>
      <c r="AJ110" s="37" t="n">
        <f aca="false">AI110+AJ109-AJ$23-AJ$24</f>
        <v>-528127.255622582</v>
      </c>
      <c r="AK110" s="37" t="n">
        <f aca="false">AJ110+AK109-AK$23-AK$24</f>
        <v>-537497.692866886</v>
      </c>
      <c r="AL110" s="37" t="n">
        <f aca="false">AK110+AL109-AL$23-AL$24</f>
        <v>-544756.344250232</v>
      </c>
      <c r="AM110" s="37" t="n">
        <f aca="false">AL110+AM109-AM$23-AM$24</f>
        <v>-572328.703604505</v>
      </c>
      <c r="AN110" s="37" t="n">
        <f aca="false">AM110+AN109-AN$23-AN$24</f>
        <v>-593939.521203585</v>
      </c>
      <c r="AO110" s="37" t="n">
        <f aca="false">AN110+AO109-AO$23-AO$24</f>
        <v>-623232.569854643</v>
      </c>
      <c r="AP110" s="37" t="n">
        <f aca="false">AO110+AP109-AP$23-AP$24</f>
        <v>-640250.714657387</v>
      </c>
      <c r="AQ110" s="37" t="n">
        <f aca="false">AP110+AQ109-AQ$23-AQ$24</f>
        <v>-655035.933726407</v>
      </c>
      <c r="AR110" s="37" t="n">
        <f aca="false">AQ110+AR109-AR$23-AR$24</f>
        <v>-667629.338402824</v>
      </c>
      <c r="AS110" s="37" t="n">
        <f aca="false">AR110+AS109-AS$23-AS$24</f>
        <v>-684935.551714558</v>
      </c>
      <c r="AT110" s="37" t="n">
        <f aca="false">AS110+AT109-AT$23-AT$24</f>
        <v>-698329.651368211</v>
      </c>
      <c r="AU110" s="37" t="n">
        <f aca="false">AT110+AU109-AU$23-AU$24</f>
        <v>-727650.264745156</v>
      </c>
      <c r="AV110" s="37" t="n">
        <f aca="false">AU110+AV109-AV$23-AV$24</f>
        <v>-736935.228454121</v>
      </c>
      <c r="AW110" s="37" t="n">
        <f aca="false">AV110+AW109-AW$23-AW$24</f>
        <v>-744221.606182207</v>
      </c>
      <c r="AX110" s="37" t="n">
        <f aca="false">AW110+AX109-AX$23-AX$24</f>
        <v>-749545.706109945</v>
      </c>
      <c r="AY110" s="37" t="n">
        <f aca="false">AX110+AY109-AY$23-AY$24</f>
        <v>-772223.301062426</v>
      </c>
      <c r="AZ110" s="37" t="n">
        <f aca="false">AY110+AZ109-AZ$23-AZ$24</f>
        <v>-788735.50390012</v>
      </c>
      <c r="BA110" s="37" t="n">
        <f aca="false">AZ110+BA109-BA$23-BA$24</f>
        <v>-802729.404500977</v>
      </c>
      <c r="BB110" s="37" t="n">
        <f aca="false">BA110+BB109-BB$23-BB$24</f>
        <v>-832251.125386867</v>
      </c>
      <c r="BC110" s="37" t="n">
        <f aca="false">BB110+BC109-BC$23-BC$24</f>
        <v>-841345.84363138</v>
      </c>
      <c r="BD110" s="37" t="n">
        <f aca="false">BC110+BD109-BD$23-BD$24</f>
        <v>-848057.812231117</v>
      </c>
      <c r="BE110" s="37" t="n">
        <f aca="false">BD110+BE109-BE$23-BE$24</f>
        <v>-852430.380954422</v>
      </c>
      <c r="BF110" s="37" t="n">
        <f aca="false">BE110+BF109-BF$23-BF$24</f>
        <v>-854506.016681103</v>
      </c>
      <c r="BG110" s="37" t="n">
        <f aca="false">BF110+BG109-BG$23-BG$24</f>
        <v>-854326.323246349</v>
      </c>
      <c r="BH110" s="37" t="n">
        <f aca="false">BG110+BH109-BH$23-BH$24</f>
        <v>-856932.060801668</v>
      </c>
      <c r="BI110" s="37" t="n">
        <f aca="false">BH110+BI109-BI$23-BI$24</f>
        <v>-852363.164705345</v>
      </c>
      <c r="BJ110" s="37" t="n">
        <f aca="false">BI110+BJ109-BJ$23-BJ$24</f>
        <v>-845658.763954554</v>
      </c>
    </row>
    <row r="111" customFormat="false" ht="15" hidden="false" customHeight="false" outlineLevel="0" collapsed="false">
      <c r="B111" s="5" t="s">
        <v>402</v>
      </c>
      <c r="C111" s="38" t="n">
        <f aca="false">IF(C109&gt;=0,C$19,999)</f>
        <v>999</v>
      </c>
      <c r="D111" s="38" t="n">
        <f aca="false">IF(D109&gt;=0,D$19,999)</f>
        <v>999</v>
      </c>
      <c r="E111" s="38" t="n">
        <f aca="false">IF(E109&gt;=0,E$19,999)</f>
        <v>999</v>
      </c>
      <c r="F111" s="38" t="n">
        <f aca="false">IF(F109&gt;=0,F$19,999)</f>
        <v>999</v>
      </c>
      <c r="G111" s="38" t="n">
        <f aca="false">IF(G109&gt;=0,G$19,999)</f>
        <v>999</v>
      </c>
      <c r="H111" s="38" t="n">
        <f aca="false">IF(H109&gt;=0,H$19,999)</f>
        <v>999</v>
      </c>
      <c r="I111" s="38" t="n">
        <f aca="false">IF(I109&gt;=0,I$19,999)</f>
        <v>999</v>
      </c>
      <c r="J111" s="38" t="n">
        <f aca="false">IF(J109&gt;=0,J$19,999)</f>
        <v>999</v>
      </c>
      <c r="K111" s="38" t="n">
        <f aca="false">IF(K109&gt;=0,K$19,999)</f>
        <v>999</v>
      </c>
      <c r="L111" s="38" t="n">
        <f aca="false">IF(L109&gt;=0,L$19,999)</f>
        <v>999</v>
      </c>
      <c r="M111" s="38" t="n">
        <f aca="false">IF(M109&gt;=0,M$19,999)</f>
        <v>999</v>
      </c>
      <c r="N111" s="38" t="n">
        <f aca="false">IF(N109&gt;=0,N$19,999)</f>
        <v>999</v>
      </c>
      <c r="O111" s="38" t="n">
        <f aca="false">IF(O109&gt;=0,O$19,999)</f>
        <v>999</v>
      </c>
      <c r="P111" s="38" t="n">
        <f aca="false">IF(P109&gt;=0,P$19,999)</f>
        <v>999</v>
      </c>
      <c r="Q111" s="38" t="n">
        <f aca="false">IF(Q109&gt;=0,Q$19,999)</f>
        <v>999</v>
      </c>
      <c r="R111" s="38" t="n">
        <f aca="false">IF(R109&gt;=0,R$19,999)</f>
        <v>999</v>
      </c>
      <c r="S111" s="38" t="n">
        <f aca="false">IF(S109&gt;=0,S$19,999)</f>
        <v>999</v>
      </c>
      <c r="T111" s="38" t="n">
        <f aca="false">IF(T109&gt;=0,T$19,999)</f>
        <v>999</v>
      </c>
      <c r="U111" s="38" t="n">
        <f aca="false">IF(U109&gt;=0,U$19,999)</f>
        <v>999</v>
      </c>
      <c r="V111" s="38" t="n">
        <f aca="false">IF(V109&gt;=0,V$19,999)</f>
        <v>999</v>
      </c>
      <c r="W111" s="38" t="n">
        <f aca="false">IF(W109&gt;=0,W$19,999)</f>
        <v>999</v>
      </c>
      <c r="X111" s="38" t="n">
        <f aca="false">IF(X109&gt;=0,X$19,999)</f>
        <v>999</v>
      </c>
      <c r="Y111" s="38" t="n">
        <f aca="false">IF(Y109&gt;=0,Y$19,999)</f>
        <v>999</v>
      </c>
      <c r="Z111" s="38" t="n">
        <f aca="false">IF(Z109&gt;=0,Z$19,999)</f>
        <v>999</v>
      </c>
      <c r="AA111" s="38" t="n">
        <f aca="false">IF(AA109&gt;=0,AA$19,999)</f>
        <v>999</v>
      </c>
      <c r="AB111" s="38" t="n">
        <f aca="false">IF(AB109&gt;=0,AB$19,999)</f>
        <v>999</v>
      </c>
      <c r="AC111" s="38" t="n">
        <f aca="false">IF(AC109&gt;=0,AC$19,999)</f>
        <v>999</v>
      </c>
      <c r="AD111" s="38" t="n">
        <f aca="false">IF(AD109&gt;=0,AD$19,999)</f>
        <v>999</v>
      </c>
      <c r="AE111" s="38" t="n">
        <f aca="false">IF(AE109&gt;=0,AE$19,999)</f>
        <v>999</v>
      </c>
      <c r="AF111" s="38" t="n">
        <f aca="false">IF(AF109&gt;=0,AF$19,999)</f>
        <v>999</v>
      </c>
      <c r="AG111" s="38" t="n">
        <f aca="false">IF(AG109&gt;=0,AG$19,999)</f>
        <v>999</v>
      </c>
      <c r="AH111" s="38" t="n">
        <f aca="false">IF(AH109&gt;=0,AH$19,999)</f>
        <v>999</v>
      </c>
      <c r="AI111" s="38" t="n">
        <f aca="false">IF(AI109&gt;=0,AI$19,999)</f>
        <v>999</v>
      </c>
      <c r="AJ111" s="38" t="n">
        <f aca="false">IF(AJ109&gt;=0,AJ$19,999)</f>
        <v>999</v>
      </c>
      <c r="AK111" s="38" t="n">
        <f aca="false">IF(AK109&gt;=0,AK$19,999)</f>
        <v>999</v>
      </c>
      <c r="AL111" s="38" t="n">
        <f aca="false">IF(AL109&gt;=0,AL$19,999)</f>
        <v>999</v>
      </c>
      <c r="AM111" s="38" t="n">
        <f aca="false">IF(AM109&gt;=0,AM$19,999)</f>
        <v>999</v>
      </c>
      <c r="AN111" s="38" t="n">
        <f aca="false">IF(AN109&gt;=0,AN$19,999)</f>
        <v>999</v>
      </c>
      <c r="AO111" s="38" t="n">
        <f aca="false">IF(AO109&gt;=0,AO$19,999)</f>
        <v>999</v>
      </c>
      <c r="AP111" s="38" t="n">
        <f aca="false">IF(AP109&gt;=0,AP$19,999)</f>
        <v>999</v>
      </c>
      <c r="AQ111" s="38" t="n">
        <f aca="false">IF(AQ109&gt;=0,AQ$19,999)</f>
        <v>999</v>
      </c>
      <c r="AR111" s="38" t="n">
        <f aca="false">IF(AR109&gt;=0,AR$19,999)</f>
        <v>999</v>
      </c>
      <c r="AS111" s="38" t="n">
        <f aca="false">IF(AS109&gt;=0,AS$19,999)</f>
        <v>999</v>
      </c>
      <c r="AT111" s="38" t="n">
        <f aca="false">IF(AT109&gt;=0,AT$19,999)</f>
        <v>999</v>
      </c>
      <c r="AU111" s="38" t="n">
        <f aca="false">IF(AU109&gt;=0,AU$19,999)</f>
        <v>999</v>
      </c>
      <c r="AV111" s="38" t="n">
        <f aca="false">IF(AV109&gt;=0,AV$19,999)</f>
        <v>999</v>
      </c>
      <c r="AW111" s="38" t="n">
        <f aca="false">IF(AW109&gt;=0,AW$19,999)</f>
        <v>999</v>
      </c>
      <c r="AX111" s="38" t="n">
        <f aca="false">IF(AX109&gt;=0,AX$19,999)</f>
        <v>999</v>
      </c>
      <c r="AY111" s="38" t="n">
        <f aca="false">IF(AY109&gt;=0,AY$19,999)</f>
        <v>999</v>
      </c>
      <c r="AZ111" s="38" t="n">
        <f aca="false">IF(AZ109&gt;=0,AZ$19,999)</f>
        <v>999</v>
      </c>
      <c r="BA111" s="38" t="n">
        <f aca="false">IF(BA109&gt;=0,BA$19,999)</f>
        <v>999</v>
      </c>
      <c r="BB111" s="38" t="n">
        <f aca="false">IF(BB109&gt;=0,BB$19,999)</f>
        <v>999</v>
      </c>
      <c r="BC111" s="38" t="n">
        <f aca="false">IF(BC109&gt;=0,BC$19,999)</f>
        <v>999</v>
      </c>
      <c r="BD111" s="38" t="n">
        <f aca="false">IF(BD109&gt;=0,BD$19,999)</f>
        <v>999</v>
      </c>
      <c r="BE111" s="38" t="n">
        <f aca="false">IF(BE109&gt;=0,BE$19,999)</f>
        <v>999</v>
      </c>
      <c r="BF111" s="38" t="n">
        <f aca="false">IF(BF109&gt;=0,BF$19,999)</f>
        <v>999</v>
      </c>
      <c r="BG111" s="38" t="n">
        <f aca="false">IF(BG109&gt;=0,BG$19,999)</f>
        <v>57</v>
      </c>
      <c r="BH111" s="38" t="n">
        <f aca="false">IF(BH109&gt;=0,BH$19,999)</f>
        <v>999</v>
      </c>
      <c r="BI111" s="38" t="n">
        <f aca="false">IF(BI109&gt;=0,BI$19,999)</f>
        <v>59</v>
      </c>
      <c r="BJ111" s="38" t="n">
        <f aca="false">IF(BJ109&gt;=0,BJ$19,999)</f>
        <v>60</v>
      </c>
    </row>
    <row r="112" customFormat="false" ht="15" hidden="false" customHeight="false" outlineLevel="0" collapsed="false">
      <c r="B112" s="19" t="str">
        <f aca="false">"Szenario "&amp;A12&amp;": "&amp;B12</f>
        <v>Szenario 8: Wachstum −50 %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</row>
    <row r="113" customFormat="false" ht="15" hidden="false" customHeight="false" outlineLevel="0" collapsed="false">
      <c r="B113" s="5" t="s">
        <v>396</v>
      </c>
      <c r="C113" s="41" t="n">
        <f aca="false">Annahmen!$B$7*Annahmen!$B$19*(1-Annahmen!$B$31*$C$12)+C$21*$E$12*Annahmen!$B$19</f>
        <v>3.175</v>
      </c>
      <c r="D113" s="41" t="n">
        <f aca="false">C113*(1-Annahmen!$B$31*$C$12)+D$21*$E$12*Annahmen!$B$19</f>
        <v>3.82975</v>
      </c>
      <c r="E113" s="41" t="n">
        <f aca="false">D113*(1-Annahmen!$B$31*$C$12)+E$21*$E$12*Annahmen!$B$19</f>
        <v>4.4648575</v>
      </c>
      <c r="F113" s="41" t="n">
        <f aca="false">E113*(1-Annahmen!$B$31*$C$12)+F$21*$E$12*Annahmen!$B$19</f>
        <v>5.830911775</v>
      </c>
      <c r="G113" s="41" t="n">
        <f aca="false">F113*(1-Annahmen!$B$31*$C$12)+G$21*$E$12*Annahmen!$B$19</f>
        <v>7.15598442175</v>
      </c>
      <c r="H113" s="41" t="n">
        <f aca="false">G113*(1-Annahmen!$B$31*$C$12)+H$21*$E$12*Annahmen!$B$19</f>
        <v>8.4413048890975</v>
      </c>
      <c r="I113" s="41" t="n">
        <f aca="false">H113*(1-Annahmen!$B$31*$C$12)+I$21*$E$12*Annahmen!$B$19</f>
        <v>10.4380657424246</v>
      </c>
      <c r="J113" s="41" t="n">
        <f aca="false">I113*(1-Annahmen!$B$31*$C$12)+J$21*$E$12*Annahmen!$B$19</f>
        <v>12.3749237701518</v>
      </c>
      <c r="K113" s="41" t="n">
        <f aca="false">J113*(1-Annahmen!$B$31*$C$12)+K$21*$E$12*Annahmen!$B$19</f>
        <v>14.2536760570473</v>
      </c>
      <c r="L113" s="41" t="n">
        <f aca="false">K113*(1-Annahmen!$B$31*$C$12)+L$21*$E$12*Annahmen!$B$19</f>
        <v>16.8260657753359</v>
      </c>
      <c r="M113" s="41" t="n">
        <f aca="false">L113*(1-Annahmen!$B$31*$C$12)+M$21*$E$12*Annahmen!$B$19</f>
        <v>19.3212838020758</v>
      </c>
      <c r="N113" s="41" t="n">
        <f aca="false">M113*(1-Annahmen!$B$31*$C$12)+N$21*$E$12*Annahmen!$B$19</f>
        <v>21.7416452880135</v>
      </c>
      <c r="O113" s="41" t="n">
        <f aca="false">N113*(1-Annahmen!$B$31*$C$12)+O$21*$E$12*Annahmen!$B$19</f>
        <v>25.0893959293731</v>
      </c>
      <c r="P113" s="41" t="n">
        <f aca="false">O113*(1-Annahmen!$B$31*$C$12)+P$21*$E$12*Annahmen!$B$19</f>
        <v>28.3367140514919</v>
      </c>
      <c r="Q113" s="41" t="n">
        <f aca="false">P113*(1-Annahmen!$B$31*$C$12)+Q$21*$E$12*Annahmen!$B$19</f>
        <v>31.4866126299472</v>
      </c>
      <c r="R113" s="41" t="n">
        <f aca="false">Q113*(1-Annahmen!$B$31*$C$12)+R$21*$E$12*Annahmen!$B$19</f>
        <v>35.5420142510487</v>
      </c>
      <c r="S113" s="41" t="n">
        <f aca="false">R113*(1-Annahmen!$B$31*$C$12)+S$21*$E$12*Annahmen!$B$19</f>
        <v>39.4757538235173</v>
      </c>
      <c r="T113" s="41" t="n">
        <f aca="false">S113*(1-Annahmen!$B$31*$C$12)+T$21*$E$12*Annahmen!$B$19</f>
        <v>43.2914812088118</v>
      </c>
      <c r="U113" s="41" t="n">
        <f aca="false">T113*(1-Annahmen!$B$31*$C$12)+U$21*$E$12*Annahmen!$B$19</f>
        <v>47.9927367725474</v>
      </c>
      <c r="V113" s="41" t="n">
        <f aca="false">U113*(1-Annahmen!$B$31*$C$12)+V$21*$E$12*Annahmen!$B$19</f>
        <v>52.552954669371</v>
      </c>
      <c r="W113" s="41" t="n">
        <f aca="false">V113*(1-Annahmen!$B$31*$C$12)+W$21*$E$12*Annahmen!$B$19</f>
        <v>56.9763660292898</v>
      </c>
      <c r="X113" s="41" t="n">
        <f aca="false">W113*(1-Annahmen!$B$31*$C$12)+X$21*$E$12*Annahmen!$B$19</f>
        <v>62.2670750484111</v>
      </c>
      <c r="Y113" s="41" t="n">
        <f aca="false">X113*(1-Annahmen!$B$31*$C$12)+Y$21*$E$12*Annahmen!$B$19</f>
        <v>67.3990627969588</v>
      </c>
      <c r="Z113" s="41" t="n">
        <f aca="false">Y113*(1-Annahmen!$B$31*$C$12)+Z$21*$E$12*Annahmen!$B$19</f>
        <v>72.3770909130501</v>
      </c>
      <c r="AA113" s="41" t="n">
        <f aca="false">Z113*(1-Annahmen!$B$31*$C$12)+AA$21*$E$12*Annahmen!$B$19</f>
        <v>77.7057781856585</v>
      </c>
      <c r="AB113" s="41" t="n">
        <f aca="false">AA113*(1-Annahmen!$B$31*$C$12)+AB$21*$E$12*Annahmen!$B$19</f>
        <v>82.8746048400888</v>
      </c>
      <c r="AC113" s="41" t="n">
        <f aca="false">AB113*(1-Annahmen!$B$31*$C$12)+AC$21*$E$12*Annahmen!$B$19</f>
        <v>87.8883666948861</v>
      </c>
      <c r="AD113" s="41" t="n">
        <f aca="false">AC113*(1-Annahmen!$B$31*$C$12)+AD$21*$E$12*Annahmen!$B$19</f>
        <v>93.5017156940396</v>
      </c>
      <c r="AE113" s="41" t="n">
        <f aca="false">AD113*(1-Annahmen!$B$31*$C$12)+AE$21*$E$12*Annahmen!$B$19</f>
        <v>98.9466642232184</v>
      </c>
      <c r="AF113" s="41" t="n">
        <f aca="false">AE113*(1-Annahmen!$B$31*$C$12)+AF$21*$E$12*Annahmen!$B$19</f>
        <v>104.228264296522</v>
      </c>
      <c r="AG113" s="41" t="n">
        <f aca="false">AF113*(1-Annahmen!$B$31*$C$12)+AG$21*$E$12*Annahmen!$B$19</f>
        <v>110.101416367626</v>
      </c>
      <c r="AH113" s="41" t="n">
        <f aca="false">AG113*(1-Annahmen!$B$31*$C$12)+AH$21*$E$12*Annahmen!$B$19</f>
        <v>115.798373876597</v>
      </c>
      <c r="AI113" s="41" t="n">
        <f aca="false">AH113*(1-Annahmen!$B$31*$C$12)+AI$21*$E$12*Annahmen!$B$19</f>
        <v>121.324422660299</v>
      </c>
      <c r="AJ113" s="41" t="n">
        <f aca="false">AI113*(1-Annahmen!$B$31*$C$12)+AJ$21*$E$12*Annahmen!$B$19</f>
        <v>127.68468998049</v>
      </c>
      <c r="AK113" s="41" t="n">
        <f aca="false">AJ113*(1-Annahmen!$B$31*$C$12)+AK$21*$E$12*Annahmen!$B$19</f>
        <v>133.854149281076</v>
      </c>
      <c r="AL113" s="41" t="n">
        <f aca="false">AK113*(1-Annahmen!$B$31*$C$12)+AL$21*$E$12*Annahmen!$B$19</f>
        <v>139.838524802644</v>
      </c>
      <c r="AM113" s="41" t="n">
        <f aca="false">AL113*(1-Annahmen!$B$31*$C$12)+AM$21*$E$12*Annahmen!$B$19</f>
        <v>146.893369058564</v>
      </c>
      <c r="AN113" s="41" t="n">
        <f aca="false">AM113*(1-Annahmen!$B$31*$C$12)+AN$21*$E$12*Annahmen!$B$19</f>
        <v>153.736567986807</v>
      </c>
      <c r="AO113" s="41" t="n">
        <f aca="false">AN113*(1-Annahmen!$B$31*$C$12)+AO$21*$E$12*Annahmen!$B$19</f>
        <v>160.374470947203</v>
      </c>
      <c r="AP113" s="41" t="n">
        <f aca="false">AO113*(1-Annahmen!$B$31*$C$12)+AP$21*$E$12*Annahmen!$B$19</f>
        <v>166.813236818787</v>
      </c>
      <c r="AQ113" s="41" t="n">
        <f aca="false">AP113*(1-Annahmen!$B$31*$C$12)+AQ$21*$E$12*Annahmen!$B$19</f>
        <v>173.058839714223</v>
      </c>
      <c r="AR113" s="41" t="n">
        <f aca="false">AQ113*(1-Annahmen!$B$31*$C$12)+AR$21*$E$12*Annahmen!$B$19</f>
        <v>179.117074522797</v>
      </c>
      <c r="AS113" s="41" t="n">
        <f aca="false">AR113*(1-Annahmen!$B$31*$C$12)+AS$21*$E$12*Annahmen!$B$19</f>
        <v>184.993562287113</v>
      </c>
      <c r="AT113" s="41" t="n">
        <f aca="false">AS113*(1-Annahmen!$B$31*$C$12)+AT$21*$E$12*Annahmen!$B$19</f>
        <v>190.693755418499</v>
      </c>
      <c r="AU113" s="41" t="n">
        <f aca="false">AT113*(1-Annahmen!$B$31*$C$12)+AU$21*$E$12*Annahmen!$B$19</f>
        <v>196.222942755944</v>
      </c>
      <c r="AV113" s="41" t="n">
        <f aca="false">AU113*(1-Annahmen!$B$31*$C$12)+AV$21*$E$12*Annahmen!$B$19</f>
        <v>201.586254473266</v>
      </c>
      <c r="AW113" s="41" t="n">
        <f aca="false">AV113*(1-Annahmen!$B$31*$C$12)+AW$21*$E$12*Annahmen!$B$19</f>
        <v>206.788666839068</v>
      </c>
      <c r="AX113" s="41" t="n">
        <f aca="false">AW113*(1-Annahmen!$B$31*$C$12)+AX$21*$E$12*Annahmen!$B$19</f>
        <v>211.835006833896</v>
      </c>
      <c r="AY113" s="41" t="n">
        <f aca="false">AX113*(1-Annahmen!$B$31*$C$12)+AY$21*$E$12*Annahmen!$B$19</f>
        <v>219.229956628879</v>
      </c>
      <c r="AZ113" s="41" t="n">
        <f aca="false">AY113*(1-Annahmen!$B$31*$C$12)+AZ$21*$E$12*Annahmen!$B$19</f>
        <v>226.403057930013</v>
      </c>
      <c r="BA113" s="41" t="n">
        <f aca="false">AZ113*(1-Annahmen!$B$31*$C$12)+BA$21*$E$12*Annahmen!$B$19</f>
        <v>233.360966192112</v>
      </c>
      <c r="BB113" s="41" t="n">
        <f aca="false">BA113*(1-Annahmen!$B$31*$C$12)+BB$21*$E$12*Annahmen!$B$19</f>
        <v>240.110137206349</v>
      </c>
      <c r="BC113" s="41" t="n">
        <f aca="false">BB113*(1-Annahmen!$B$31*$C$12)+BC$21*$E$12*Annahmen!$B$19</f>
        <v>246.656833090159</v>
      </c>
      <c r="BD113" s="41" t="n">
        <f aca="false">BC113*(1-Annahmen!$B$31*$C$12)+BD$21*$E$12*Annahmen!$B$19</f>
        <v>253.007128097454</v>
      </c>
      <c r="BE113" s="41" t="n">
        <f aca="false">BD113*(1-Annahmen!$B$31*$C$12)+BE$21*$E$12*Annahmen!$B$19</f>
        <v>259.16691425453</v>
      </c>
      <c r="BF113" s="41" t="n">
        <f aca="false">BE113*(1-Annahmen!$B$31*$C$12)+BF$21*$E$12*Annahmen!$B$19</f>
        <v>265.141906826894</v>
      </c>
      <c r="BG113" s="41" t="n">
        <f aca="false">BF113*(1-Annahmen!$B$31*$C$12)+BG$21*$E$12*Annahmen!$B$19</f>
        <v>270.937649622087</v>
      </c>
      <c r="BH113" s="41" t="n">
        <f aca="false">BG113*(1-Annahmen!$B$31*$C$12)+BH$21*$E$12*Annahmen!$B$19</f>
        <v>276.559520133425</v>
      </c>
      <c r="BI113" s="41" t="n">
        <f aca="false">BH113*(1-Annahmen!$B$31*$C$12)+BI$21*$E$12*Annahmen!$B$19</f>
        <v>282.012734529422</v>
      </c>
      <c r="BJ113" s="41" t="n">
        <f aca="false">BI113*(1-Annahmen!$B$31*$C$12)+BJ$21*$E$12*Annahmen!$B$19</f>
        <v>287.302352493539</v>
      </c>
    </row>
    <row r="114" customFormat="false" ht="15" hidden="false" customHeight="false" outlineLevel="0" collapsed="false">
      <c r="B114" s="5" t="s">
        <v>397</v>
      </c>
      <c r="C114" s="41" t="n">
        <f aca="false">Annahmen!$B$7*Annahmen!$B$20*(1-Annahmen!$B$32*$C$12)+C$21*$E$12*Annahmen!$B$20</f>
        <v>2.432</v>
      </c>
      <c r="D114" s="41" t="n">
        <f aca="false">C114*(1-Annahmen!$B$32*$C$12)+D$21*$E$12*Annahmen!$B$20</f>
        <v>2.95336</v>
      </c>
      <c r="E114" s="41" t="n">
        <f aca="false">D114*(1-Annahmen!$B$32*$C$12)+E$21*$E$12*Annahmen!$B$20</f>
        <v>3.4642928</v>
      </c>
      <c r="F114" s="41" t="n">
        <f aca="false">E114*(1-Annahmen!$B$32*$C$12)+F$21*$E$12*Annahmen!$B$20</f>
        <v>4.535006944</v>
      </c>
      <c r="G114" s="41" t="n">
        <f aca="false">F114*(1-Annahmen!$B$32*$C$12)+G$21*$E$12*Annahmen!$B$20</f>
        <v>5.58430680512</v>
      </c>
      <c r="H114" s="41" t="n">
        <f aca="false">G114*(1-Annahmen!$B$32*$C$12)+H$21*$E$12*Annahmen!$B$20</f>
        <v>6.6126206690176</v>
      </c>
      <c r="I114" s="41" t="n">
        <f aca="false">H114*(1-Annahmen!$B$32*$C$12)+I$21*$E$12*Annahmen!$B$20</f>
        <v>8.19036825563725</v>
      </c>
      <c r="J114" s="41" t="n">
        <f aca="false">I114*(1-Annahmen!$B$32*$C$12)+J$21*$E$12*Annahmen!$B$20</f>
        <v>9.7365608905245</v>
      </c>
      <c r="K114" s="41" t="n">
        <f aca="false">J114*(1-Annahmen!$B$32*$C$12)+K$21*$E$12*Annahmen!$B$20</f>
        <v>11.251829672714</v>
      </c>
      <c r="L114" s="41" t="n">
        <f aca="false">K114*(1-Annahmen!$B$32*$C$12)+L$21*$E$12*Annahmen!$B$20</f>
        <v>13.3067930792597</v>
      </c>
      <c r="M114" s="41" t="n">
        <f aca="false">L114*(1-Annahmen!$B$32*$C$12)+M$21*$E$12*Annahmen!$B$20</f>
        <v>15.3206572176745</v>
      </c>
      <c r="N114" s="41" t="n">
        <f aca="false">M114*(1-Annahmen!$B$32*$C$12)+N$21*$E$12*Annahmen!$B$20</f>
        <v>17.294244073321</v>
      </c>
      <c r="O114" s="41" t="n">
        <f aca="false">N114*(1-Annahmen!$B$32*$C$12)+O$21*$E$12*Annahmen!$B$20</f>
        <v>19.9883591918546</v>
      </c>
      <c r="P114" s="41" t="n">
        <f aca="false">O114*(1-Annahmen!$B$32*$C$12)+P$21*$E$12*Annahmen!$B$20</f>
        <v>22.6285920080175</v>
      </c>
      <c r="Q114" s="41" t="n">
        <f aca="false">P114*(1-Annahmen!$B$32*$C$12)+Q$21*$E$12*Annahmen!$B$20</f>
        <v>25.2160201678572</v>
      </c>
      <c r="R114" s="41" t="n">
        <f aca="false">Q114*(1-Annahmen!$B$32*$C$12)+R$21*$E$12*Annahmen!$B$20</f>
        <v>28.5116997645</v>
      </c>
      <c r="S114" s="41" t="n">
        <f aca="false">R114*(1-Annahmen!$B$32*$C$12)+S$21*$E$12*Annahmen!$B$20</f>
        <v>31.74146576921</v>
      </c>
      <c r="T114" s="41" t="n">
        <f aca="false">S114*(1-Annahmen!$B$32*$C$12)+T$21*$E$12*Annahmen!$B$20</f>
        <v>34.9066364538258</v>
      </c>
      <c r="U114" s="41" t="n">
        <f aca="false">T114*(1-Annahmen!$B$32*$C$12)+U$21*$E$12*Annahmen!$B$20</f>
        <v>38.7685037247493</v>
      </c>
      <c r="V114" s="41" t="n">
        <f aca="false">U114*(1-Annahmen!$B$32*$C$12)+V$21*$E$12*Annahmen!$B$20</f>
        <v>42.5531336502543</v>
      </c>
      <c r="W114" s="41" t="n">
        <f aca="false">V114*(1-Annahmen!$B$32*$C$12)+W$21*$E$12*Annahmen!$B$20</f>
        <v>46.2620709772492</v>
      </c>
      <c r="X114" s="41" t="n">
        <f aca="false">W114*(1-Annahmen!$B$32*$C$12)+X$21*$E$12*Annahmen!$B$20</f>
        <v>50.6568295577043</v>
      </c>
      <c r="Y114" s="41" t="n">
        <f aca="false">X114*(1-Annahmen!$B$32*$C$12)+Y$21*$E$12*Annahmen!$B$20</f>
        <v>54.9636929665502</v>
      </c>
      <c r="Z114" s="41" t="n">
        <f aca="false">Y114*(1-Annahmen!$B$32*$C$12)+Z$21*$E$12*Annahmen!$B$20</f>
        <v>59.1844191072192</v>
      </c>
      <c r="AA114" s="41" t="n">
        <f aca="false">Z114*(1-Annahmen!$B$32*$C$12)+AA$21*$E$12*Annahmen!$B$20</f>
        <v>63.7007307250748</v>
      </c>
      <c r="AB114" s="41" t="n">
        <f aca="false">AA114*(1-Annahmen!$B$32*$C$12)+AB$21*$E$12*Annahmen!$B$20</f>
        <v>68.1267161105733</v>
      </c>
      <c r="AC114" s="41" t="n">
        <f aca="false">AB114*(1-Annahmen!$B$32*$C$12)+AC$21*$E$12*Annahmen!$B$20</f>
        <v>72.4641817883618</v>
      </c>
      <c r="AD114" s="41" t="n">
        <f aca="false">AC114*(1-Annahmen!$B$32*$C$12)+AD$21*$E$12*Annahmen!$B$20</f>
        <v>77.2848981525946</v>
      </c>
      <c r="AE114" s="41" t="n">
        <f aca="false">AD114*(1-Annahmen!$B$32*$C$12)+AE$21*$E$12*Annahmen!$B$20</f>
        <v>82.0092001895427</v>
      </c>
      <c r="AF114" s="41" t="n">
        <f aca="false">AE114*(1-Annahmen!$B$32*$C$12)+AF$21*$E$12*Annahmen!$B$20</f>
        <v>86.6390161857518</v>
      </c>
      <c r="AG114" s="41" t="n">
        <f aca="false">AF114*(1-Annahmen!$B$32*$C$12)+AG$21*$E$12*Annahmen!$B$20</f>
        <v>91.7462358620368</v>
      </c>
      <c r="AH114" s="41" t="n">
        <f aca="false">AG114*(1-Annahmen!$B$32*$C$12)+AH$21*$E$12*Annahmen!$B$20</f>
        <v>96.7513111447961</v>
      </c>
      <c r="AI114" s="41" t="n">
        <f aca="false">AH114*(1-Annahmen!$B$32*$C$12)+AI$21*$E$12*Annahmen!$B$20</f>
        <v>101.6562849219</v>
      </c>
      <c r="AJ114" s="41" t="n">
        <f aca="false">AI114*(1-Annahmen!$B$32*$C$12)+AJ$21*$E$12*Annahmen!$B$20</f>
        <v>107.223159223462</v>
      </c>
      <c r="AK114" s="41" t="n">
        <f aca="false">AJ114*(1-Annahmen!$B$32*$C$12)+AK$21*$E$12*Annahmen!$B$20</f>
        <v>112.678696038993</v>
      </c>
      <c r="AL114" s="41" t="n">
        <f aca="false">AK114*(1-Annahmen!$B$32*$C$12)+AL$21*$E$12*Annahmen!$B$20</f>
        <v>118.025122118213</v>
      </c>
      <c r="AM114" s="41" t="n">
        <f aca="false">AL114*(1-Annahmen!$B$32*$C$12)+AM$21*$E$12*Annahmen!$B$20</f>
        <v>124.214619675849</v>
      </c>
      <c r="AN114" s="41" t="n">
        <f aca="false">AM114*(1-Annahmen!$B$32*$C$12)+AN$21*$E$12*Annahmen!$B$20</f>
        <v>130.280327282332</v>
      </c>
      <c r="AO114" s="41" t="n">
        <f aca="false">AN114*(1-Annahmen!$B$32*$C$12)+AO$21*$E$12*Annahmen!$B$20</f>
        <v>136.224720736685</v>
      </c>
      <c r="AP114" s="41" t="n">
        <f aca="false">AO114*(1-Annahmen!$B$32*$C$12)+AP$21*$E$12*Annahmen!$B$20</f>
        <v>142.050226321951</v>
      </c>
      <c r="AQ114" s="41" t="n">
        <f aca="false">AP114*(1-Annahmen!$B$32*$C$12)+AQ$21*$E$12*Annahmen!$B$20</f>
        <v>147.759221795512</v>
      </c>
      <c r="AR114" s="41" t="n">
        <f aca="false">AQ114*(1-Annahmen!$B$32*$C$12)+AR$21*$E$12*Annahmen!$B$20</f>
        <v>153.354037359602</v>
      </c>
      <c r="AS114" s="41" t="n">
        <f aca="false">AR114*(1-Annahmen!$B$32*$C$12)+AS$21*$E$12*Annahmen!$B$20</f>
        <v>158.83695661241</v>
      </c>
      <c r="AT114" s="41" t="n">
        <f aca="false">AS114*(1-Annahmen!$B$32*$C$12)+AT$21*$E$12*Annahmen!$B$20</f>
        <v>164.210217480162</v>
      </c>
      <c r="AU114" s="41" t="n">
        <f aca="false">AT114*(1-Annahmen!$B$32*$C$12)+AU$21*$E$12*Annahmen!$B$20</f>
        <v>169.476013130559</v>
      </c>
      <c r="AV114" s="41" t="n">
        <f aca="false">AU114*(1-Annahmen!$B$32*$C$12)+AV$21*$E$12*Annahmen!$B$20</f>
        <v>174.636492867948</v>
      </c>
      <c r="AW114" s="41" t="n">
        <f aca="false">AV114*(1-Annahmen!$B$32*$C$12)+AW$21*$E$12*Annahmen!$B$20</f>
        <v>179.693763010589</v>
      </c>
      <c r="AX114" s="41" t="n">
        <f aca="false">AW114*(1-Annahmen!$B$32*$C$12)+AX$21*$E$12*Annahmen!$B$20</f>
        <v>184.649887750377</v>
      </c>
      <c r="AY114" s="41" t="n">
        <f aca="false">AX114*(1-Annahmen!$B$32*$C$12)+AY$21*$E$12*Annahmen!$B$20</f>
        <v>191.406889995369</v>
      </c>
      <c r="AZ114" s="41" t="n">
        <f aca="false">AY114*(1-Annahmen!$B$32*$C$12)+AZ$21*$E$12*Annahmen!$B$20</f>
        <v>198.028752195462</v>
      </c>
      <c r="BA114" s="41" t="n">
        <f aca="false">AZ114*(1-Annahmen!$B$32*$C$12)+BA$21*$E$12*Annahmen!$B$20</f>
        <v>204.518177151553</v>
      </c>
      <c r="BB114" s="41" t="n">
        <f aca="false">BA114*(1-Annahmen!$B$32*$C$12)+BB$21*$E$12*Annahmen!$B$20</f>
        <v>210.877813608522</v>
      </c>
      <c r="BC114" s="41" t="n">
        <f aca="false">BB114*(1-Annahmen!$B$32*$C$12)+BC$21*$E$12*Annahmen!$B$20</f>
        <v>217.110257336351</v>
      </c>
      <c r="BD114" s="41" t="n">
        <f aca="false">BC114*(1-Annahmen!$B$32*$C$12)+BD$21*$E$12*Annahmen!$B$20</f>
        <v>223.218052189624</v>
      </c>
      <c r="BE114" s="41" t="n">
        <f aca="false">BD114*(1-Annahmen!$B$32*$C$12)+BE$21*$E$12*Annahmen!$B$20</f>
        <v>229.203691145832</v>
      </c>
      <c r="BF114" s="41" t="n">
        <f aca="false">BE114*(1-Annahmen!$B$32*$C$12)+BF$21*$E$12*Annahmen!$B$20</f>
        <v>235.069617322915</v>
      </c>
      <c r="BG114" s="41" t="n">
        <f aca="false">BF114*(1-Annahmen!$B$32*$C$12)+BG$21*$E$12*Annahmen!$B$20</f>
        <v>240.818224976457</v>
      </c>
      <c r="BH114" s="41" t="n">
        <f aca="false">BG114*(1-Annahmen!$B$32*$C$12)+BH$21*$E$12*Annahmen!$B$20</f>
        <v>246.451860476928</v>
      </c>
      <c r="BI114" s="41" t="n">
        <f aca="false">BH114*(1-Annahmen!$B$32*$C$12)+BI$21*$E$12*Annahmen!$B$20</f>
        <v>251.972823267389</v>
      </c>
      <c r="BJ114" s="41" t="n">
        <f aca="false">BI114*(1-Annahmen!$B$32*$C$12)+BJ$21*$E$12*Annahmen!$B$20</f>
        <v>257.383366802041</v>
      </c>
    </row>
    <row r="115" customFormat="false" ht="15" hidden="false" customHeight="false" outlineLevel="0" collapsed="false">
      <c r="B115" s="5" t="s">
        <v>398</v>
      </c>
      <c r="C115" s="41" t="n">
        <f aca="false">Annahmen!$B$7*Annahmen!$B$21*(1-Annahmen!$B$33*$C$12)+C$21*$E$12*Annahmen!$B$21</f>
        <v>0.7728</v>
      </c>
      <c r="D115" s="41" t="n">
        <f aca="false">C115*(1-Annahmen!$B$33*$C$12)+D$21*$E$12*Annahmen!$B$21</f>
        <v>0.9435264</v>
      </c>
      <c r="E115" s="41" t="n">
        <f aca="false">D115*(1-Annahmen!$B$33*$C$12)+E$21*$E$12*Annahmen!$B$21</f>
        <v>1.1122040832</v>
      </c>
      <c r="F115" s="41" t="n">
        <f aca="false">E115*(1-Annahmen!$B$33*$C$12)+F$21*$E$12*Annahmen!$B$21</f>
        <v>1.4588576342016</v>
      </c>
      <c r="G115" s="41" t="n">
        <f aca="false">F115*(1-Annahmen!$B$33*$C$12)+G$21*$E$12*Annahmen!$B$21</f>
        <v>1.80135134259118</v>
      </c>
      <c r="H115" s="41" t="n">
        <f aca="false">G115*(1-Annahmen!$B$33*$C$12)+H$21*$E$12*Annahmen!$B$21</f>
        <v>2.13973512648009</v>
      </c>
      <c r="I115" s="41" t="n">
        <f aca="false">H115*(1-Annahmen!$B$33*$C$12)+I$21*$E$12*Annahmen!$B$21</f>
        <v>2.65405830496233</v>
      </c>
      <c r="J115" s="41" t="n">
        <f aca="false">I115*(1-Annahmen!$B$33*$C$12)+J$21*$E$12*Annahmen!$B$21</f>
        <v>3.16220960530278</v>
      </c>
      <c r="K115" s="41" t="n">
        <f aca="false">J115*(1-Annahmen!$B$33*$C$12)+K$21*$E$12*Annahmen!$B$21</f>
        <v>3.66426309003914</v>
      </c>
      <c r="L115" s="41" t="n">
        <f aca="false">K115*(1-Annahmen!$B$33*$C$12)+L$21*$E$12*Annahmen!$B$21</f>
        <v>4.34029193295867</v>
      </c>
      <c r="M115" s="41" t="n">
        <f aca="false">L115*(1-Annahmen!$B$33*$C$12)+M$21*$E$12*Annahmen!$B$21</f>
        <v>5.00820842976317</v>
      </c>
      <c r="N115" s="41" t="n">
        <f aca="false">M115*(1-Annahmen!$B$33*$C$12)+N$21*$E$12*Annahmen!$B$21</f>
        <v>5.66810992860601</v>
      </c>
      <c r="O115" s="41" t="n">
        <f aca="false">N115*(1-Annahmen!$B$33*$C$12)+O$21*$E$12*Annahmen!$B$21</f>
        <v>6.56009260946274</v>
      </c>
      <c r="P115" s="41" t="n">
        <f aca="false">O115*(1-Annahmen!$B$33*$C$12)+P$21*$E$12*Annahmen!$B$21</f>
        <v>7.44137149814919</v>
      </c>
      <c r="Q115" s="41" t="n">
        <f aca="false">P115*(1-Annahmen!$B$33*$C$12)+Q$21*$E$12*Annahmen!$B$21</f>
        <v>8.3120750401714</v>
      </c>
      <c r="R115" s="41" t="n">
        <f aca="false">Q115*(1-Annahmen!$B$33*$C$12)+R$21*$E$12*Annahmen!$B$21</f>
        <v>9.41233013968934</v>
      </c>
      <c r="S115" s="41" t="n">
        <f aca="false">R115*(1-Annahmen!$B$33*$C$12)+S$21*$E$12*Annahmen!$B$21</f>
        <v>10.4993821780131</v>
      </c>
      <c r="T115" s="41" t="n">
        <f aca="false">S115*(1-Annahmen!$B$33*$C$12)+T$21*$E$12*Annahmen!$B$21</f>
        <v>11.5733895918769</v>
      </c>
      <c r="U115" s="41" t="n">
        <f aca="false">T115*(1-Annahmen!$B$33*$C$12)+U$21*$E$12*Annahmen!$B$21</f>
        <v>12.8745089167744</v>
      </c>
      <c r="V115" s="41" t="n">
        <f aca="false">U115*(1-Annahmen!$B$33*$C$12)+V$21*$E$12*Annahmen!$B$21</f>
        <v>14.1600148097731</v>
      </c>
      <c r="W115" s="41" t="n">
        <f aca="false">V115*(1-Annahmen!$B$33*$C$12)+W$21*$E$12*Annahmen!$B$21</f>
        <v>15.4300946320558</v>
      </c>
      <c r="X115" s="41" t="n">
        <f aca="false">W115*(1-Annahmen!$B$33*$C$12)+X$21*$E$12*Annahmen!$B$21</f>
        <v>16.9249334964711</v>
      </c>
      <c r="Y115" s="41" t="n">
        <f aca="false">X115*(1-Annahmen!$B$33*$C$12)+Y$21*$E$12*Annahmen!$B$21</f>
        <v>18.4018342945135</v>
      </c>
      <c r="Z115" s="41" t="n">
        <f aca="false">Y115*(1-Annahmen!$B$33*$C$12)+Z$21*$E$12*Annahmen!$B$21</f>
        <v>19.8610122829793</v>
      </c>
      <c r="AA115" s="41" t="n">
        <f aca="false">Z115*(1-Annahmen!$B$33*$C$12)+AA$21*$E$12*Annahmen!$B$21</f>
        <v>21.4226801355836</v>
      </c>
      <c r="AB115" s="41" t="n">
        <f aca="false">AA115*(1-Annahmen!$B$33*$C$12)+AB$21*$E$12*Annahmen!$B$21</f>
        <v>22.9656079739566</v>
      </c>
      <c r="AC115" s="41" t="n">
        <f aca="false">AB115*(1-Annahmen!$B$33*$C$12)+AC$21*$E$12*Annahmen!$B$21</f>
        <v>24.4900206782691</v>
      </c>
      <c r="AD115" s="41" t="n">
        <f aca="false">AC115*(1-Annahmen!$B$33*$C$12)+AD$21*$E$12*Annahmen!$B$21</f>
        <v>26.1761404301299</v>
      </c>
      <c r="AE115" s="41" t="n">
        <f aca="false">AD115*(1-Annahmen!$B$33*$C$12)+AE$21*$E$12*Annahmen!$B$21</f>
        <v>27.8420267449683</v>
      </c>
      <c r="AF115" s="41" t="n">
        <f aca="false">AE115*(1-Annahmen!$B$33*$C$12)+AF$21*$E$12*Annahmen!$B$21</f>
        <v>29.4879224240287</v>
      </c>
      <c r="AG115" s="41" t="n">
        <f aca="false">AF115*(1-Annahmen!$B$33*$C$12)+AG$21*$E$12*Annahmen!$B$21</f>
        <v>31.2940673549404</v>
      </c>
      <c r="AH115" s="41" t="n">
        <f aca="false">AG115*(1-Annahmen!$B$33*$C$12)+AH$21*$E$12*Annahmen!$B$21</f>
        <v>33.0785385466811</v>
      </c>
      <c r="AI115" s="41" t="n">
        <f aca="false">AH115*(1-Annahmen!$B$33*$C$12)+AI$21*$E$12*Annahmen!$B$21</f>
        <v>34.8415960841209</v>
      </c>
      <c r="AJ115" s="41" t="n">
        <f aca="false">AI115*(1-Annahmen!$B$33*$C$12)+AJ$21*$E$12*Annahmen!$B$21</f>
        <v>36.8234969311114</v>
      </c>
      <c r="AK115" s="41" t="n">
        <f aca="false">AJ115*(1-Annahmen!$B$33*$C$12)+AK$21*$E$12*Annahmen!$B$21</f>
        <v>38.7816149679381</v>
      </c>
      <c r="AL115" s="41" t="n">
        <f aca="false">AK115*(1-Annahmen!$B$33*$C$12)+AL$21*$E$12*Annahmen!$B$21</f>
        <v>40.7162355883228</v>
      </c>
      <c r="AM115" s="41" t="n">
        <f aca="false">AL115*(1-Annahmen!$B$33*$C$12)+AM$21*$E$12*Annahmen!$B$21</f>
        <v>42.927640761263</v>
      </c>
      <c r="AN115" s="41" t="n">
        <f aca="false">AM115*(1-Annahmen!$B$33*$C$12)+AN$21*$E$12*Annahmen!$B$21</f>
        <v>45.1125090721278</v>
      </c>
      <c r="AO115" s="41" t="n">
        <f aca="false">AN115*(1-Annahmen!$B$33*$C$12)+AO$21*$E$12*Annahmen!$B$21</f>
        <v>47.2711589632623</v>
      </c>
      <c r="AP115" s="41" t="n">
        <f aca="false">AO115*(1-Annahmen!$B$33*$C$12)+AP$21*$E$12*Annahmen!$B$21</f>
        <v>49.4039050557031</v>
      </c>
      <c r="AQ115" s="41" t="n">
        <f aca="false">AP115*(1-Annahmen!$B$33*$C$12)+AQ$21*$E$12*Annahmen!$B$21</f>
        <v>51.5110581950347</v>
      </c>
      <c r="AR115" s="41" t="n">
        <f aca="false">AQ115*(1-Annahmen!$B$33*$C$12)+AR$21*$E$12*Annahmen!$B$21</f>
        <v>53.5929254966943</v>
      </c>
      <c r="AS115" s="41" t="n">
        <f aca="false">AR115*(1-Annahmen!$B$33*$C$12)+AS$21*$E$12*Annahmen!$B$21</f>
        <v>55.649810390734</v>
      </c>
      <c r="AT115" s="41" t="n">
        <f aca="false">AS115*(1-Annahmen!$B$33*$C$12)+AT$21*$E$12*Annahmen!$B$21</f>
        <v>57.6820126660451</v>
      </c>
      <c r="AU115" s="41" t="n">
        <f aca="false">AT115*(1-Annahmen!$B$33*$C$12)+AU$21*$E$12*Annahmen!$B$21</f>
        <v>59.6898285140526</v>
      </c>
      <c r="AV115" s="41" t="n">
        <f aca="false">AU115*(1-Annahmen!$B$33*$C$12)+AV$21*$E$12*Annahmen!$B$21</f>
        <v>61.673550571884</v>
      </c>
      <c r="AW115" s="41" t="n">
        <f aca="false">AV115*(1-Annahmen!$B$33*$C$12)+AW$21*$E$12*Annahmen!$B$21</f>
        <v>63.6334679650214</v>
      </c>
      <c r="AX115" s="41" t="n">
        <f aca="false">AW115*(1-Annahmen!$B$33*$C$12)+AX$21*$E$12*Annahmen!$B$21</f>
        <v>65.5698663494411</v>
      </c>
      <c r="AY115" s="41" t="n">
        <f aca="false">AX115*(1-Annahmen!$B$33*$C$12)+AY$21*$E$12*Annahmen!$B$21</f>
        <v>68.0830279532478</v>
      </c>
      <c r="AZ115" s="41" t="n">
        <f aca="false">AY115*(1-Annahmen!$B$33*$C$12)+AZ$21*$E$12*Annahmen!$B$21</f>
        <v>70.5660316178089</v>
      </c>
      <c r="BA115" s="41" t="n">
        <f aca="false">AZ115*(1-Annahmen!$B$33*$C$12)+BA$21*$E$12*Annahmen!$B$21</f>
        <v>73.0192392383951</v>
      </c>
      <c r="BB115" s="41" t="n">
        <f aca="false">BA115*(1-Annahmen!$B$33*$C$12)+BB$21*$E$12*Annahmen!$B$21</f>
        <v>75.4430083675344</v>
      </c>
      <c r="BC115" s="41" t="n">
        <f aca="false">BB115*(1-Annahmen!$B$33*$C$12)+BC$21*$E$12*Annahmen!$B$21</f>
        <v>77.837692267124</v>
      </c>
      <c r="BD115" s="41" t="n">
        <f aca="false">BC115*(1-Annahmen!$B$33*$C$12)+BD$21*$E$12*Annahmen!$B$21</f>
        <v>80.2036399599185</v>
      </c>
      <c r="BE115" s="41" t="n">
        <f aca="false">BD115*(1-Annahmen!$B$33*$C$12)+BE$21*$E$12*Annahmen!$B$21</f>
        <v>82.5411962803995</v>
      </c>
      <c r="BF115" s="41" t="n">
        <f aca="false">BE115*(1-Annahmen!$B$33*$C$12)+BF$21*$E$12*Annahmen!$B$21</f>
        <v>84.8507019250347</v>
      </c>
      <c r="BG115" s="41" t="n">
        <f aca="false">BF115*(1-Annahmen!$B$33*$C$12)+BG$21*$E$12*Annahmen!$B$21</f>
        <v>87.1324935019342</v>
      </c>
      <c r="BH115" s="41" t="n">
        <f aca="false">BG115*(1-Annahmen!$B$33*$C$12)+BH$21*$E$12*Annahmen!$B$21</f>
        <v>89.386903579911</v>
      </c>
      <c r="BI115" s="41" t="n">
        <f aca="false">BH115*(1-Annahmen!$B$33*$C$12)+BI$21*$E$12*Annahmen!$B$21</f>
        <v>91.6142607369521</v>
      </c>
      <c r="BJ115" s="41" t="n">
        <f aca="false">BI115*(1-Annahmen!$B$33*$C$12)+BJ$21*$E$12*Annahmen!$B$21</f>
        <v>93.8148896081087</v>
      </c>
    </row>
    <row r="116" customFormat="false" ht="15" hidden="false" customHeight="false" outlineLevel="0" collapsed="false">
      <c r="B116" s="5" t="s">
        <v>399</v>
      </c>
      <c r="C116" s="41" t="n">
        <f aca="false">Annahmen!$B$7*Annahmen!$B$21*Annahmen!$B$24*(1-Annahmen!$B$33*$C$12)+C$21*$E$12*Annahmen!$B$21*Annahmen!$B$24</f>
        <v>0.15456</v>
      </c>
      <c r="D116" s="41" t="n">
        <f aca="false">C116*(1-Annahmen!$B$33*$C$12)+D$21*$E$12*Annahmen!$B$21*Annahmen!$B$24</f>
        <v>0.18870528</v>
      </c>
      <c r="E116" s="41" t="n">
        <f aca="false">D116*(1-Annahmen!$B$33*$C$12)+E$21*$E$12*Annahmen!$B$21*Annahmen!$B$24</f>
        <v>0.22244081664</v>
      </c>
      <c r="F116" s="41" t="n">
        <f aca="false">E116*(1-Annahmen!$B$33*$C$12)+F$21*$E$12*Annahmen!$B$21*Annahmen!$B$24</f>
        <v>0.29177152684032</v>
      </c>
      <c r="G116" s="41" t="n">
        <f aca="false">F116*(1-Annahmen!$B$33*$C$12)+G$21*$E$12*Annahmen!$B$21*Annahmen!$B$24</f>
        <v>0.360270268518236</v>
      </c>
      <c r="H116" s="41" t="n">
        <f aca="false">G116*(1-Annahmen!$B$33*$C$12)+H$21*$E$12*Annahmen!$B$21*Annahmen!$B$24</f>
        <v>0.427947025296017</v>
      </c>
      <c r="I116" s="41" t="n">
        <f aca="false">H116*(1-Annahmen!$B$33*$C$12)+I$21*$E$12*Annahmen!$B$21*Annahmen!$B$24</f>
        <v>0.530811660992465</v>
      </c>
      <c r="J116" s="41" t="n">
        <f aca="false">I116*(1-Annahmen!$B$33*$C$12)+J$21*$E$12*Annahmen!$B$21*Annahmen!$B$24</f>
        <v>0.632441921060556</v>
      </c>
      <c r="K116" s="41" t="n">
        <f aca="false">J116*(1-Annahmen!$B$33*$C$12)+K$21*$E$12*Annahmen!$B$21*Annahmen!$B$24</f>
        <v>0.732852618007829</v>
      </c>
      <c r="L116" s="41" t="n">
        <f aca="false">K116*(1-Annahmen!$B$33*$C$12)+L$21*$E$12*Annahmen!$B$21*Annahmen!$B$24</f>
        <v>0.868058386591735</v>
      </c>
      <c r="M116" s="41" t="n">
        <f aca="false">L116*(1-Annahmen!$B$33*$C$12)+M$21*$E$12*Annahmen!$B$21*Annahmen!$B$24</f>
        <v>1.00164168595263</v>
      </c>
      <c r="N116" s="41" t="n">
        <f aca="false">M116*(1-Annahmen!$B$33*$C$12)+N$21*$E$12*Annahmen!$B$21*Annahmen!$B$24</f>
        <v>1.1336219857212</v>
      </c>
      <c r="O116" s="41" t="n">
        <f aca="false">N116*(1-Annahmen!$B$33*$C$12)+O$21*$E$12*Annahmen!$B$21*Annahmen!$B$24</f>
        <v>1.31201852189255</v>
      </c>
      <c r="P116" s="41" t="n">
        <f aca="false">O116*(1-Annahmen!$B$33*$C$12)+P$21*$E$12*Annahmen!$B$21*Annahmen!$B$24</f>
        <v>1.48827429962984</v>
      </c>
      <c r="Q116" s="41" t="n">
        <f aca="false">P116*(1-Annahmen!$B$33*$C$12)+Q$21*$E$12*Annahmen!$B$21*Annahmen!$B$24</f>
        <v>1.66241500803428</v>
      </c>
      <c r="R116" s="41" t="n">
        <f aca="false">Q116*(1-Annahmen!$B$33*$C$12)+R$21*$E$12*Annahmen!$B$21*Annahmen!$B$24</f>
        <v>1.88246602793787</v>
      </c>
      <c r="S116" s="41" t="n">
        <f aca="false">R116*(1-Annahmen!$B$33*$C$12)+S$21*$E$12*Annahmen!$B$21*Annahmen!$B$24</f>
        <v>2.09987643560261</v>
      </c>
      <c r="T116" s="41" t="n">
        <f aca="false">S116*(1-Annahmen!$B$33*$C$12)+T$21*$E$12*Annahmen!$B$21*Annahmen!$B$24</f>
        <v>2.31467791837538</v>
      </c>
      <c r="U116" s="41" t="n">
        <f aca="false">T116*(1-Annahmen!$B$33*$C$12)+U$21*$E$12*Annahmen!$B$21*Annahmen!$B$24</f>
        <v>2.57490178335488</v>
      </c>
      <c r="V116" s="41" t="n">
        <f aca="false">U116*(1-Annahmen!$B$33*$C$12)+V$21*$E$12*Annahmen!$B$21*Annahmen!$B$24</f>
        <v>2.83200296195462</v>
      </c>
      <c r="W116" s="41" t="n">
        <f aca="false">V116*(1-Annahmen!$B$33*$C$12)+W$21*$E$12*Annahmen!$B$21*Annahmen!$B$24</f>
        <v>3.08601892641116</v>
      </c>
      <c r="X116" s="41" t="n">
        <f aca="false">W116*(1-Annahmen!$B$33*$C$12)+X$21*$E$12*Annahmen!$B$21*Annahmen!$B$24</f>
        <v>3.38498669929423</v>
      </c>
      <c r="Y116" s="41" t="n">
        <f aca="false">X116*(1-Annahmen!$B$33*$C$12)+Y$21*$E$12*Annahmen!$B$21*Annahmen!$B$24</f>
        <v>3.6803668589027</v>
      </c>
      <c r="Z116" s="41" t="n">
        <f aca="false">Y116*(1-Annahmen!$B$33*$C$12)+Z$21*$E$12*Annahmen!$B$21*Annahmen!$B$24</f>
        <v>3.97220245659587</v>
      </c>
      <c r="AA116" s="41" t="n">
        <f aca="false">Z116*(1-Annahmen!$B$33*$C$12)+AA$21*$E$12*Annahmen!$B$21*Annahmen!$B$24</f>
        <v>4.28453602711671</v>
      </c>
      <c r="AB116" s="41" t="n">
        <f aca="false">AA116*(1-Annahmen!$B$33*$C$12)+AB$21*$E$12*Annahmen!$B$21*Annahmen!$B$24</f>
        <v>4.59312159479131</v>
      </c>
      <c r="AC116" s="41" t="n">
        <f aca="false">AB116*(1-Annahmen!$B$33*$C$12)+AC$21*$E$12*Annahmen!$B$21*Annahmen!$B$24</f>
        <v>4.89800413565382</v>
      </c>
      <c r="AD116" s="41" t="n">
        <f aca="false">AC116*(1-Annahmen!$B$33*$C$12)+AD$21*$E$12*Annahmen!$B$21*Annahmen!$B$24</f>
        <v>5.23522808602597</v>
      </c>
      <c r="AE116" s="41" t="n">
        <f aca="false">AD116*(1-Annahmen!$B$33*$C$12)+AE$21*$E$12*Annahmen!$B$21*Annahmen!$B$24</f>
        <v>5.56840534899366</v>
      </c>
      <c r="AF116" s="41" t="n">
        <f aca="false">AE116*(1-Annahmen!$B$33*$C$12)+AF$21*$E$12*Annahmen!$B$21*Annahmen!$B$24</f>
        <v>5.89758448480574</v>
      </c>
      <c r="AG116" s="41" t="n">
        <f aca="false">AF116*(1-Annahmen!$B$33*$C$12)+AG$21*$E$12*Annahmen!$B$21*Annahmen!$B$24</f>
        <v>6.25881347098807</v>
      </c>
      <c r="AH116" s="41" t="n">
        <f aca="false">AG116*(1-Annahmen!$B$33*$C$12)+AH$21*$E$12*Annahmen!$B$21*Annahmen!$B$24</f>
        <v>6.61570770933621</v>
      </c>
      <c r="AI116" s="41" t="n">
        <f aca="false">AH116*(1-Annahmen!$B$33*$C$12)+AI$21*$E$12*Annahmen!$B$21*Annahmen!$B$24</f>
        <v>6.96831921682418</v>
      </c>
      <c r="AJ116" s="41" t="n">
        <f aca="false">AI116*(1-Annahmen!$B$33*$C$12)+AJ$21*$E$12*Annahmen!$B$21*Annahmen!$B$24</f>
        <v>7.36469938622229</v>
      </c>
      <c r="AK116" s="41" t="n">
        <f aca="false">AJ116*(1-Annahmen!$B$33*$C$12)+AK$21*$E$12*Annahmen!$B$21*Annahmen!$B$24</f>
        <v>7.75632299358762</v>
      </c>
      <c r="AL116" s="41" t="n">
        <f aca="false">AK116*(1-Annahmen!$B$33*$C$12)+AL$21*$E$12*Annahmen!$B$21*Annahmen!$B$24</f>
        <v>8.14324711766457</v>
      </c>
      <c r="AM116" s="41" t="n">
        <f aca="false">AL116*(1-Annahmen!$B$33*$C$12)+AM$21*$E$12*Annahmen!$B$21*Annahmen!$B$24</f>
        <v>8.58552815225259</v>
      </c>
      <c r="AN116" s="41" t="n">
        <f aca="false">AM116*(1-Annahmen!$B$33*$C$12)+AN$21*$E$12*Annahmen!$B$21*Annahmen!$B$24</f>
        <v>9.02250181442556</v>
      </c>
      <c r="AO116" s="41" t="n">
        <f aca="false">AN116*(1-Annahmen!$B$33*$C$12)+AO$21*$E$12*Annahmen!$B$21*Annahmen!$B$24</f>
        <v>9.45423179265245</v>
      </c>
      <c r="AP116" s="41" t="n">
        <f aca="false">AO116*(1-Annahmen!$B$33*$C$12)+AP$21*$E$12*Annahmen!$B$21*Annahmen!$B$24</f>
        <v>9.88078101114062</v>
      </c>
      <c r="AQ116" s="41" t="n">
        <f aca="false">AP116*(1-Annahmen!$B$33*$C$12)+AQ$21*$E$12*Annahmen!$B$21*Annahmen!$B$24</f>
        <v>10.3022116390069</v>
      </c>
      <c r="AR116" s="41" t="n">
        <f aca="false">AQ116*(1-Annahmen!$B$33*$C$12)+AR$21*$E$12*Annahmen!$B$21*Annahmen!$B$24</f>
        <v>10.7185850993389</v>
      </c>
      <c r="AS116" s="41" t="n">
        <f aca="false">AR116*(1-Annahmen!$B$33*$C$12)+AS$21*$E$12*Annahmen!$B$21*Annahmen!$B$24</f>
        <v>11.1299620781468</v>
      </c>
      <c r="AT116" s="41" t="n">
        <f aca="false">AS116*(1-Annahmen!$B$33*$C$12)+AT$21*$E$12*Annahmen!$B$21*Annahmen!$B$24</f>
        <v>11.536402533209</v>
      </c>
      <c r="AU116" s="41" t="n">
        <f aca="false">AT116*(1-Annahmen!$B$33*$C$12)+AU$21*$E$12*Annahmen!$B$21*Annahmen!$B$24</f>
        <v>11.9379657028105</v>
      </c>
      <c r="AV116" s="41" t="n">
        <f aca="false">AU116*(1-Annahmen!$B$33*$C$12)+AV$21*$E$12*Annahmen!$B$21*Annahmen!$B$24</f>
        <v>12.3347101143768</v>
      </c>
      <c r="AW116" s="41" t="n">
        <f aca="false">AV116*(1-Annahmen!$B$33*$C$12)+AW$21*$E$12*Annahmen!$B$21*Annahmen!$B$24</f>
        <v>12.7266935930043</v>
      </c>
      <c r="AX116" s="41" t="n">
        <f aca="false">AW116*(1-Annahmen!$B$33*$C$12)+AX$21*$E$12*Annahmen!$B$21*Annahmen!$B$24</f>
        <v>13.1139732698882</v>
      </c>
      <c r="AY116" s="41" t="n">
        <f aca="false">AX116*(1-Annahmen!$B$33*$C$12)+AY$21*$E$12*Annahmen!$B$21*Annahmen!$B$24</f>
        <v>13.6166055906496</v>
      </c>
      <c r="AZ116" s="41" t="n">
        <f aca="false">AY116*(1-Annahmen!$B$33*$C$12)+AZ$21*$E$12*Annahmen!$B$21*Annahmen!$B$24</f>
        <v>14.1132063235618</v>
      </c>
      <c r="BA116" s="41" t="n">
        <f aca="false">AZ116*(1-Annahmen!$B$33*$C$12)+BA$21*$E$12*Annahmen!$B$21*Annahmen!$B$24</f>
        <v>14.603847847679</v>
      </c>
      <c r="BB116" s="41" t="n">
        <f aca="false">BA116*(1-Annahmen!$B$33*$C$12)+BB$21*$E$12*Annahmen!$B$21*Annahmen!$B$24</f>
        <v>15.0886016735069</v>
      </c>
      <c r="BC116" s="41" t="n">
        <f aca="false">BB116*(1-Annahmen!$B$33*$C$12)+BC$21*$E$12*Annahmen!$B$21*Annahmen!$B$24</f>
        <v>15.5675384534248</v>
      </c>
      <c r="BD116" s="41" t="n">
        <f aca="false">BC116*(1-Annahmen!$B$33*$C$12)+BD$21*$E$12*Annahmen!$B$21*Annahmen!$B$24</f>
        <v>16.0407279919837</v>
      </c>
      <c r="BE116" s="41" t="n">
        <f aca="false">BD116*(1-Annahmen!$B$33*$C$12)+BE$21*$E$12*Annahmen!$B$21*Annahmen!$B$24</f>
        <v>16.5082392560799</v>
      </c>
      <c r="BF116" s="41" t="n">
        <f aca="false">BE116*(1-Annahmen!$B$33*$C$12)+BF$21*$E$12*Annahmen!$B$21*Annahmen!$B$24</f>
        <v>16.9701403850069</v>
      </c>
      <c r="BG116" s="41" t="n">
        <f aca="false">BF116*(1-Annahmen!$B$33*$C$12)+BG$21*$E$12*Annahmen!$B$21*Annahmen!$B$24</f>
        <v>17.4264987003868</v>
      </c>
      <c r="BH116" s="41" t="n">
        <f aca="false">BG116*(1-Annahmen!$B$33*$C$12)+BH$21*$E$12*Annahmen!$B$21*Annahmen!$B$24</f>
        <v>17.8773807159822</v>
      </c>
      <c r="BI116" s="41" t="n">
        <f aca="false">BH116*(1-Annahmen!$B$33*$C$12)+BI$21*$E$12*Annahmen!$B$21*Annahmen!$B$24</f>
        <v>18.3228521473904</v>
      </c>
      <c r="BJ116" s="41" t="n">
        <f aca="false">BI116*(1-Annahmen!$B$33*$C$12)+BJ$21*$E$12*Annahmen!$B$21*Annahmen!$B$24</f>
        <v>18.7629779216217</v>
      </c>
    </row>
    <row r="117" customFormat="false" ht="15" hidden="false" customHeight="false" outlineLevel="0" collapsed="false">
      <c r="B117" s="5" t="s">
        <v>223</v>
      </c>
      <c r="C117" s="38" t="n">
        <f aca="false">C113+C114+C115</f>
        <v>6.3798</v>
      </c>
      <c r="D117" s="38" t="n">
        <f aca="false">D113+D114+D115</f>
        <v>7.7266364</v>
      </c>
      <c r="E117" s="38" t="n">
        <f aca="false">E113+E114+E115</f>
        <v>9.0413543832</v>
      </c>
      <c r="F117" s="38" t="n">
        <f aca="false">F113+F114+F115</f>
        <v>11.8247763532016</v>
      </c>
      <c r="G117" s="38" t="n">
        <f aca="false">G113+G114+G115</f>
        <v>14.5416425694612</v>
      </c>
      <c r="H117" s="38" t="n">
        <f aca="false">H113+H114+H115</f>
        <v>17.1936606845952</v>
      </c>
      <c r="I117" s="38" t="n">
        <f aca="false">I113+I114+I115</f>
        <v>21.2824923030242</v>
      </c>
      <c r="J117" s="38" t="n">
        <f aca="false">J113+J114+J115</f>
        <v>25.2736942659791</v>
      </c>
      <c r="K117" s="38" t="n">
        <f aca="false">K113+K114+K115</f>
        <v>29.1697688198004</v>
      </c>
      <c r="L117" s="38" t="n">
        <f aca="false">L113+L114+L115</f>
        <v>34.4731507875543</v>
      </c>
      <c r="M117" s="38" t="n">
        <f aca="false">M113+M114+M115</f>
        <v>39.6501494495135</v>
      </c>
      <c r="N117" s="38" t="n">
        <f aca="false">N113+N114+N115</f>
        <v>44.7039992899406</v>
      </c>
      <c r="O117" s="38" t="n">
        <f aca="false">O113+O114+O115</f>
        <v>51.6378477306905</v>
      </c>
      <c r="P117" s="38" t="n">
        <f aca="false">P113+P114+P115</f>
        <v>58.4066775576586</v>
      </c>
      <c r="Q117" s="38" t="n">
        <f aca="false">Q113+Q114+Q115</f>
        <v>65.0147078379757</v>
      </c>
      <c r="R117" s="38" t="n">
        <f aca="false">R113+R114+R115</f>
        <v>73.4660441552381</v>
      </c>
      <c r="S117" s="38" t="n">
        <f aca="false">S113+S114+S115</f>
        <v>81.7166017707404</v>
      </c>
      <c r="T117" s="38" t="n">
        <f aca="false">T113+T114+T115</f>
        <v>89.7715072545145</v>
      </c>
      <c r="U117" s="38" t="n">
        <f aca="false">U113+U114+U115</f>
        <v>99.6357494140711</v>
      </c>
      <c r="V117" s="38" t="n">
        <f aca="false">V113+V114+V115</f>
        <v>109.266103129398</v>
      </c>
      <c r="W117" s="38" t="n">
        <f aca="false">W113+W114+W115</f>
        <v>118.668531638595</v>
      </c>
      <c r="X117" s="38" t="n">
        <f aca="false">X113+X114+X115</f>
        <v>129.848838102587</v>
      </c>
      <c r="Y117" s="38" t="n">
        <f aca="false">Y113+Y114+Y115</f>
        <v>140.764590058022</v>
      </c>
      <c r="Z117" s="38" t="n">
        <f aca="false">Z113+Z114+Z115</f>
        <v>151.422522303249</v>
      </c>
      <c r="AA117" s="38" t="n">
        <f aca="false">AA113+AA114+AA115</f>
        <v>162.829189046317</v>
      </c>
      <c r="AB117" s="38" t="n">
        <f aca="false">AB113+AB114+AB115</f>
        <v>173.966928924619</v>
      </c>
      <c r="AC117" s="38" t="n">
        <f aca="false">AC113+AC114+AC115</f>
        <v>184.842569161517</v>
      </c>
      <c r="AD117" s="38" t="n">
        <f aca="false">AD113+AD114+AD115</f>
        <v>196.962754276764</v>
      </c>
      <c r="AE117" s="38" t="n">
        <f aca="false">AE113+AE114+AE115</f>
        <v>208.797891157729</v>
      </c>
      <c r="AF117" s="38" t="n">
        <f aca="false">AF113+AF114+AF115</f>
        <v>220.355202906302</v>
      </c>
      <c r="AG117" s="38" t="n">
        <f aca="false">AG113+AG114+AG115</f>
        <v>233.141719584603</v>
      </c>
      <c r="AH117" s="38" t="n">
        <f aca="false">AH113+AH114+AH115</f>
        <v>245.628223568074</v>
      </c>
      <c r="AI117" s="38" t="n">
        <f aca="false">AI113+AI114+AI115</f>
        <v>257.82230366632</v>
      </c>
      <c r="AJ117" s="38" t="n">
        <f aca="false">AJ113+AJ114+AJ115</f>
        <v>271.731346135064</v>
      </c>
      <c r="AK117" s="38" t="n">
        <f aca="false">AK113+AK114+AK115</f>
        <v>285.314460288007</v>
      </c>
      <c r="AL117" s="38" t="n">
        <f aca="false">AL113+AL114+AL115</f>
        <v>298.579882509179</v>
      </c>
      <c r="AM117" s="38" t="n">
        <f aca="false">AM113+AM114+AM115</f>
        <v>314.035629495676</v>
      </c>
      <c r="AN117" s="38" t="n">
        <f aca="false">AN113+AN114+AN115</f>
        <v>329.129404341267</v>
      </c>
      <c r="AO117" s="38" t="n">
        <f aca="false">AO113+AO114+AO115</f>
        <v>343.870350647151</v>
      </c>
      <c r="AP117" s="38" t="n">
        <f aca="false">AP113+AP114+AP115</f>
        <v>358.267368196442</v>
      </c>
      <c r="AQ117" s="38" t="n">
        <f aca="false">AQ113+AQ114+AQ115</f>
        <v>372.329119704771</v>
      </c>
      <c r="AR117" s="38" t="n">
        <f aca="false">AR113+AR114+AR115</f>
        <v>386.064037379093</v>
      </c>
      <c r="AS117" s="38" t="n">
        <f aca="false">AS113+AS114+AS115</f>
        <v>399.480329290257</v>
      </c>
      <c r="AT117" s="38" t="n">
        <f aca="false">AT113+AT114+AT115</f>
        <v>412.585985564706</v>
      </c>
      <c r="AU117" s="38" t="n">
        <f aca="false">AU113+AU114+AU115</f>
        <v>425.388784400556</v>
      </c>
      <c r="AV117" s="38" t="n">
        <f aca="false">AV113+AV114+AV115</f>
        <v>437.896297913098</v>
      </c>
      <c r="AW117" s="38" t="n">
        <f aca="false">AW113+AW114+AW115</f>
        <v>450.115897814678</v>
      </c>
      <c r="AX117" s="38" t="n">
        <f aca="false">AX113+AX114+AX115</f>
        <v>462.054760933714</v>
      </c>
      <c r="AY117" s="38" t="n">
        <f aca="false">AY113+AY114+AY115</f>
        <v>478.719874577496</v>
      </c>
      <c r="AZ117" s="38" t="n">
        <f aca="false">AZ113+AZ114+AZ115</f>
        <v>494.997841743283</v>
      </c>
      <c r="BA117" s="38" t="n">
        <f aca="false">BA113+BA114+BA115</f>
        <v>510.89838258206</v>
      </c>
      <c r="BB117" s="38" t="n">
        <f aca="false">BB113+BB114+BB115</f>
        <v>526.430959182405</v>
      </c>
      <c r="BC117" s="38" t="n">
        <f aca="false">BC113+BC114+BC115</f>
        <v>541.604782693634</v>
      </c>
      <c r="BD117" s="38" t="n">
        <f aca="false">BD113+BD114+BD115</f>
        <v>556.428820246996</v>
      </c>
      <c r="BE117" s="38" t="n">
        <f aca="false">BE113+BE114+BE115</f>
        <v>570.911801680761</v>
      </c>
      <c r="BF117" s="38" t="n">
        <f aca="false">BF113+BF114+BF115</f>
        <v>585.062226074844</v>
      </c>
      <c r="BG117" s="38" t="n">
        <f aca="false">BG113+BG114+BG115</f>
        <v>598.888368100478</v>
      </c>
      <c r="BH117" s="38" t="n">
        <f aca="false">BH113+BH114+BH115</f>
        <v>612.398284190263</v>
      </c>
      <c r="BI117" s="38" t="n">
        <f aca="false">BI113+BI114+BI115</f>
        <v>625.599818533763</v>
      </c>
      <c r="BJ117" s="38" t="n">
        <f aca="false">BJ113+BJ114+BJ115</f>
        <v>638.500608903689</v>
      </c>
    </row>
    <row r="118" customFormat="false" ht="15" hidden="false" customHeight="false" outlineLevel="0" collapsed="false">
      <c r="B118" s="5" t="s">
        <v>400</v>
      </c>
      <c r="C118" s="37" t="n">
        <f aca="false">(C113*Annahmen!$B$10+C114*(Annahmen!$B$11+Annahmen!$B$13*Annahmen!$B$22)+C115*(Annahmen!$B$12+Annahmen!$B$14*Annahmen!$B$23)+C116*Annahmen!$B$16)*$D$12</f>
        <v>764.39164</v>
      </c>
      <c r="D118" s="37" t="n">
        <f aca="false">(D113*Annahmen!$B$10+D114*(Annahmen!$B$11+Annahmen!$B$13*Annahmen!$B$22)+D115*(Annahmen!$B$12+Annahmen!$B$14*Annahmen!$B$23)+D116*Annahmen!$B$16)*$D$12</f>
        <v>928.75347832</v>
      </c>
      <c r="E118" s="37" t="n">
        <f aca="false">(E113*Annahmen!$B$10+E114*(Annahmen!$B$11+Annahmen!$B$13*Annahmen!$B$22)+E115*(Annahmen!$B$12+Annahmen!$B$14*Annahmen!$B$23)+E116*Annahmen!$B$16)*$D$12</f>
        <v>1089.98364732016</v>
      </c>
      <c r="F118" s="37" t="n">
        <f aca="false">(F113*Annahmen!$B$10+F114*(Annahmen!$B$11+Annahmen!$B$13*Annahmen!$B$22)+F115*(Annahmen!$B$12+Annahmen!$B$14*Annahmen!$B$23)+F116*Annahmen!$B$16)*$D$12</f>
        <v>1427.19768847252</v>
      </c>
      <c r="G118" s="37" t="n">
        <f aca="false">(G113*Annahmen!$B$10+G114*(Annahmen!$B$11+Annahmen!$B$13*Annahmen!$B$22)+G115*(Annahmen!$B$12+Annahmen!$B$14*Annahmen!$B$23)+G116*Annahmen!$B$16)*$D$12</f>
        <v>1757.96538427579</v>
      </c>
      <c r="H118" s="37" t="n">
        <f aca="false">(H113*Annahmen!$B$10+H114*(Annahmen!$B$11+Annahmen!$B$13*Annahmen!$B$22)+H115*(Annahmen!$B$12+Annahmen!$B$14*Annahmen!$B$23)+H116*Annahmen!$B$16)*$D$12</f>
        <v>2082.42413500999</v>
      </c>
      <c r="I118" s="37" t="n">
        <f aca="false">(I113*Annahmen!$B$10+I114*(Annahmen!$B$11+Annahmen!$B$13*Annahmen!$B$22)+I115*(Annahmen!$B$12+Annahmen!$B$14*Annahmen!$B$23)+I116*Annahmen!$B$16)*$D$12</f>
        <v>2579.75712981106</v>
      </c>
      <c r="J118" s="37" t="n">
        <f aca="false">(J113*Annahmen!$B$10+J114*(Annahmen!$B$11+Annahmen!$B$13*Annahmen!$B$22)+J115*(Annahmen!$B$12+Annahmen!$B$14*Annahmen!$B$23)+J116*Annahmen!$B$16)*$D$12</f>
        <v>3067.60021929522</v>
      </c>
      <c r="K118" s="37" t="n">
        <f aca="false">(K113*Annahmen!$B$10+K114*(Annahmen!$B$11+Annahmen!$B$13*Annahmen!$B$22)+K115*(Annahmen!$B$12+Annahmen!$B$14*Annahmen!$B$23)+K116*Annahmen!$B$16)*$D$12</f>
        <v>3546.15533194458</v>
      </c>
      <c r="L118" s="37" t="n">
        <f aca="false">(L113*Annahmen!$B$10+L114*(Annahmen!$B$11+Annahmen!$B$13*Annahmen!$B$22)+L115*(Annahmen!$B$12+Annahmen!$B$14*Annahmen!$B$23)+L116*Annahmen!$B$16)*$D$12</f>
        <v>4194.66868376418</v>
      </c>
      <c r="M118" s="37" t="n">
        <f aca="false">(M113*Annahmen!$B$10+M114*(Annahmen!$B$11+Annahmen!$B$13*Annahmen!$B$22)+M115*(Annahmen!$B$12+Annahmen!$B$14*Annahmen!$B$23)+M116*Annahmen!$B$16)*$D$12</f>
        <v>4830.83768846871</v>
      </c>
      <c r="N118" s="37" t="n">
        <f aca="false">(N113*Annahmen!$B$10+N114*(Annahmen!$B$11+Annahmen!$B$13*Annahmen!$B$22)+N115*(Annahmen!$B$12+Annahmen!$B$14*Annahmen!$B$23)+N116*Annahmen!$B$16)*$D$12</f>
        <v>5454.92441043872</v>
      </c>
      <c r="O118" s="37" t="n">
        <f aca="false">(O113*Annahmen!$B$10+O114*(Annahmen!$B$11+Annahmen!$B$13*Annahmen!$B$22)+O115*(Annahmen!$B$12+Annahmen!$B$14*Annahmen!$B$23)+O116*Annahmen!$B$16)*$D$12</f>
        <v>6305.91680998361</v>
      </c>
      <c r="P118" s="37" t="n">
        <f aca="false">(P113*Annahmen!$B$10+P114*(Annahmen!$B$11+Annahmen!$B$13*Annahmen!$B$22)+P115*(Annahmen!$B$12+Annahmen!$B$14*Annahmen!$B$23)+P116*Annahmen!$B$16)*$D$12</f>
        <v>7140.73795219599</v>
      </c>
      <c r="Q118" s="37" t="n">
        <f aca="false">(Q113*Annahmen!$B$10+Q114*(Annahmen!$B$11+Annahmen!$B$13*Annahmen!$B$22)+Q115*(Annahmen!$B$12+Annahmen!$B$14*Annahmen!$B$23)+Q116*Annahmen!$B$16)*$D$12</f>
        <v>7959.73060629527</v>
      </c>
      <c r="R118" s="37" t="n">
        <f aca="false">(R113*Annahmen!$B$10+R114*(Annahmen!$B$11+Annahmen!$B$13*Annahmen!$B$22)+R115*(Annahmen!$B$12+Annahmen!$B$14*Annahmen!$B$23)+R116*Annahmen!$B$16)*$D$12</f>
        <v>9001.96156817279</v>
      </c>
      <c r="S118" s="37" t="n">
        <f aca="false">(S113*Annahmen!$B$10+S114*(Annahmen!$B$11+Annahmen!$B$13*Annahmen!$B$22)+S115*(Annahmen!$B$12+Annahmen!$B$14*Annahmen!$B$23)+S116*Annahmen!$B$16)*$D$12</f>
        <v>10024.4309158481</v>
      </c>
      <c r="T118" s="37" t="n">
        <f aca="false">(T113*Annahmen!$B$10+T114*(Annahmen!$B$11+Annahmen!$B$13*Annahmen!$B$22)+T115*(Annahmen!$B$12+Annahmen!$B$14*Annahmen!$B$23)+T116*Annahmen!$B$16)*$D$12</f>
        <v>11027.5566541871</v>
      </c>
      <c r="U118" s="37" t="n">
        <f aca="false">(U113*Annahmen!$B$10+U114*(Annahmen!$B$11+Annahmen!$B$13*Annahmen!$B$22)+U115*(Annahmen!$B$12+Annahmen!$B$14*Annahmen!$B$23)+U116*Annahmen!$B$16)*$D$12</f>
        <v>12250.4790816283</v>
      </c>
      <c r="V118" s="37" t="n">
        <f aca="false">(V113*Annahmen!$B$10+V114*(Annahmen!$B$11+Annahmen!$B$13*Annahmen!$B$22)+V115*(Annahmen!$B$12+Annahmen!$B$14*Annahmen!$B$23)+V116*Annahmen!$B$16)*$D$12</f>
        <v>13450.2700886585</v>
      </c>
      <c r="W118" s="37" t="n">
        <f aca="false">(W113*Annahmen!$B$10+W114*(Annahmen!$B$11+Annahmen!$B$13*Annahmen!$B$22)+W115*(Annahmen!$B$12+Annahmen!$B$14*Annahmen!$B$23)+W116*Annahmen!$B$16)*$D$12</f>
        <v>14627.4178444225</v>
      </c>
      <c r="X118" s="37" t="n">
        <f aca="false">(X113*Annahmen!$B$10+X114*(Annahmen!$B$11+Annahmen!$B$13*Annahmen!$B$22)+X115*(Annahmen!$B$12+Annahmen!$B$14*Annahmen!$B$23)+X116*Annahmen!$B$16)*$D$12</f>
        <v>16021.131204241</v>
      </c>
      <c r="Y118" s="37" t="n">
        <f aca="false">(Y113*Annahmen!$B$10+Y114*(Annahmen!$B$11+Annahmen!$B$13*Annahmen!$B$22)+Y115*(Annahmen!$B$12+Annahmen!$B$14*Annahmen!$B$23)+Y116*Annahmen!$B$16)*$D$12</f>
        <v>17388.549047811</v>
      </c>
      <c r="Z118" s="37" t="n">
        <f aca="false">(Z113*Annahmen!$B$10+Z114*(Annahmen!$B$11+Annahmen!$B$13*Annahmen!$B$22)+Z115*(Annahmen!$B$12+Annahmen!$B$14*Annahmen!$B$23)+Z116*Annahmen!$B$16)*$D$12</f>
        <v>18730.2250044997</v>
      </c>
      <c r="AA118" s="37" t="n">
        <f aca="false">(AA113*Annahmen!$B$10+AA114*(Annahmen!$B$11+Annahmen!$B$13*Annahmen!$B$22)+AA115*(Annahmen!$B$12+Annahmen!$B$14*Annahmen!$B$23)+AA116*Annahmen!$B$16)*$D$12</f>
        <v>20166.0658985368</v>
      </c>
      <c r="AB118" s="37" t="n">
        <f aca="false">(AB113*Annahmen!$B$10+AB114*(Annahmen!$B$11+Annahmen!$B$13*Annahmen!$B$22)+AB115*(Annahmen!$B$12+Annahmen!$B$14*Annahmen!$B$23)+AB116*Annahmen!$B$16)*$D$12</f>
        <v>21574.9365959054</v>
      </c>
      <c r="AC118" s="37" t="n">
        <f aca="false">(AC113*Annahmen!$B$10+AC114*(Annahmen!$B$11+Annahmen!$B$13*Annahmen!$B$22)+AC115*(Annahmen!$B$12+Annahmen!$B$14*Annahmen!$B$23)+AC116*Annahmen!$B$16)*$D$12</f>
        <v>22957.4025401062</v>
      </c>
      <c r="AD118" s="37" t="n">
        <f aca="false">(AD113*Annahmen!$B$10+AD114*(Annahmen!$B$11+Annahmen!$B$13*Annahmen!$B$22)+AD115*(Annahmen!$B$12+Annahmen!$B$14*Annahmen!$B$23)+AD116*Annahmen!$B$16)*$D$12</f>
        <v>24493.0651433242</v>
      </c>
      <c r="AE118" s="37" t="n">
        <f aca="false">(AE113*Annahmen!$B$10+AE114*(Annahmen!$B$11+Annahmen!$B$13*Annahmen!$B$22)+AE115*(Annahmen!$B$12+Annahmen!$B$14*Annahmen!$B$23)+AE116*Annahmen!$B$16)*$D$12</f>
        <v>25999.9689020238</v>
      </c>
      <c r="AF118" s="37" t="n">
        <f aca="false">(AF113*Annahmen!$B$10+AF114*(Annahmen!$B$11+Annahmen!$B$13*Annahmen!$B$22)+AF115*(Annahmen!$B$12+Annahmen!$B$14*Annahmen!$B$23)+AF116*Annahmen!$B$16)*$D$12</f>
        <v>27478.7150499432</v>
      </c>
      <c r="AG118" s="37" t="n">
        <f aca="false">(AG113*Annahmen!$B$10+AG114*(Annahmen!$B$11+Annahmen!$B$13*Annahmen!$B$22)+AG115*(Annahmen!$B$12+Annahmen!$B$14*Annahmen!$B$23)+AG116*Annahmen!$B$16)*$D$12</f>
        <v>29108.939998171</v>
      </c>
      <c r="AH118" s="37" t="n">
        <f aca="false">(AH113*Annahmen!$B$10+AH114*(Annahmen!$B$11+Annahmen!$B$13*Annahmen!$B$22)+AH115*(Annahmen!$B$12+Annahmen!$B$14*Annahmen!$B$23)+AH116*Annahmen!$B$16)*$D$12</f>
        <v>30708.7224697347</v>
      </c>
      <c r="AI118" s="37" t="n">
        <f aca="false">(AI113*Annahmen!$B$10+AI114*(Annahmen!$B$11+Annahmen!$B$13*Annahmen!$B$22)+AI115*(Annahmen!$B$12+Annahmen!$B$14*Annahmen!$B$23)+AI116*Annahmen!$B$16)*$D$12</f>
        <v>32278.6971711011</v>
      </c>
      <c r="AJ118" s="37" t="n">
        <f aca="false">(AJ113*Annahmen!$B$10+AJ114*(Annahmen!$B$11+Annahmen!$B$13*Annahmen!$B$22)+AJ115*(Annahmen!$B$12+Annahmen!$B$14*Annahmen!$B$23)+AJ116*Annahmen!$B$16)*$D$12</f>
        <v>34058.2162502887</v>
      </c>
      <c r="AK118" s="37" t="n">
        <f aca="false">(AK113*Annahmen!$B$10+AK114*(Annahmen!$B$11+Annahmen!$B$13*Annahmen!$B$22)+AK115*(Annahmen!$B$12+Annahmen!$B$14*Annahmen!$B$23)+AK116*Annahmen!$B$16)*$D$12</f>
        <v>35804.558713029</v>
      </c>
      <c r="AL118" s="37" t="n">
        <f aca="false">(AL113*Annahmen!$B$10+AL114*(Annahmen!$B$11+Annahmen!$B$13*Annahmen!$B$22)+AL115*(Annahmen!$B$12+Annahmen!$B$14*Annahmen!$B$23)+AL116*Annahmen!$B$16)*$D$12</f>
        <v>37518.4152240272</v>
      </c>
      <c r="AM118" s="37" t="n">
        <f aca="false">(AM113*Annahmen!$B$10+AM114*(Annahmen!$B$11+Annahmen!$B$13*Annahmen!$B$22)+AM115*(Annahmen!$B$12+Annahmen!$B$14*Annahmen!$B$23)+AM116*Annahmen!$B$16)*$D$12</f>
        <v>39498.8756261791</v>
      </c>
      <c r="AN118" s="37" t="n">
        <f aca="false">(AN113*Annahmen!$B$10+AN114*(Annahmen!$B$11+Annahmen!$B$13*Annahmen!$B$22)+AN115*(Annahmen!$B$12+Annahmen!$B$14*Annahmen!$B$23)+AN116*Annahmen!$B$16)*$D$12</f>
        <v>41442.440651597</v>
      </c>
      <c r="AO118" s="37" t="n">
        <f aca="false">(AO113*Annahmen!$B$10+AO114*(Annahmen!$B$11+Annahmen!$B$13*Annahmen!$B$22)+AO115*(Annahmen!$B$12+Annahmen!$B$14*Annahmen!$B$23)+AO116*Annahmen!$B$16)*$D$12</f>
        <v>43349.8778655664</v>
      </c>
      <c r="AP118" s="37" t="n">
        <f aca="false">(AP113*Annahmen!$B$10+AP114*(Annahmen!$B$11+Annahmen!$B$13*Annahmen!$B$22)+AP115*(Annahmen!$B$12+Annahmen!$B$14*Annahmen!$B$23)+AP116*Annahmen!$B$16)*$D$12</f>
        <v>45221.937259462</v>
      </c>
      <c r="AQ118" s="37" t="n">
        <f aca="false">(AQ113*Annahmen!$B$10+AQ114*(Annahmen!$B$11+Annahmen!$B$13*Annahmen!$B$22)+AQ115*(Annahmen!$B$12+Annahmen!$B$14*Annahmen!$B$23)+AQ116*Annahmen!$B$16)*$D$12</f>
        <v>47059.351684899</v>
      </c>
      <c r="AR118" s="37" t="n">
        <f aca="false">(AR113*Annahmen!$B$10+AR114*(Annahmen!$B$11+Annahmen!$B$13*Annahmen!$B$22)+AR115*(Annahmen!$B$12+Annahmen!$B$14*Annahmen!$B$23)+AR116*Annahmen!$B$16)*$D$12</f>
        <v>48862.8372765285</v>
      </c>
      <c r="AS118" s="37" t="n">
        <f aca="false">(AS113*Annahmen!$B$10+AS114*(Annahmen!$B$11+Annahmen!$B$13*Annahmen!$B$22)+AS115*(Annahmen!$B$12+Annahmen!$B$14*Annahmen!$B$23)+AS116*Annahmen!$B$16)*$D$12</f>
        <v>50633.0938637877</v>
      </c>
      <c r="AT118" s="37" t="n">
        <f aca="false">(AT113*Annahmen!$B$10+AT114*(Annahmen!$B$11+Annahmen!$B$13*Annahmen!$B$22)+AT115*(Annahmen!$B$12+Annahmen!$B$14*Annahmen!$B$23)+AT116*Annahmen!$B$16)*$D$12</f>
        <v>52370.8053719056</v>
      </c>
      <c r="AU118" s="37" t="n">
        <f aca="false">(AU113*Annahmen!$B$10+AU114*(Annahmen!$B$11+Annahmen!$B$13*Annahmen!$B$22)+AU115*(Annahmen!$B$12+Annahmen!$B$14*Annahmen!$B$23)+AU116*Annahmen!$B$16)*$D$12</f>
        <v>54076.6402124558</v>
      </c>
      <c r="AV118" s="37" t="n">
        <f aca="false">(AV113*Annahmen!$B$10+AV114*(Annahmen!$B$11+Annahmen!$B$13*Annahmen!$B$22)+AV115*(Annahmen!$B$12+Annahmen!$B$14*Annahmen!$B$23)+AV116*Annahmen!$B$16)*$D$12</f>
        <v>55751.2516637418</v>
      </c>
      <c r="AW118" s="37" t="n">
        <f aca="false">(AW113*Annahmen!$B$10+AW114*(Annahmen!$B$11+Annahmen!$B$13*Annahmen!$B$22)+AW115*(Annahmen!$B$12+Annahmen!$B$14*Annahmen!$B$23)+AW116*Annahmen!$B$16)*$D$12</f>
        <v>57395.2782412909</v>
      </c>
      <c r="AX118" s="37" t="n">
        <f aca="false">(AX113*Annahmen!$B$10+AX114*(Annahmen!$B$11+Annahmen!$B$13*Annahmen!$B$22)+AX115*(Annahmen!$B$12+Annahmen!$B$14*Annahmen!$B$23)+AX116*Annahmen!$B$16)*$D$12</f>
        <v>59009.3440587235</v>
      </c>
      <c r="AY118" s="37" t="n">
        <f aca="false">(AY113*Annahmen!$B$10+AY114*(Annahmen!$B$11+Annahmen!$B$13*Annahmen!$B$22)+AY115*(Annahmen!$B$12+Annahmen!$B$14*Annahmen!$B$23)+AY116*Annahmen!$B$16)*$D$12</f>
        <v>61190.8891792619</v>
      </c>
      <c r="AZ118" s="37" t="n">
        <f aca="false">(AZ113*Annahmen!$B$10+AZ114*(Annahmen!$B$11+Annahmen!$B$13*Annahmen!$B$22)+AZ115*(Annahmen!$B$12+Annahmen!$B$14*Annahmen!$B$23)+AZ116*Annahmen!$B$16)*$D$12</f>
        <v>63332.1925981293</v>
      </c>
      <c r="BA118" s="37" t="n">
        <f aca="false">(BA113*Annahmen!$B$10+BA114*(Annahmen!$B$11+Annahmen!$B$13*Annahmen!$B$22)+BA115*(Annahmen!$B$12+Annahmen!$B$14*Annahmen!$B$23)+BA116*Annahmen!$B$16)*$D$12</f>
        <v>65434.0837024073</v>
      </c>
      <c r="BB118" s="37" t="n">
        <f aca="false">(BB113*Annahmen!$B$10+BB114*(Annahmen!$B$11+Annahmen!$B$13*Annahmen!$B$22)+BB115*(Annahmen!$B$12+Annahmen!$B$14*Annahmen!$B$23)+BB116*Annahmen!$B$16)*$D$12</f>
        <v>67497.3730400958</v>
      </c>
      <c r="BC118" s="37" t="n">
        <f aca="false">(BC113*Annahmen!$B$10+BC114*(Annahmen!$B$11+Annahmen!$B$13*Annahmen!$B$22)+BC115*(Annahmen!$B$12+Annahmen!$B$14*Annahmen!$B$23)+BC116*Annahmen!$B$16)*$D$12</f>
        <v>69522.8527826116</v>
      </c>
      <c r="BD118" s="37" t="n">
        <f aca="false">(BD113*Annahmen!$B$10+BD114*(Annahmen!$B$11+Annahmen!$B$13*Annahmen!$B$22)+BD115*(Annahmen!$B$12+Annahmen!$B$14*Annahmen!$B$23)+BD116*Annahmen!$B$16)*$D$12</f>
        <v>71511.2971752474</v>
      </c>
      <c r="BE118" s="37" t="n">
        <f aca="false">(BE113*Annahmen!$B$10+BE114*(Annahmen!$B$11+Annahmen!$B$13*Annahmen!$B$22)+BE115*(Annahmen!$B$12+Annahmen!$B$14*Annahmen!$B$23)+BE116*Annahmen!$B$16)*$D$12</f>
        <v>73463.4629759188</v>
      </c>
      <c r="BF118" s="37" t="n">
        <f aca="false">(BF113*Annahmen!$B$10+BF114*(Annahmen!$B$11+Annahmen!$B$13*Annahmen!$B$22)+BF115*(Annahmen!$B$12+Annahmen!$B$14*Annahmen!$B$23)+BF116*Annahmen!$B$16)*$D$12</f>
        <v>75380.0898825166</v>
      </c>
      <c r="BG118" s="37" t="n">
        <f aca="false">(BG113*Annahmen!$B$10+BG114*(Annahmen!$B$11+Annahmen!$B$13*Annahmen!$B$22)+BG115*(Annahmen!$B$12+Annahmen!$B$14*Annahmen!$B$23)+BG116*Annahmen!$B$16)*$D$12</f>
        <v>77261.9009491727</v>
      </c>
      <c r="BH118" s="37" t="n">
        <f aca="false">(BH113*Annahmen!$B$10+BH114*(Annahmen!$B$11+Annahmen!$B$13*Annahmen!$B$22)+BH115*(Annahmen!$B$12+Annahmen!$B$14*Annahmen!$B$23)+BH116*Annahmen!$B$16)*$D$12</f>
        <v>79109.6029917422</v>
      </c>
      <c r="BI118" s="37" t="n">
        <f aca="false">(BI113*Annahmen!$B$10+BI114*(Annahmen!$B$11+Annahmen!$B$13*Annahmen!$B$22)+BI115*(Annahmen!$B$12+Annahmen!$B$14*Annahmen!$B$23)+BI116*Annahmen!$B$16)*$D$12</f>
        <v>80923.8869827913</v>
      </c>
      <c r="BJ118" s="37" t="n">
        <f aca="false">(BJ113*Annahmen!$B$10+BJ114*(Annahmen!$B$11+Annahmen!$B$13*Annahmen!$B$22)+BJ115*(Annahmen!$B$12+Annahmen!$B$14*Annahmen!$B$23)+BJ116*Annahmen!$B$16)*$D$12</f>
        <v>82705.4284363765</v>
      </c>
    </row>
    <row r="119" customFormat="false" ht="15" hidden="false" customHeight="false" outlineLevel="0" collapsed="false">
      <c r="B119" s="5" t="s">
        <v>228</v>
      </c>
      <c r="C119" s="37" t="n">
        <f aca="false">C118*(1-Annahmen!$B$27)+C$21*$E$12*Annahmen!$B$21*Annahmen!$B$24*Annahmen!$B$15*$D$12</f>
        <v>797.812058</v>
      </c>
      <c r="D119" s="37" t="n">
        <f aca="false">D118*(1-Annahmen!$B$27)+D$21*$E$12*Annahmen!$B$21*Annahmen!$B$24*Annahmen!$B$15*$D$12</f>
        <v>953.955804404</v>
      </c>
      <c r="E119" s="37" t="n">
        <f aca="false">E118*(1-Annahmen!$B$27)+E$21*$E$12*Annahmen!$B$21*Annahmen!$B$24*Annahmen!$B$15*$D$12</f>
        <v>1107.12446495415</v>
      </c>
      <c r="F119" s="37" t="n">
        <f aca="false">F118*(1-Annahmen!$B$27)+F$21*$E$12*Annahmen!$B$21*Annahmen!$B$24*Annahmen!$B$15*$D$12</f>
        <v>1499.11780404889</v>
      </c>
      <c r="G119" s="37" t="n">
        <f aca="false">G118*(1-Annahmen!$B$27)+G$21*$E$12*Annahmen!$B$21*Annahmen!$B$24*Annahmen!$B$15*$D$12</f>
        <v>1813.347115062</v>
      </c>
      <c r="H119" s="37" t="n">
        <f aca="false">H118*(1-Annahmen!$B$27)+H$21*$E$12*Annahmen!$B$21*Annahmen!$B$24*Annahmen!$B$15*$D$12</f>
        <v>2121.58292825949</v>
      </c>
      <c r="I119" s="37" t="n">
        <f aca="false">I118*(1-Annahmen!$B$27)+I$21*$E$12*Annahmen!$B$21*Annahmen!$B$24*Annahmen!$B$15*$D$12</f>
        <v>2665.68927332051</v>
      </c>
      <c r="J119" s="37" t="n">
        <f aca="false">J118*(1-Annahmen!$B$27)+J$21*$E$12*Annahmen!$B$21*Annahmen!$B$24*Annahmen!$B$15*$D$12</f>
        <v>3129.14020833046</v>
      </c>
      <c r="K119" s="37" t="n">
        <f aca="false">K118*(1-Annahmen!$B$27)+K$21*$E$12*Annahmen!$B$21*Annahmen!$B$24*Annahmen!$B$15*$D$12</f>
        <v>3583.76756534735</v>
      </c>
      <c r="L119" s="37" t="n">
        <f aca="false">L118*(1-Annahmen!$B$27)+L$21*$E$12*Annahmen!$B$21*Annahmen!$B$24*Annahmen!$B$15*$D$12</f>
        <v>4271.49524957597</v>
      </c>
      <c r="M119" s="37" t="n">
        <f aca="false">M118*(1-Annahmen!$B$27)+M$21*$E$12*Annahmen!$B$21*Annahmen!$B$24*Annahmen!$B$15*$D$12</f>
        <v>4875.85580404527</v>
      </c>
      <c r="N119" s="37" t="n">
        <f aca="false">N118*(1-Annahmen!$B$27)+N$21*$E$12*Annahmen!$B$21*Annahmen!$B$24*Annahmen!$B$15*$D$12</f>
        <v>5468.73818991679</v>
      </c>
      <c r="O119" s="37" t="n">
        <f aca="false">O118*(1-Annahmen!$B$27)+O$21*$E$12*Annahmen!$B$21*Annahmen!$B$24*Annahmen!$B$15*$D$12</f>
        <v>6372.70096948443</v>
      </c>
      <c r="P119" s="37" t="n">
        <f aca="false">P118*(1-Annahmen!$B$27)+P$21*$E$12*Annahmen!$B$21*Annahmen!$B$24*Annahmen!$B$15*$D$12</f>
        <v>7165.78105458619</v>
      </c>
      <c r="Q119" s="37" t="n">
        <f aca="false">Q118*(1-Annahmen!$B$27)+Q$21*$E$12*Annahmen!$B$21*Annahmen!$B$24*Annahmen!$B$15*$D$12</f>
        <v>7943.82407598051</v>
      </c>
      <c r="R119" s="37" t="n">
        <f aca="false">R118*(1-Annahmen!$B$27)+R$21*$E$12*Annahmen!$B$21*Annahmen!$B$24*Annahmen!$B$15*$D$12</f>
        <v>9029.46348976414</v>
      </c>
      <c r="S119" s="37" t="n">
        <f aca="false">S118*(1-Annahmen!$B$27)+S$21*$E$12*Annahmen!$B$21*Annahmen!$B$24*Annahmen!$B$15*$D$12</f>
        <v>10000.8093700557</v>
      </c>
      <c r="T119" s="37" t="n">
        <f aca="false">T118*(1-Annahmen!$B$27)+T$21*$E$12*Annahmen!$B$21*Annahmen!$B$24*Annahmen!$B$15*$D$12</f>
        <v>10953.7788214778</v>
      </c>
      <c r="U119" s="37" t="n">
        <f aca="false">U118*(1-Annahmen!$B$27)+U$21*$E$12*Annahmen!$B$21*Annahmen!$B$24*Annahmen!$B$15*$D$12</f>
        <v>12211.0751275468</v>
      </c>
      <c r="V119" s="37" t="n">
        <f aca="false">V118*(1-Annahmen!$B$27)+V$21*$E$12*Annahmen!$B$21*Annahmen!$B$24*Annahmen!$B$15*$D$12</f>
        <v>13350.8765842256</v>
      </c>
      <c r="W119" s="37" t="n">
        <f aca="false">W118*(1-Annahmen!$B$27)+W$21*$E$12*Annahmen!$B$21*Annahmen!$B$24*Annahmen!$B$15*$D$12</f>
        <v>14469.1669522014</v>
      </c>
      <c r="X119" s="37" t="n">
        <f aca="false">X118*(1-Annahmen!$B$27)+X$21*$E$12*Annahmen!$B$21*Annahmen!$B$24*Annahmen!$B$15*$D$12</f>
        <v>15888.714644029</v>
      </c>
      <c r="Y119" s="37" t="n">
        <f aca="false">Y118*(1-Annahmen!$B$27)+Y$21*$E$12*Annahmen!$B$21*Annahmen!$B$24*Annahmen!$B$15*$D$12</f>
        <v>17187.7615954205</v>
      </c>
      <c r="Z119" s="37" t="n">
        <f aca="false">Z118*(1-Annahmen!$B$27)+Z$21*$E$12*Annahmen!$B$21*Annahmen!$B$24*Annahmen!$B$15*$D$12</f>
        <v>18462.3537542747</v>
      </c>
      <c r="AA119" s="37" t="n">
        <f aca="false">AA118*(1-Annahmen!$B$27)+AA$21*$E$12*Annahmen!$B$21*Annahmen!$B$24*Annahmen!$B$15*$D$12</f>
        <v>19874.1626036099</v>
      </c>
      <c r="AB119" s="37" t="n">
        <f aca="false">AB118*(1-Annahmen!$B$27)+AB$21*$E$12*Annahmen!$B$21*Annahmen!$B$24*Annahmen!$B$15*$D$12</f>
        <v>21212.5897661101</v>
      </c>
      <c r="AC119" s="37" t="n">
        <f aca="false">AC118*(1-Annahmen!$B$27)+AC$21*$E$12*Annahmen!$B$21*Annahmen!$B$24*Annahmen!$B$15*$D$12</f>
        <v>22525.9324131008</v>
      </c>
      <c r="AD119" s="37" t="n">
        <f aca="false">AD118*(1-Annahmen!$B$27)+AD$21*$E$12*Annahmen!$B$21*Annahmen!$B$24*Annahmen!$B$15*$D$12</f>
        <v>24056.451886158</v>
      </c>
      <c r="AE119" s="37" t="n">
        <f aca="false">AE118*(1-Annahmen!$B$27)+AE$21*$E$12*Annahmen!$B$21*Annahmen!$B$24*Annahmen!$B$15*$D$12</f>
        <v>25488.0104569227</v>
      </c>
      <c r="AF119" s="37" t="n">
        <f aca="false">AF118*(1-Annahmen!$B$27)+AF$21*$E$12*Annahmen!$B$21*Annahmen!$B$24*Annahmen!$B$15*$D$12</f>
        <v>26892.819297446</v>
      </c>
      <c r="AG119" s="37" t="n">
        <f aca="false">AG118*(1-Annahmen!$B$27)+AG$21*$E$12*Annahmen!$B$21*Annahmen!$B$24*Annahmen!$B$15*$D$12</f>
        <v>28513.1729982625</v>
      </c>
      <c r="AH119" s="37" t="n">
        <f aca="false">AH118*(1-Annahmen!$B$27)+AH$21*$E$12*Annahmen!$B$21*Annahmen!$B$24*Annahmen!$B$15*$D$12</f>
        <v>30032.9663462479</v>
      </c>
      <c r="AI119" s="37" t="n">
        <f aca="false">AI118*(1-Annahmen!$B$27)+AI$21*$E$12*Annahmen!$B$21*Annahmen!$B$24*Annahmen!$B$15*$D$12</f>
        <v>31524.442312546</v>
      </c>
      <c r="AJ119" s="37" t="n">
        <f aca="false">AJ118*(1-Annahmen!$B$27)+AJ$21*$E$12*Annahmen!$B$21*Annahmen!$B$24*Annahmen!$B$15*$D$12</f>
        <v>33310.5054377742</v>
      </c>
      <c r="AK119" s="37" t="n">
        <f aca="false">AK118*(1-Annahmen!$B$27)+AK$21*$E$12*Annahmen!$B$21*Annahmen!$B$24*Annahmen!$B$15*$D$12</f>
        <v>34969.5307773776</v>
      </c>
      <c r="AL119" s="37" t="n">
        <f aca="false">AL118*(1-Annahmen!$B$27)+AL$21*$E$12*Annahmen!$B$21*Annahmen!$B$24*Annahmen!$B$15*$D$12</f>
        <v>36597.6944628259</v>
      </c>
      <c r="AM119" s="37" t="n">
        <f aca="false">AM118*(1-Annahmen!$B$27)+AM$21*$E$12*Annahmen!$B$21*Annahmen!$B$24*Annahmen!$B$15*$D$12</f>
        <v>38598.5318448701</v>
      </c>
      <c r="AN119" s="37" t="n">
        <f aca="false">AN118*(1-Annahmen!$B$27)+AN$21*$E$12*Annahmen!$B$21*Annahmen!$B$24*Annahmen!$B$15*$D$12</f>
        <v>40444.9186190172</v>
      </c>
      <c r="AO119" s="37" t="n">
        <f aca="false">AO118*(1-Annahmen!$B$27)+AO$21*$E$12*Annahmen!$B$21*Annahmen!$B$24*Annahmen!$B$15*$D$12</f>
        <v>42256.9839722881</v>
      </c>
      <c r="AP119" s="37" t="n">
        <f aca="false">AP118*(1-Annahmen!$B$27)+AP$21*$E$12*Annahmen!$B$21*Annahmen!$B$24*Annahmen!$B$15*$D$12</f>
        <v>44035.4403964889</v>
      </c>
      <c r="AQ119" s="37" t="n">
        <f aca="false">AQ118*(1-Annahmen!$B$27)+AQ$21*$E$12*Annahmen!$B$21*Annahmen!$B$24*Annahmen!$B$15*$D$12</f>
        <v>45780.9841006541</v>
      </c>
      <c r="AR119" s="37" t="n">
        <f aca="false">AR118*(1-Annahmen!$B$27)+AR$21*$E$12*Annahmen!$B$21*Annahmen!$B$24*Annahmen!$B$15*$D$12</f>
        <v>47494.2954127021</v>
      </c>
      <c r="AS119" s="37" t="n">
        <f aca="false">AS118*(1-Annahmen!$B$27)+AS$21*$E$12*Annahmen!$B$21*Annahmen!$B$24*Annahmen!$B$15*$D$12</f>
        <v>49176.0391705984</v>
      </c>
      <c r="AT119" s="37" t="n">
        <f aca="false">AT118*(1-Annahmen!$B$27)+AT$21*$E$12*Annahmen!$B$21*Annahmen!$B$24*Annahmen!$B$15*$D$12</f>
        <v>50826.8651033103</v>
      </c>
      <c r="AU119" s="37" t="n">
        <f aca="false">AU118*(1-Annahmen!$B$27)+AU$21*$E$12*Annahmen!$B$21*Annahmen!$B$24*Annahmen!$B$15*$D$12</f>
        <v>52447.408201833</v>
      </c>
      <c r="AV119" s="37" t="n">
        <f aca="false">AV118*(1-Annahmen!$B$27)+AV$21*$E$12*Annahmen!$B$21*Annahmen!$B$24*Annahmen!$B$15*$D$12</f>
        <v>54038.2890805548</v>
      </c>
      <c r="AW119" s="37" t="n">
        <f aca="false">AW118*(1-Annahmen!$B$27)+AW$21*$E$12*Annahmen!$B$21*Annahmen!$B$24*Annahmen!$B$15*$D$12</f>
        <v>55600.1143292264</v>
      </c>
      <c r="AX119" s="37" t="n">
        <f aca="false">AX118*(1-Annahmen!$B$27)+AX$21*$E$12*Annahmen!$B$21*Annahmen!$B$24*Annahmen!$B$15*$D$12</f>
        <v>57133.4768557874</v>
      </c>
      <c r="AY119" s="37" t="n">
        <f aca="false">AY118*(1-Annahmen!$B$27)+AY$21*$E$12*Annahmen!$B$21*Annahmen!$B$24*Annahmen!$B$15*$D$12</f>
        <v>59444.7447202988</v>
      </c>
      <c r="AZ119" s="37" t="n">
        <f aca="false">AZ118*(1-Annahmen!$B$27)+AZ$21*$E$12*Annahmen!$B$21*Annahmen!$B$24*Annahmen!$B$15*$D$12</f>
        <v>61478.9829682228</v>
      </c>
      <c r="BA119" s="37" t="n">
        <f aca="false">BA118*(1-Annahmen!$B$27)+BA$21*$E$12*Annahmen!$B$21*Annahmen!$B$24*Annahmen!$B$15*$D$12</f>
        <v>63475.779517287</v>
      </c>
      <c r="BB119" s="37" t="n">
        <f aca="false">BB118*(1-Annahmen!$B$27)+BB$21*$E$12*Annahmen!$B$21*Annahmen!$B$24*Annahmen!$B$15*$D$12</f>
        <v>65435.9043880911</v>
      </c>
      <c r="BC119" s="37" t="n">
        <f aca="false">BC118*(1-Annahmen!$B$27)+BC$21*$E$12*Annahmen!$B$21*Annahmen!$B$24*Annahmen!$B$15*$D$12</f>
        <v>67360.110143481</v>
      </c>
      <c r="BD119" s="37" t="n">
        <f aca="false">BD118*(1-Annahmen!$B$27)+BD$21*$E$12*Annahmen!$B$21*Annahmen!$B$24*Annahmen!$B$15*$D$12</f>
        <v>69249.132316485</v>
      </c>
      <c r="BE119" s="37" t="n">
        <f aca="false">BE118*(1-Annahmen!$B$27)+BE$21*$E$12*Annahmen!$B$21*Annahmen!$B$24*Annahmen!$B$15*$D$12</f>
        <v>71103.6898271229</v>
      </c>
      <c r="BF119" s="37" t="n">
        <f aca="false">BF118*(1-Annahmen!$B$27)+BF$21*$E$12*Annahmen!$B$21*Annahmen!$B$24*Annahmen!$B$15*$D$12</f>
        <v>72924.4853883907</v>
      </c>
      <c r="BG119" s="37" t="n">
        <f aca="false">BG118*(1-Annahmen!$B$27)+BG$21*$E$12*Annahmen!$B$21*Annahmen!$B$24*Annahmen!$B$15*$D$12</f>
        <v>74712.205901714</v>
      </c>
      <c r="BH119" s="37" t="n">
        <f aca="false">BH118*(1-Annahmen!$B$27)+BH$21*$E$12*Annahmen!$B$21*Annahmen!$B$24*Annahmen!$B$15*$D$12</f>
        <v>76467.522842155</v>
      </c>
      <c r="BI119" s="37" t="n">
        <f aca="false">BI118*(1-Annahmen!$B$27)+BI$21*$E$12*Annahmen!$B$21*Annahmen!$B$24*Annahmen!$B$15*$D$12</f>
        <v>78191.0926336518</v>
      </c>
      <c r="BJ119" s="37" t="n">
        <f aca="false">BJ118*(1-Annahmen!$B$27)+BJ$21*$E$12*Annahmen!$B$21*Annahmen!$B$24*Annahmen!$B$15*$D$12</f>
        <v>79883.5570145576</v>
      </c>
    </row>
    <row r="120" customFormat="false" ht="15" hidden="false" customHeight="false" outlineLevel="0" collapsed="false">
      <c r="B120" s="5" t="s">
        <v>239</v>
      </c>
      <c r="C120" s="37" t="n">
        <f aca="false">C113*Annahmen!$B$52+C114*Annahmen!$B$53+C115*Annahmen!$B$54+C119*Annahmen!$B$55+C117*Annahmen!$B$56+C119*INDEX(Annahmen!$B$58:$F$58,1,C$20)*Annahmen!$B$57+C$21*$E$12*Annahmen!$B$21*Annahmen!$B$24*Annahmen!$B$59</f>
        <v>25.283426464</v>
      </c>
      <c r="D120" s="37" t="n">
        <f aca="false">D113*Annahmen!$B$52+D114*Annahmen!$B$53+D115*Annahmen!$B$54+D119*Annahmen!$B$55+D117*Annahmen!$B$56+D119*INDEX(Annahmen!$B$58:$F$58,1,D$20)*Annahmen!$B$57+D$21*$E$12*Annahmen!$B$21*Annahmen!$B$24*Annahmen!$B$59</f>
        <v>29.424121175232</v>
      </c>
      <c r="E120" s="37" t="n">
        <f aca="false">E113*Annahmen!$B$52+E114*Annahmen!$B$53+E115*Annahmen!$B$54+E119*Annahmen!$B$55+E117*Annahmen!$B$56+E119*INDEX(Annahmen!$B$58:$F$58,1,E$20)*Annahmen!$B$57+E$21*$E$12*Annahmen!$B$21*Annahmen!$B$24*Annahmen!$B$59</f>
        <v>33.4829617697532</v>
      </c>
      <c r="F120" s="37" t="n">
        <f aca="false">F113*Annahmen!$B$52+F114*Annahmen!$B$53+F115*Annahmen!$B$54+F119*Annahmen!$B$55+F117*Annahmen!$B$56+F119*INDEX(Annahmen!$B$58:$F$58,1,F$20)*Annahmen!$B$57+F$21*$E$12*Annahmen!$B$21*Annahmen!$B$24*Annahmen!$B$59</f>
        <v>47.9606456350197</v>
      </c>
      <c r="G120" s="37" t="n">
        <f aca="false">G113*Annahmen!$B$52+G114*Annahmen!$B$53+G115*Annahmen!$B$54+G119*Annahmen!$B$55+G117*Annahmen!$B$56+G119*INDEX(Annahmen!$B$58:$F$58,1,G$20)*Annahmen!$B$57+G$21*$E$12*Annahmen!$B$21*Annahmen!$B$24*Annahmen!$B$59</f>
        <v>56.2965096804034</v>
      </c>
      <c r="H120" s="37" t="n">
        <f aca="false">H113*Annahmen!$B$52+H114*Annahmen!$B$53+H115*Annahmen!$B$54+H119*Annahmen!$B$55+H117*Annahmen!$B$56+H119*INDEX(Annahmen!$B$58:$F$58,1,H$20)*Annahmen!$B$57+H$21*$E$12*Annahmen!$B$21*Annahmen!$B$24*Annahmen!$B$59</f>
        <v>64.4674055473979</v>
      </c>
      <c r="I120" s="37" t="n">
        <f aca="false">I113*Annahmen!$B$52+I114*Annahmen!$B$53+I115*Annahmen!$B$54+I119*Annahmen!$B$55+I117*Annahmen!$B$56+I119*INDEX(Annahmen!$B$58:$F$58,1,I$20)*Annahmen!$B$57+I$21*$E$12*Annahmen!$B$21*Annahmen!$B$24*Annahmen!$B$59</f>
        <v>82.9758671226483</v>
      </c>
      <c r="J120" s="37" t="n">
        <f aca="false">J113*Annahmen!$B$52+J114*Annahmen!$B$53+J115*Annahmen!$B$54+J119*Annahmen!$B$55+J117*Annahmen!$B$56+J119*INDEX(Annahmen!$B$58:$F$58,1,J$20)*Annahmen!$B$57+J$21*$E$12*Annahmen!$B$21*Annahmen!$B$24*Annahmen!$B$59</f>
        <v>95.2630234834207</v>
      </c>
      <c r="K120" s="37" t="n">
        <f aca="false">K113*Annahmen!$B$52+K114*Annahmen!$B$53+K115*Annahmen!$B$54+K119*Annahmen!$B$55+K117*Annahmen!$B$56+K119*INDEX(Annahmen!$B$58:$F$58,1,K$20)*Annahmen!$B$57+K$21*$E$12*Annahmen!$B$21*Annahmen!$B$24*Annahmen!$B$59</f>
        <v>107.307475250971</v>
      </c>
      <c r="L120" s="37" t="n">
        <f aca="false">L113*Annahmen!$B$52+L114*Annahmen!$B$53+L115*Annahmen!$B$54+L119*Annahmen!$B$55+L117*Annahmen!$B$56+L119*INDEX(Annahmen!$B$58:$F$58,1,L$20)*Annahmen!$B$57+L$21*$E$12*Annahmen!$B$21*Annahmen!$B$24*Annahmen!$B$59</f>
        <v>129.613463215833</v>
      </c>
      <c r="M120" s="37" t="n">
        <f aca="false">M113*Annahmen!$B$52+M114*Annahmen!$B$53+M115*Annahmen!$B$54+M119*Annahmen!$B$55+M117*Annahmen!$B$56+M119*INDEX(Annahmen!$B$58:$F$58,1,M$20)*Annahmen!$B$57+M$21*$E$12*Annahmen!$B$21*Annahmen!$B$24*Annahmen!$B$59</f>
        <v>145.623782365517</v>
      </c>
      <c r="N120" s="37" t="n">
        <f aca="false">N113*Annahmen!$B$52+N114*Annahmen!$B$53+N115*Annahmen!$B$54+N119*Annahmen!$B$55+N117*Annahmen!$B$56+N119*INDEX(Annahmen!$B$58:$F$58,1,N$20)*Annahmen!$B$57+N$21*$E$12*Annahmen!$B$21*Annahmen!$B$24*Annahmen!$B$59</f>
        <v>161.318659290896</v>
      </c>
      <c r="O120" s="37" t="n">
        <f aca="false">O113*Annahmen!$B$52+O114*Annahmen!$B$53+O115*Annahmen!$B$54+O119*Annahmen!$B$55+O117*Annahmen!$B$56+O119*INDEX(Annahmen!$B$58:$F$58,1,O$20)*Annahmen!$B$57+O$21*$E$12*Annahmen!$B$21*Annahmen!$B$24*Annahmen!$B$59</f>
        <v>350.021076873249</v>
      </c>
      <c r="P120" s="37" t="n">
        <f aca="false">P113*Annahmen!$B$52+P114*Annahmen!$B$53+P115*Annahmen!$B$54+P119*Annahmen!$B$55+P117*Annahmen!$B$56+P119*INDEX(Annahmen!$B$58:$F$58,1,P$20)*Annahmen!$B$57+P$21*$E$12*Annahmen!$B$21*Annahmen!$B$24*Annahmen!$B$59</f>
        <v>390.846524694499</v>
      </c>
      <c r="Q120" s="37" t="n">
        <f aca="false">Q113*Annahmen!$B$52+Q114*Annahmen!$B$53+Q115*Annahmen!$B$54+Q119*Annahmen!$B$55+Q117*Annahmen!$B$56+Q119*INDEX(Annahmen!$B$58:$F$58,1,Q$20)*Annahmen!$B$57+Q$21*$E$12*Annahmen!$B$21*Annahmen!$B$24*Annahmen!$B$59</f>
        <v>430.883047891177</v>
      </c>
      <c r="R120" s="37" t="n">
        <f aca="false">R113*Annahmen!$B$52+R114*Annahmen!$B$53+R115*Annahmen!$B$54+R119*Annahmen!$B$55+R117*Annahmen!$B$56+R119*INDEX(Annahmen!$B$58:$F$58,1,R$20)*Annahmen!$B$57+R$21*$E$12*Annahmen!$B$21*Annahmen!$B$24*Annahmen!$B$59</f>
        <v>492.204072244836</v>
      </c>
      <c r="S120" s="37" t="n">
        <f aca="false">S113*Annahmen!$B$52+S114*Annahmen!$B$53+S115*Annahmen!$B$54+S119*Annahmen!$B$55+S117*Annahmen!$B$56+S119*INDEX(Annahmen!$B$58:$F$58,1,S$20)*Annahmen!$B$57+S$21*$E$12*Annahmen!$B$21*Annahmen!$B$24*Annahmen!$B$59</f>
        <v>542.187965318896</v>
      </c>
      <c r="T120" s="37" t="n">
        <f aca="false">T113*Annahmen!$B$52+T114*Annahmen!$B$53+T115*Annahmen!$B$54+T119*Annahmen!$B$55+T117*Annahmen!$B$56+T119*INDEX(Annahmen!$B$58:$F$58,1,T$20)*Annahmen!$B$57+T$21*$E$12*Annahmen!$B$21*Annahmen!$B$24*Annahmen!$B$59</f>
        <v>591.208134481933</v>
      </c>
      <c r="U120" s="37" t="n">
        <f aca="false">U113*Annahmen!$B$52+U114*Annahmen!$B$53+U115*Annahmen!$B$54+U119*Annahmen!$B$55+U117*Annahmen!$B$56+U119*INDEX(Annahmen!$B$58:$F$58,1,U$20)*Annahmen!$B$57+U$21*$E$12*Annahmen!$B$21*Annahmen!$B$24*Annahmen!$B$59</f>
        <v>661.341732955379</v>
      </c>
      <c r="V120" s="37" t="n">
        <f aca="false">V113*Annahmen!$B$52+V114*Annahmen!$B$53+V115*Annahmen!$B$54+V119*Annahmen!$B$55+V117*Annahmen!$B$56+V119*INDEX(Annahmen!$B$58:$F$58,1,V$20)*Annahmen!$B$57+V$21*$E$12*Annahmen!$B$21*Annahmen!$B$24*Annahmen!$B$59</f>
        <v>719.970768459605</v>
      </c>
      <c r="W120" s="37" t="n">
        <f aca="false">W113*Annahmen!$B$52+W114*Annahmen!$B$53+W115*Annahmen!$B$54+W119*Annahmen!$B$55+W117*Annahmen!$B$56+W119*INDEX(Annahmen!$B$58:$F$58,1,W$20)*Annahmen!$B$57+W$21*$E$12*Annahmen!$B$21*Annahmen!$B$24*Annahmen!$B$59</f>
        <v>777.472203434364</v>
      </c>
      <c r="X120" s="37" t="n">
        <f aca="false">X113*Annahmen!$B$52+X114*Annahmen!$B$53+X115*Annahmen!$B$54+X119*Annahmen!$B$55+X117*Annahmen!$B$56+X119*INDEX(Annahmen!$B$58:$F$58,1,X$20)*Annahmen!$B$57+X$21*$E$12*Annahmen!$B$21*Annahmen!$B$24*Annahmen!$B$59</f>
        <v>855.926663225355</v>
      </c>
      <c r="Y120" s="37" t="n">
        <f aca="false">Y113*Annahmen!$B$52+Y114*Annahmen!$B$53+Y115*Annahmen!$B$54+Y119*Annahmen!$B$55+Y117*Annahmen!$B$56+Y119*INDEX(Annahmen!$B$58:$F$58,1,Y$20)*Annahmen!$B$57+Y$21*$E$12*Annahmen!$B$21*Annahmen!$B$24*Annahmen!$B$59</f>
        <v>922.719546812419</v>
      </c>
      <c r="Z120" s="37" t="n">
        <f aca="false">Z113*Annahmen!$B$52+Z114*Annahmen!$B$53+Z115*Annahmen!$B$54+Z119*Annahmen!$B$55+Z117*Annahmen!$B$56+Z119*INDEX(Annahmen!$B$58:$F$58,1,Z$20)*Annahmen!$B$57+Z$21*$E$12*Annahmen!$B$21*Annahmen!$B$24*Annahmen!$B$59</f>
        <v>988.231129056978</v>
      </c>
      <c r="AA120" s="37" t="n">
        <f aca="false">AA113*Annahmen!$B$52+AA114*Annahmen!$B$53+AA115*Annahmen!$B$54+AA119*Annahmen!$B$55+AA117*Annahmen!$B$56+AA119*INDEX(Annahmen!$B$58:$F$58,1,AA$20)*Annahmen!$B$57+AA$21*$E$12*Annahmen!$B$21*Annahmen!$B$24*Annahmen!$B$59</f>
        <v>1560.37113185218</v>
      </c>
      <c r="AB120" s="37" t="n">
        <f aca="false">AB113*Annahmen!$B$52+AB114*Annahmen!$B$53+AB115*Annahmen!$B$54+AB119*Annahmen!$B$55+AB117*Annahmen!$B$56+AB119*INDEX(Annahmen!$B$58:$F$58,1,AB$20)*Annahmen!$B$57+AB$21*$E$12*Annahmen!$B$21*Annahmen!$B$24*Annahmen!$B$59</f>
        <v>1662.599787521</v>
      </c>
      <c r="AC120" s="37" t="n">
        <f aca="false">AC113*Annahmen!$B$52+AC114*Annahmen!$B$53+AC115*Annahmen!$B$54+AC119*Annahmen!$B$55+AC117*Annahmen!$B$56+AC119*INDEX(Annahmen!$B$58:$F$58,1,AC$20)*Annahmen!$B$57+AC$21*$E$12*Annahmen!$B$21*Annahmen!$B$24*Annahmen!$B$59</f>
        <v>1762.88813949036</v>
      </c>
      <c r="AD120" s="37" t="n">
        <f aca="false">AD113*Annahmen!$B$52+AD114*Annahmen!$B$53+AD115*Annahmen!$B$54+AD119*Annahmen!$B$55+AD117*Annahmen!$B$56+AD119*INDEX(Annahmen!$B$58:$F$58,1,AD$20)*Annahmen!$B$57+AD$21*$E$12*Annahmen!$B$21*Annahmen!$B$24*Annahmen!$B$59</f>
        <v>1883.8630444051</v>
      </c>
      <c r="AE120" s="37" t="n">
        <f aca="false">AE113*Annahmen!$B$52+AE114*Annahmen!$B$53+AE115*Annahmen!$B$54+AE119*Annahmen!$B$55+AE117*Annahmen!$B$56+AE119*INDEX(Annahmen!$B$58:$F$58,1,AE$20)*Annahmen!$B$57+AE$21*$E$12*Annahmen!$B$21*Annahmen!$B$24*Annahmen!$B$59</f>
        <v>1993.16973388922</v>
      </c>
      <c r="AF120" s="37" t="n">
        <f aca="false">AF113*Annahmen!$B$52+AF114*Annahmen!$B$53+AF115*Annahmen!$B$54+AF119*Annahmen!$B$55+AF117*Annahmen!$B$56+AF119*INDEX(Annahmen!$B$58:$F$58,1,AF$20)*Annahmen!$B$57+AF$21*$E$12*Annahmen!$B$21*Annahmen!$B$24*Annahmen!$B$59</f>
        <v>2100.40809619794</v>
      </c>
      <c r="AG120" s="37" t="n">
        <f aca="false">AG113*Annahmen!$B$52+AG114*Annahmen!$B$53+AG115*Annahmen!$B$54+AG119*Annahmen!$B$55+AG117*Annahmen!$B$56+AG119*INDEX(Annahmen!$B$58:$F$58,1,AG$20)*Annahmen!$B$57+AG$21*$E$12*Annahmen!$B$21*Annahmen!$B$24*Annahmen!$B$59</f>
        <v>2228.20757734671</v>
      </c>
      <c r="AH120" s="37" t="n">
        <f aca="false">AH113*Annahmen!$B$52+AH114*Annahmen!$B$53+AH115*Annahmen!$B$54+AH119*Annahmen!$B$55+AH117*Annahmen!$B$56+AH119*INDEX(Annahmen!$B$58:$F$58,1,AH$20)*Annahmen!$B$57+AH$21*$E$12*Annahmen!$B$21*Annahmen!$B$24*Annahmen!$B$59</f>
        <v>2344.21594045548</v>
      </c>
      <c r="AI120" s="37" t="n">
        <f aca="false">AI113*Annahmen!$B$52+AI114*Annahmen!$B$53+AI115*Annahmen!$B$54+AI119*Annahmen!$B$55+AI117*Annahmen!$B$56+AI119*INDEX(Annahmen!$B$58:$F$58,1,AI$20)*Annahmen!$B$57+AI$21*$E$12*Annahmen!$B$21*Annahmen!$B$24*Annahmen!$B$59</f>
        <v>2458.03554880353</v>
      </c>
      <c r="AJ120" s="37" t="n">
        <f aca="false">AJ113*Annahmen!$B$52+AJ114*Annahmen!$B$53+AJ115*Annahmen!$B$54+AJ119*Annahmen!$B$55+AJ117*Annahmen!$B$56+AJ119*INDEX(Annahmen!$B$58:$F$58,1,AJ$20)*Annahmen!$B$57+AJ$21*$E$12*Annahmen!$B$21*Annahmen!$B$24*Annahmen!$B$59</f>
        <v>2599.82684162505</v>
      </c>
      <c r="AK120" s="37" t="n">
        <f aca="false">AK113*Annahmen!$B$52+AK114*Annahmen!$B$53+AK115*Annahmen!$B$54+AK119*Annahmen!$B$55+AK117*Annahmen!$B$56+AK119*INDEX(Annahmen!$B$58:$F$58,1,AK$20)*Annahmen!$B$57+AK$21*$E$12*Annahmen!$B$21*Annahmen!$B$24*Annahmen!$B$59</f>
        <v>2726.44163253124</v>
      </c>
      <c r="AL120" s="37" t="n">
        <f aca="false">AL113*Annahmen!$B$52+AL114*Annahmen!$B$53+AL115*Annahmen!$B$54+AL119*Annahmen!$B$55+AL117*Annahmen!$B$56+AL119*INDEX(Annahmen!$B$58:$F$58,1,AL$20)*Annahmen!$B$57+AL$21*$E$12*Annahmen!$B$21*Annahmen!$B$24*Annahmen!$B$59</f>
        <v>2850.67147974227</v>
      </c>
      <c r="AM120" s="37" t="n">
        <f aca="false">AM113*Annahmen!$B$52+AM114*Annahmen!$B$53+AM115*Annahmen!$B$54+AM119*Annahmen!$B$55+AM117*Annahmen!$B$56+AM119*INDEX(Annahmen!$B$58:$F$58,1,AM$20)*Annahmen!$B$57+AM$21*$E$12*Annahmen!$B$21*Annahmen!$B$24*Annahmen!$B$59</f>
        <v>3492.69110379169</v>
      </c>
      <c r="AN120" s="37" t="n">
        <f aca="false">AN113*Annahmen!$B$52+AN114*Annahmen!$B$53+AN115*Annahmen!$B$54+AN119*Annahmen!$B$55+AN117*Annahmen!$B$56+AN119*INDEX(Annahmen!$B$58:$F$58,1,AN$20)*Annahmen!$B$57+AN$21*$E$12*Annahmen!$B$21*Annahmen!$B$24*Annahmen!$B$59</f>
        <v>3656.6745084749</v>
      </c>
      <c r="AO120" s="37" t="n">
        <f aca="false">AO113*Annahmen!$B$52+AO114*Annahmen!$B$53+AO115*Annahmen!$B$54+AO119*Annahmen!$B$55+AO117*Annahmen!$B$56+AO119*INDEX(Annahmen!$B$58:$F$58,1,AO$20)*Annahmen!$B$57+AO$21*$E$12*Annahmen!$B$21*Annahmen!$B$24*Annahmen!$B$59</f>
        <v>3817.57680582026</v>
      </c>
      <c r="AP120" s="37" t="n">
        <f aca="false">AP113*Annahmen!$B$52+AP114*Annahmen!$B$53+AP115*Annahmen!$B$54+AP119*Annahmen!$B$55+AP117*Annahmen!$B$56+AP119*INDEX(Annahmen!$B$58:$F$58,1,AP$20)*Annahmen!$B$57+AP$21*$E$12*Annahmen!$B$21*Annahmen!$B$24*Annahmen!$B$59</f>
        <v>3975.46269419867</v>
      </c>
      <c r="AQ120" s="37" t="n">
        <f aca="false">AQ113*Annahmen!$B$52+AQ114*Annahmen!$B$53+AQ115*Annahmen!$B$54+AQ119*Annahmen!$B$55+AQ117*Annahmen!$B$56+AQ119*INDEX(Annahmen!$B$58:$F$58,1,AQ$20)*Annahmen!$B$57+AQ$21*$E$12*Annahmen!$B$21*Annahmen!$B$24*Annahmen!$B$59</f>
        <v>4130.39537733036</v>
      </c>
      <c r="AR120" s="37" t="n">
        <f aca="false">AR113*Annahmen!$B$52+AR114*Annahmen!$B$53+AR115*Annahmen!$B$54+AR119*Annahmen!$B$55+AR117*Annahmen!$B$56+AR119*INDEX(Annahmen!$B$58:$F$58,1,AR$20)*Annahmen!$B$57+AR$21*$E$12*Annahmen!$B$21*Annahmen!$B$24*Annahmen!$B$59</f>
        <v>4282.43660149909</v>
      </c>
      <c r="AS120" s="37" t="n">
        <f aca="false">AS113*Annahmen!$B$52+AS114*Annahmen!$B$53+AS115*Annahmen!$B$54+AS119*Annahmen!$B$55+AS117*Annahmen!$B$56+AS119*INDEX(Annahmen!$B$58:$F$58,1,AS$20)*Annahmen!$B$57+AS$21*$E$12*Annahmen!$B$21*Annahmen!$B$24*Annahmen!$B$59</f>
        <v>4431.64669178695</v>
      </c>
      <c r="AT120" s="37" t="n">
        <f aca="false">AT113*Annahmen!$B$52+AT114*Annahmen!$B$53+AT115*Annahmen!$B$54+AT119*Annahmen!$B$55+AT117*Annahmen!$B$56+AT119*INDEX(Annahmen!$B$58:$F$58,1,AT$20)*Annahmen!$B$57+AT$21*$E$12*Annahmen!$B$21*Annahmen!$B$24*Annahmen!$B$59</f>
        <v>4578.08458735637</v>
      </c>
      <c r="AU120" s="37" t="n">
        <f aca="false">AU113*Annahmen!$B$52+AU114*Annahmen!$B$53+AU115*Annahmen!$B$54+AU119*Annahmen!$B$55+AU117*Annahmen!$B$56+AU119*INDEX(Annahmen!$B$58:$F$58,1,AU$20)*Annahmen!$B$57+AU$21*$E$12*Annahmen!$B$21*Annahmen!$B$24*Annahmen!$B$59</f>
        <v>4721.80787580555</v>
      </c>
      <c r="AV120" s="37" t="n">
        <f aca="false">AV113*Annahmen!$B$52+AV114*Annahmen!$B$53+AV115*Annahmen!$B$54+AV119*Annahmen!$B$55+AV117*Annahmen!$B$56+AV119*INDEX(Annahmen!$B$58:$F$58,1,AV$20)*Annahmen!$B$57+AV$21*$E$12*Annahmen!$B$21*Annahmen!$B$24*Annahmen!$B$59</f>
        <v>4862.87282662262</v>
      </c>
      <c r="AW120" s="37" t="n">
        <f aca="false">AW113*Annahmen!$B$52+AW114*Annahmen!$B$53+AW115*Annahmen!$B$54+AW119*Annahmen!$B$55+AW117*Annahmen!$B$56+AW119*INDEX(Annahmen!$B$58:$F$58,1,AW$20)*Annahmen!$B$57+AW$21*$E$12*Annahmen!$B$21*Annahmen!$B$24*Annahmen!$B$59</f>
        <v>5001.33442376313</v>
      </c>
      <c r="AX120" s="37" t="n">
        <f aca="false">AX113*Annahmen!$B$52+AX114*Annahmen!$B$53+AX115*Annahmen!$B$54+AX119*Annahmen!$B$55+AX117*Annahmen!$B$56+AX119*INDEX(Annahmen!$B$58:$F$58,1,AX$20)*Annahmen!$B$57+AX$21*$E$12*Annahmen!$B$21*Annahmen!$B$24*Annahmen!$B$59</f>
        <v>5137.24639737488</v>
      </c>
      <c r="AY120" s="37" t="n">
        <f aca="false">AY113*Annahmen!$B$52+AY114*Annahmen!$B$53+AY115*Annahmen!$B$54+AY119*Annahmen!$B$55+AY117*Annahmen!$B$56+AY119*INDEX(Annahmen!$B$58:$F$58,1,AY$20)*Annahmen!$B$57+AY$21*$E$12*Annahmen!$B$21*Annahmen!$B$24*Annahmen!$B$59</f>
        <v>6099.07865294701</v>
      </c>
      <c r="AZ120" s="37" t="n">
        <f aca="false">AZ113*Annahmen!$B$52+AZ114*Annahmen!$B$53+AZ115*Annahmen!$B$54+AZ119*Annahmen!$B$55+AZ117*Annahmen!$B$56+AZ119*INDEX(Annahmen!$B$58:$F$58,1,AZ$20)*Annahmen!$B$57+AZ$21*$E$12*Annahmen!$B$21*Annahmen!$B$24*Annahmen!$B$59</f>
        <v>6305.01493979662</v>
      </c>
      <c r="BA120" s="37" t="n">
        <f aca="false">BA113*Annahmen!$B$52+BA114*Annahmen!$B$53+BA115*Annahmen!$B$54+BA119*Annahmen!$B$55+BA117*Annahmen!$B$56+BA119*INDEX(Annahmen!$B$58:$F$58,1,BA$20)*Annahmen!$B$57+BA$21*$E$12*Annahmen!$B$21*Annahmen!$B$24*Annahmen!$B$59</f>
        <v>6507.12545728731</v>
      </c>
      <c r="BB120" s="37" t="n">
        <f aca="false">BB113*Annahmen!$B$52+BB114*Annahmen!$B$53+BB115*Annahmen!$B$54+BB119*Annahmen!$B$55+BB117*Annahmen!$B$56+BB119*INDEX(Annahmen!$B$58:$F$58,1,BB$20)*Annahmen!$B$57+BB$21*$E$12*Annahmen!$B$21*Annahmen!$B$24*Annahmen!$B$59</f>
        <v>6705.48967874519</v>
      </c>
      <c r="BC120" s="37" t="n">
        <f aca="false">BC113*Annahmen!$B$52+BC114*Annahmen!$B$53+BC115*Annahmen!$B$54+BC119*Annahmen!$B$55+BC117*Annahmen!$B$56+BC119*INDEX(Annahmen!$B$58:$F$58,1,BC$20)*Annahmen!$B$57+BC$21*$E$12*Annahmen!$B$21*Annahmen!$B$24*Annahmen!$B$59</f>
        <v>6900.18525833214</v>
      </c>
      <c r="BD120" s="37" t="n">
        <f aca="false">BD113*Annahmen!$B$52+BD114*Annahmen!$B$53+BD115*Annahmen!$B$54+BD119*Annahmen!$B$55+BD117*Annahmen!$B$56+BD119*INDEX(Annahmen!$B$58:$F$58,1,BD$20)*Annahmen!$B$57+BD$21*$E$12*Annahmen!$B$21*Annahmen!$B$24*Annahmen!$B$59</f>
        <v>7091.28807601151</v>
      </c>
      <c r="BE120" s="37" t="n">
        <f aca="false">BE113*Annahmen!$B$52+BE114*Annahmen!$B$53+BE115*Annahmen!$B$54+BE119*Annahmen!$B$55+BE117*Annahmen!$B$56+BE119*INDEX(Annahmen!$B$58:$F$58,1,BE$20)*Annahmen!$B$57+BE$21*$E$12*Annahmen!$B$21*Annahmen!$B$24*Annahmen!$B$59</f>
        <v>7278.87228133675</v>
      </c>
      <c r="BF120" s="37" t="n">
        <f aca="false">BF113*Annahmen!$B$52+BF114*Annahmen!$B$53+BF115*Annahmen!$B$54+BF119*Annahmen!$B$55+BF117*Annahmen!$B$56+BF119*INDEX(Annahmen!$B$58:$F$58,1,BF$20)*Annahmen!$B$57+BF$21*$E$12*Annahmen!$B$21*Annahmen!$B$24*Annahmen!$B$59</f>
        <v>7463.01033609514</v>
      </c>
      <c r="BG120" s="37" t="n">
        <f aca="false">BG113*Annahmen!$B$52+BG114*Annahmen!$B$53+BG115*Annahmen!$B$54+BG119*Annahmen!$B$55+BG117*Annahmen!$B$56+BG119*INDEX(Annahmen!$B$58:$F$58,1,BG$20)*Annahmen!$B$57+BG$21*$E$12*Annahmen!$B$21*Annahmen!$B$24*Annahmen!$B$59</f>
        <v>7643.77305583768</v>
      </c>
      <c r="BH120" s="37" t="n">
        <f aca="false">BH113*Annahmen!$B$52+BH114*Annahmen!$B$53+BH115*Annahmen!$B$54+BH119*Annahmen!$B$55+BH117*Annahmen!$B$56+BH119*INDEX(Annahmen!$B$58:$F$58,1,BH$20)*Annahmen!$B$57+BH$21*$E$12*Annahmen!$B$21*Annahmen!$B$24*Annahmen!$B$59</f>
        <v>7821.22965032561</v>
      </c>
      <c r="BI120" s="37" t="n">
        <f aca="false">BI113*Annahmen!$B$52+BI114*Annahmen!$B$53+BI115*Annahmen!$B$54+BI119*Annahmen!$B$55+BI117*Annahmen!$B$56+BI119*INDEX(Annahmen!$B$58:$F$58,1,BI$20)*Annahmen!$B$57+BI$21*$E$12*Annahmen!$B$21*Annahmen!$B$24*Annahmen!$B$59</f>
        <v>7995.44776292299</v>
      </c>
      <c r="BJ120" s="37" t="n">
        <f aca="false">BJ113*Annahmen!$B$52+BJ114*Annahmen!$B$53+BJ115*Annahmen!$B$54+BJ119*Annahmen!$B$55+BJ117*Annahmen!$B$56+BJ119*INDEX(Annahmen!$B$58:$F$58,1,BJ$20)*Annahmen!$B$57+BJ$21*$E$12*Annahmen!$B$21*Annahmen!$B$24*Annahmen!$B$59</f>
        <v>8166.49350896403</v>
      </c>
    </row>
    <row r="121" customFormat="false" ht="15" hidden="false" customHeight="false" outlineLevel="0" collapsed="false">
      <c r="B121" s="5" t="s">
        <v>267</v>
      </c>
      <c r="C121" s="37" t="n">
        <f aca="false">C119-C120-C$22</f>
        <v>-16187.471368464</v>
      </c>
      <c r="D121" s="37" t="n">
        <f aca="false">D119-D120-D$22</f>
        <v>-6235.46831677123</v>
      </c>
      <c r="E121" s="37" t="n">
        <f aca="false">E119-E120-E$22</f>
        <v>-6886.3584968156</v>
      </c>
      <c r="F121" s="37" t="n">
        <f aca="false">F119-F120-F$22</f>
        <v>-14708.8428415861</v>
      </c>
      <c r="G121" s="37" t="n">
        <f aca="false">G119-G120-G$22</f>
        <v>-5402.9493946184</v>
      </c>
      <c r="H121" s="37" t="n">
        <f aca="false">H119-H120-H$22</f>
        <v>-5102.88447728791</v>
      </c>
      <c r="I121" s="37" t="n">
        <f aca="false">I119-I120-I$22</f>
        <v>-11015.2865938021</v>
      </c>
      <c r="J121" s="37" t="n">
        <f aca="false">J119-J120-J$22</f>
        <v>-8764.12281515297</v>
      </c>
      <c r="K121" s="37" t="n">
        <f aca="false">K119-K120-K$22</f>
        <v>-8321.53990990362</v>
      </c>
      <c r="L121" s="37" t="n">
        <f aca="false">L119-L120-L$22</f>
        <v>-18288.1182136399</v>
      </c>
      <c r="M121" s="37" t="n">
        <f aca="false">M119-M120-M$22</f>
        <v>-13399.7679783202</v>
      </c>
      <c r="N121" s="37" t="n">
        <f aca="false">N119-N120-N$22</f>
        <v>-12822.5804693741</v>
      </c>
      <c r="O121" s="37" t="n">
        <f aca="false">O119-O120-O$22</f>
        <v>-27372.5601073888</v>
      </c>
      <c r="P121" s="37" t="n">
        <f aca="false">P119-P120-P$22</f>
        <v>-23020.3054701083</v>
      </c>
      <c r="Q121" s="37" t="n">
        <f aca="false">Q119-Q120-Q$22</f>
        <v>-29282.2989719107</v>
      </c>
      <c r="R121" s="37" t="n">
        <f aca="false">R119-R120-R$22</f>
        <v>-21257.9805824807</v>
      </c>
      <c r="S121" s="37" t="n">
        <f aca="false">S119-S120-S$22</f>
        <v>-20336.6185952632</v>
      </c>
      <c r="T121" s="37" t="n">
        <f aca="false">T119-T120-T$22</f>
        <v>-19432.6693130041</v>
      </c>
      <c r="U121" s="37" t="n">
        <f aca="false">U119-U120-U$22</f>
        <v>-18245.5066054085</v>
      </c>
      <c r="V121" s="37" t="n">
        <f aca="false">V119-V120-V$22</f>
        <v>-17164.334184234</v>
      </c>
      <c r="W121" s="37" t="n">
        <f aca="false">W119-W120-W$22</f>
        <v>-30103.545251233</v>
      </c>
      <c r="X121" s="37" t="n">
        <f aca="false">X119-X120-X$22</f>
        <v>-26083.2120191964</v>
      </c>
      <c r="Y121" s="37" t="n">
        <f aca="false">Y119-Y120-Y$22</f>
        <v>-20050.9579513919</v>
      </c>
      <c r="Z121" s="37" t="n">
        <f aca="false">Z119-Z120-Z$22</f>
        <v>-18841.8773747822</v>
      </c>
      <c r="AA121" s="37" t="n">
        <f aca="false">AA119-AA120-AA$22</f>
        <v>-24319.9885282423</v>
      </c>
      <c r="AB121" s="37" t="n">
        <f aca="false">AB119-AB120-AB$22</f>
        <v>-23083.7900214109</v>
      </c>
      <c r="AC121" s="37" t="n">
        <f aca="false">AC119-AC120-AC$22</f>
        <v>-21870.7357263895</v>
      </c>
      <c r="AD121" s="37" t="n">
        <f aca="false">AD119-AD120-AD$22</f>
        <v>-42179.2093582471</v>
      </c>
      <c r="AE121" s="37" t="n">
        <f aca="false">AE119-AE120-AE$22</f>
        <v>-24056.9574769666</v>
      </c>
      <c r="AF121" s="37" t="n">
        <f aca="false">AF119-AF120-AF$22</f>
        <v>-22759.3869987519</v>
      </c>
      <c r="AG121" s="37" t="n">
        <f aca="false">AG119-AG120-AG$22</f>
        <v>-28241.5887790843</v>
      </c>
      <c r="AH121" s="37" t="n">
        <f aca="false">AH119-AH120-AH$22</f>
        <v>-25037.8037942075</v>
      </c>
      <c r="AI121" s="37" t="n">
        <f aca="false">AI119-AI120-AI$22</f>
        <v>-23660.1474362575</v>
      </c>
      <c r="AJ121" s="37" t="n">
        <f aca="false">AJ119-AJ120-AJ$22</f>
        <v>-26015.8756038508</v>
      </c>
      <c r="AK121" s="37" t="n">
        <f aca="false">AK119-AK120-AK$22</f>
        <v>-20483.4650551537</v>
      </c>
      <c r="AL121" s="37" t="n">
        <f aca="false">AL119-AL120-AL$22</f>
        <v>-18979.5312169164</v>
      </c>
      <c r="AM121" s="37" t="n">
        <f aca="false">AM119-AM120-AM$22</f>
        <v>-39844.4269169216</v>
      </c>
      <c r="AN121" s="37" t="n">
        <f aca="false">AN119-AN120-AN$22</f>
        <v>-34562.0235474577</v>
      </c>
      <c r="AO121" s="37" t="n">
        <f aca="false">AO119-AO120-AO$22</f>
        <v>-42910.8604915322</v>
      </c>
      <c r="AP121" s="37" t="n">
        <f aca="false">AP119-AP120-AP$22</f>
        <v>-31290.2899557097</v>
      </c>
      <c r="AQ121" s="37" t="n">
        <f aca="false">AQ119-AQ120-AQ$22</f>
        <v>-29699.6789346763</v>
      </c>
      <c r="AR121" s="37" t="n">
        <f aca="false">AR119-AR120-AR$22</f>
        <v>-28138.408846797</v>
      </c>
      <c r="AS121" s="37" t="n">
        <f aca="false">AS119-AS120-AS$22</f>
        <v>-33470.2339251886</v>
      </c>
      <c r="AT121" s="37" t="n">
        <f aca="false">AT119-AT120-AT$22</f>
        <v>-30165.845888046</v>
      </c>
      <c r="AU121" s="37" t="n">
        <f aca="false">AU119-AU120-AU$22</f>
        <v>-46689.0260779726</v>
      </c>
      <c r="AV121" s="37" t="n">
        <f aca="false">AV119-AV120-AV$22</f>
        <v>-27239.2101500679</v>
      </c>
      <c r="AW121" s="37" t="n">
        <f aca="false">AW119-AW120-AW$22</f>
        <v>-25815.8464985368</v>
      </c>
      <c r="AX121" s="37" t="n">
        <f aca="false">AX119-AX120-AX$22</f>
        <v>-24418.3959455875</v>
      </c>
      <c r="AY121" s="37" t="n">
        <f aca="false">AY119-AY120-AY$22</f>
        <v>-42318.6318814882</v>
      </c>
      <c r="AZ121" s="37" t="n">
        <f aca="false">AZ119-AZ120-AZ$22</f>
        <v>-36890.3299204138</v>
      </c>
      <c r="BA121" s="37" t="n">
        <f aca="false">BA119-BA120-BA$22</f>
        <v>-35095.6438888404</v>
      </c>
      <c r="BB121" s="37" t="n">
        <f aca="false">BB119-BB120-BB$22</f>
        <v>-51333.8832394942</v>
      </c>
      <c r="BC121" s="37" t="n">
        <f aca="false">BC119-BC120-BC$22</f>
        <v>-31604.3730636912</v>
      </c>
      <c r="BD121" s="37" t="n">
        <f aca="false">BD119-BD120-BD$22</f>
        <v>-29906.4537083666</v>
      </c>
      <c r="BE121" s="37" t="n">
        <f aca="false">BE119-BE120-BE$22</f>
        <v>-28239.4804030539</v>
      </c>
      <c r="BF121" s="37" t="n">
        <f aca="false">BF119-BF120-BF$22</f>
        <v>-26602.8228965444</v>
      </c>
      <c r="BG121" s="37" t="n">
        <f aca="false">BG119-BG120-BG$22</f>
        <v>-24995.8651029637</v>
      </c>
      <c r="BH121" s="37" t="n">
        <f aca="false">BH119-BH120-BH$22</f>
        <v>-28418.0047570106</v>
      </c>
      <c r="BI121" s="37" t="n">
        <f aca="false">BI119-BI120-BI$22</f>
        <v>-21868.6530781113</v>
      </c>
      <c r="BJ121" s="37" t="n">
        <f aca="false">BJ119-BJ120-BJ$22</f>
        <v>-20347.2344432464</v>
      </c>
    </row>
    <row r="122" customFormat="false" ht="15" hidden="false" customHeight="false" outlineLevel="0" collapsed="false">
      <c r="B122" s="5" t="s">
        <v>401</v>
      </c>
      <c r="C122" s="37" t="n">
        <f aca="false">0+C121-C$23-C$24</f>
        <v>-16604.1380351307</v>
      </c>
      <c r="D122" s="37" t="n">
        <f aca="false">C122+D121-D$23-D$24</f>
        <v>-23256.2730185686</v>
      </c>
      <c r="E122" s="37" t="n">
        <f aca="false">D122+E121-E$23-E$24</f>
        <v>-30559.2981820508</v>
      </c>
      <c r="F122" s="37" t="n">
        <f aca="false">E122+F121-F$23-F$24</f>
        <v>-45684.8076903036</v>
      </c>
      <c r="G122" s="37" t="n">
        <f aca="false">F122+G121-G$23-G$24</f>
        <v>-51504.4237515887</v>
      </c>
      <c r="H122" s="37" t="n">
        <f aca="false">G122+H121-H$23-H$24</f>
        <v>-57023.9748955433</v>
      </c>
      <c r="I122" s="37" t="n">
        <f aca="false">H122+I121-I$23-I$24</f>
        <v>-68455.9281560121</v>
      </c>
      <c r="J122" s="37" t="n">
        <f aca="false">I122+J121-J$23-J$24</f>
        <v>-77636.7176378317</v>
      </c>
      <c r="K122" s="37" t="n">
        <f aca="false">J122+K121-K$23-K$24</f>
        <v>-86374.924214402</v>
      </c>
      <c r="L122" s="37" t="n">
        <f aca="false">K122+L121-L$23-L$24</f>
        <v>-105079.709094709</v>
      </c>
      <c r="M122" s="37" t="n">
        <f aca="false">L122+M121-M$23-M$24</f>
        <v>-118896.143739695</v>
      </c>
      <c r="N122" s="37" t="n">
        <f aca="false">M122+N121-N$23-N$24</f>
        <v>-132135.390875736</v>
      </c>
      <c r="O122" s="37" t="n">
        <f aca="false">N122+O121-O$23-O$24</f>
        <v>-159924.617649792</v>
      </c>
      <c r="P122" s="37" t="n">
        <f aca="false">O122+P121-P$23-P$24</f>
        <v>-183361.589786567</v>
      </c>
      <c r="Q122" s="37" t="n">
        <f aca="false">P122+Q121-Q$23-Q$24</f>
        <v>-213060.555425144</v>
      </c>
      <c r="R122" s="37" t="n">
        <f aca="false">Q122+R121-R$23-R$24</f>
        <v>-234735.202674291</v>
      </c>
      <c r="S122" s="37" t="n">
        <f aca="false">R122+S121-S$23-S$24</f>
        <v>-255488.487936221</v>
      </c>
      <c r="T122" s="37" t="n">
        <f aca="false">S122+T121-T$23-T$24</f>
        <v>-275337.823915892</v>
      </c>
      <c r="U122" s="37" t="n">
        <f aca="false">T122+U121-U$23-U$24</f>
        <v>-293999.997187967</v>
      </c>
      <c r="V122" s="37" t="n">
        <f aca="false">U122+V121-V$23-V$24</f>
        <v>-311580.998038868</v>
      </c>
      <c r="W122" s="37" t="n">
        <f aca="false">V122+W121-W$23-W$24</f>
        <v>-342101.209956768</v>
      </c>
      <c r="X122" s="37" t="n">
        <f aca="false">W122+X121-X$23-X$24</f>
        <v>-368601.088642631</v>
      </c>
      <c r="Y122" s="37" t="n">
        <f aca="false">X122+Y121-Y$23-Y$24</f>
        <v>-389068.713260689</v>
      </c>
      <c r="Z122" s="37" t="n">
        <f aca="false">Y122+Z121-Z$23-Z$24</f>
        <v>-408327.257302138</v>
      </c>
      <c r="AA122" s="37" t="n">
        <f aca="false">Z122+AA121-AA$23-AA$24</f>
        <v>-434365.99583038</v>
      </c>
      <c r="AB122" s="37" t="n">
        <f aca="false">AA122+AB121-AB$23-AB$24</f>
        <v>-459164.195574014</v>
      </c>
      <c r="AC122" s="37" t="n">
        <f aca="false">AB122+AC121-AC$23-AC$24</f>
        <v>-482745.000744847</v>
      </c>
      <c r="AD122" s="37" t="n">
        <f aca="false">AC122+AD121-AD$23-AD$24</f>
        <v>-526629.939269761</v>
      </c>
      <c r="AE122" s="37" t="n">
        <f aca="false">AD122+AE121-AE$23-AE$24</f>
        <v>-552388.285635617</v>
      </c>
      <c r="AF122" s="37" t="n">
        <f aca="false">AE122+AF121-AF$23-AF$24</f>
        <v>-576844.72124548</v>
      </c>
      <c r="AG122" s="37" t="n">
        <f aca="false">AF122+AG121-AG$23-AG$24</f>
        <v>-606779.018357897</v>
      </c>
      <c r="AH122" s="37" t="n">
        <f aca="false">AG122+AH121-AH$23-AH$24</f>
        <v>-633505.190207661</v>
      </c>
      <c r="AI122" s="37" t="n">
        <f aca="false">AH122+AI121-AI$23-AI$24</f>
        <v>-658849.365421696</v>
      </c>
      <c r="AJ122" s="37" t="n">
        <f aca="false">AI122+AJ121-AJ$23-AJ$24</f>
        <v>-686544.928525547</v>
      </c>
      <c r="AK122" s="37" t="n">
        <f aca="false">AJ122+AK121-AK$23-AK$24</f>
        <v>-708703.740802923</v>
      </c>
      <c r="AL122" s="37" t="n">
        <f aca="false">AK122+AL121-AL$23-AL$24</f>
        <v>-729354.278964284</v>
      </c>
      <c r="AM122" s="37" t="n">
        <f aca="false">AL122+AM121-AM$23-AM$24</f>
        <v>-770865.372547872</v>
      </c>
      <c r="AN122" s="37" t="n">
        <f aca="false">AM122+AN121-AN$23-AN$24</f>
        <v>-807089.722484219</v>
      </c>
      <c r="AO122" s="37" t="n">
        <f aca="false">AN122+AO121-AO$23-AO$24</f>
        <v>-851658.569086862</v>
      </c>
      <c r="AP122" s="37" t="n">
        <f aca="false">AO122+AP121-AP$23-AP$24</f>
        <v>-884602.504875905</v>
      </c>
      <c r="AQ122" s="37" t="n">
        <f aca="false">AP122+AQ121-AQ$23-AQ$24</f>
        <v>-915951.489366137</v>
      </c>
      <c r="AR122" s="37" t="n">
        <f aca="false">AQ122+AR121-AR$23-AR$24</f>
        <v>-945734.863490712</v>
      </c>
      <c r="AS122" s="37" t="n">
        <f aca="false">AR122+AS121-AS$23-AS$24</f>
        <v>-980845.7224159</v>
      </c>
      <c r="AT122" s="37" t="n">
        <f aca="false">AS122+AT121-AT$23-AT$24</f>
        <v>-1012647.85302617</v>
      </c>
      <c r="AU122" s="37" t="n">
        <f aca="false">AT122+AU121-AU$23-AU$24</f>
        <v>-1060968.82354859</v>
      </c>
      <c r="AV122" s="37" t="n">
        <f aca="false">AU122+AV121-AV$23-AV$24</f>
        <v>-1089835.63786532</v>
      </c>
      <c r="AW122" s="37" t="n">
        <f aca="false">AV122+AW121-AW$23-AW$24</f>
        <v>-1117274.74825275</v>
      </c>
      <c r="AX122" s="37" t="n">
        <f aca="false">AW122+AX121-AX$23-AX$24</f>
        <v>-1143312.06780944</v>
      </c>
      <c r="AY122" s="37" t="n">
        <f aca="false">AX122+AY121-AY$23-AY$24</f>
        <v>-1187245.28302427</v>
      </c>
      <c r="AZ122" s="37" t="n">
        <f aca="false">AY122+AZ121-AZ$23-AZ$24</f>
        <v>-1225745.85600023</v>
      </c>
      <c r="BA122" s="37" t="n">
        <f aca="false">AZ122+BA121-BA$23-BA$24</f>
        <v>-1262447.40266685</v>
      </c>
      <c r="BB122" s="37" t="n">
        <f aca="false">BA122+BB121-BB$23-BB$24</f>
        <v>-1315382.84840635</v>
      </c>
      <c r="BC122" s="37" t="n">
        <f aca="false">BB122+BC121-BC$23-BC$24</f>
        <v>-1348584.44369226</v>
      </c>
      <c r="BD122" s="37" t="n">
        <f aca="false">BC122+BD121-BD$23-BD$24</f>
        <v>-1380083.77934507</v>
      </c>
      <c r="BE122" s="37" t="n">
        <f aca="false">BD122+BE121-BE$23-BE$24</f>
        <v>-1409911.80141479</v>
      </c>
      <c r="BF122" s="37" t="n">
        <f aca="false">BE122+BF121-BF$23-BF$24</f>
        <v>-1438098.82570022</v>
      </c>
      <c r="BG122" s="37" t="n">
        <f aca="false">BF122+BG121-BG$23-BG$24</f>
        <v>-1464674.5519143</v>
      </c>
      <c r="BH122" s="37" t="n">
        <f aca="false">BG122+BH121-BH$23-BH$24</f>
        <v>-1494668.07750464</v>
      </c>
      <c r="BI122" s="37" t="n">
        <f aca="false">BH122+BI121-BI$23-BI$24</f>
        <v>-1518107.91113831</v>
      </c>
      <c r="BJ122" s="37" t="n">
        <f aca="false">BI122+BJ121-BJ$23-BJ$24</f>
        <v>-1540021.98585933</v>
      </c>
    </row>
    <row r="123" customFormat="false" ht="15" hidden="false" customHeight="false" outlineLevel="0" collapsed="false">
      <c r="B123" s="5" t="s">
        <v>402</v>
      </c>
      <c r="C123" s="38" t="n">
        <f aca="false">IF(C121&gt;=0,C$19,999)</f>
        <v>999</v>
      </c>
      <c r="D123" s="38" t="n">
        <f aca="false">IF(D121&gt;=0,D$19,999)</f>
        <v>999</v>
      </c>
      <c r="E123" s="38" t="n">
        <f aca="false">IF(E121&gt;=0,E$19,999)</f>
        <v>999</v>
      </c>
      <c r="F123" s="38" t="n">
        <f aca="false">IF(F121&gt;=0,F$19,999)</f>
        <v>999</v>
      </c>
      <c r="G123" s="38" t="n">
        <f aca="false">IF(G121&gt;=0,G$19,999)</f>
        <v>999</v>
      </c>
      <c r="H123" s="38" t="n">
        <f aca="false">IF(H121&gt;=0,H$19,999)</f>
        <v>999</v>
      </c>
      <c r="I123" s="38" t="n">
        <f aca="false">IF(I121&gt;=0,I$19,999)</f>
        <v>999</v>
      </c>
      <c r="J123" s="38" t="n">
        <f aca="false">IF(J121&gt;=0,J$19,999)</f>
        <v>999</v>
      </c>
      <c r="K123" s="38" t="n">
        <f aca="false">IF(K121&gt;=0,K$19,999)</f>
        <v>999</v>
      </c>
      <c r="L123" s="38" t="n">
        <f aca="false">IF(L121&gt;=0,L$19,999)</f>
        <v>999</v>
      </c>
      <c r="M123" s="38" t="n">
        <f aca="false">IF(M121&gt;=0,M$19,999)</f>
        <v>999</v>
      </c>
      <c r="N123" s="38" t="n">
        <f aca="false">IF(N121&gt;=0,N$19,999)</f>
        <v>999</v>
      </c>
      <c r="O123" s="38" t="n">
        <f aca="false">IF(O121&gt;=0,O$19,999)</f>
        <v>999</v>
      </c>
      <c r="P123" s="38" t="n">
        <f aca="false">IF(P121&gt;=0,P$19,999)</f>
        <v>999</v>
      </c>
      <c r="Q123" s="38" t="n">
        <f aca="false">IF(Q121&gt;=0,Q$19,999)</f>
        <v>999</v>
      </c>
      <c r="R123" s="38" t="n">
        <f aca="false">IF(R121&gt;=0,R$19,999)</f>
        <v>999</v>
      </c>
      <c r="S123" s="38" t="n">
        <f aca="false">IF(S121&gt;=0,S$19,999)</f>
        <v>999</v>
      </c>
      <c r="T123" s="38" t="n">
        <f aca="false">IF(T121&gt;=0,T$19,999)</f>
        <v>999</v>
      </c>
      <c r="U123" s="38" t="n">
        <f aca="false">IF(U121&gt;=0,U$19,999)</f>
        <v>999</v>
      </c>
      <c r="V123" s="38" t="n">
        <f aca="false">IF(V121&gt;=0,V$19,999)</f>
        <v>999</v>
      </c>
      <c r="W123" s="38" t="n">
        <f aca="false">IF(W121&gt;=0,W$19,999)</f>
        <v>999</v>
      </c>
      <c r="X123" s="38" t="n">
        <f aca="false">IF(X121&gt;=0,X$19,999)</f>
        <v>999</v>
      </c>
      <c r="Y123" s="38" t="n">
        <f aca="false">IF(Y121&gt;=0,Y$19,999)</f>
        <v>999</v>
      </c>
      <c r="Z123" s="38" t="n">
        <f aca="false">IF(Z121&gt;=0,Z$19,999)</f>
        <v>999</v>
      </c>
      <c r="AA123" s="38" t="n">
        <f aca="false">IF(AA121&gt;=0,AA$19,999)</f>
        <v>999</v>
      </c>
      <c r="AB123" s="38" t="n">
        <f aca="false">IF(AB121&gt;=0,AB$19,999)</f>
        <v>999</v>
      </c>
      <c r="AC123" s="38" t="n">
        <f aca="false">IF(AC121&gt;=0,AC$19,999)</f>
        <v>999</v>
      </c>
      <c r="AD123" s="38" t="n">
        <f aca="false">IF(AD121&gt;=0,AD$19,999)</f>
        <v>999</v>
      </c>
      <c r="AE123" s="38" t="n">
        <f aca="false">IF(AE121&gt;=0,AE$19,999)</f>
        <v>999</v>
      </c>
      <c r="AF123" s="38" t="n">
        <f aca="false">IF(AF121&gt;=0,AF$19,999)</f>
        <v>999</v>
      </c>
      <c r="AG123" s="38" t="n">
        <f aca="false">IF(AG121&gt;=0,AG$19,999)</f>
        <v>999</v>
      </c>
      <c r="AH123" s="38" t="n">
        <f aca="false">IF(AH121&gt;=0,AH$19,999)</f>
        <v>999</v>
      </c>
      <c r="AI123" s="38" t="n">
        <f aca="false">IF(AI121&gt;=0,AI$19,999)</f>
        <v>999</v>
      </c>
      <c r="AJ123" s="38" t="n">
        <f aca="false">IF(AJ121&gt;=0,AJ$19,999)</f>
        <v>999</v>
      </c>
      <c r="AK123" s="38" t="n">
        <f aca="false">IF(AK121&gt;=0,AK$19,999)</f>
        <v>999</v>
      </c>
      <c r="AL123" s="38" t="n">
        <f aca="false">IF(AL121&gt;=0,AL$19,999)</f>
        <v>999</v>
      </c>
      <c r="AM123" s="38" t="n">
        <f aca="false">IF(AM121&gt;=0,AM$19,999)</f>
        <v>999</v>
      </c>
      <c r="AN123" s="38" t="n">
        <f aca="false">IF(AN121&gt;=0,AN$19,999)</f>
        <v>999</v>
      </c>
      <c r="AO123" s="38" t="n">
        <f aca="false">IF(AO121&gt;=0,AO$19,999)</f>
        <v>999</v>
      </c>
      <c r="AP123" s="38" t="n">
        <f aca="false">IF(AP121&gt;=0,AP$19,999)</f>
        <v>999</v>
      </c>
      <c r="AQ123" s="38" t="n">
        <f aca="false">IF(AQ121&gt;=0,AQ$19,999)</f>
        <v>999</v>
      </c>
      <c r="AR123" s="38" t="n">
        <f aca="false">IF(AR121&gt;=0,AR$19,999)</f>
        <v>999</v>
      </c>
      <c r="AS123" s="38" t="n">
        <f aca="false">IF(AS121&gt;=0,AS$19,999)</f>
        <v>999</v>
      </c>
      <c r="AT123" s="38" t="n">
        <f aca="false">IF(AT121&gt;=0,AT$19,999)</f>
        <v>999</v>
      </c>
      <c r="AU123" s="38" t="n">
        <f aca="false">IF(AU121&gt;=0,AU$19,999)</f>
        <v>999</v>
      </c>
      <c r="AV123" s="38" t="n">
        <f aca="false">IF(AV121&gt;=0,AV$19,999)</f>
        <v>999</v>
      </c>
      <c r="AW123" s="38" t="n">
        <f aca="false">IF(AW121&gt;=0,AW$19,999)</f>
        <v>999</v>
      </c>
      <c r="AX123" s="38" t="n">
        <f aca="false">IF(AX121&gt;=0,AX$19,999)</f>
        <v>999</v>
      </c>
      <c r="AY123" s="38" t="n">
        <f aca="false">IF(AY121&gt;=0,AY$19,999)</f>
        <v>999</v>
      </c>
      <c r="AZ123" s="38" t="n">
        <f aca="false">IF(AZ121&gt;=0,AZ$19,999)</f>
        <v>999</v>
      </c>
      <c r="BA123" s="38" t="n">
        <f aca="false">IF(BA121&gt;=0,BA$19,999)</f>
        <v>999</v>
      </c>
      <c r="BB123" s="38" t="n">
        <f aca="false">IF(BB121&gt;=0,BB$19,999)</f>
        <v>999</v>
      </c>
      <c r="BC123" s="38" t="n">
        <f aca="false">IF(BC121&gt;=0,BC$19,999)</f>
        <v>999</v>
      </c>
      <c r="BD123" s="38" t="n">
        <f aca="false">IF(BD121&gt;=0,BD$19,999)</f>
        <v>999</v>
      </c>
      <c r="BE123" s="38" t="n">
        <f aca="false">IF(BE121&gt;=0,BE$19,999)</f>
        <v>999</v>
      </c>
      <c r="BF123" s="38" t="n">
        <f aca="false">IF(BF121&gt;=0,BF$19,999)</f>
        <v>999</v>
      </c>
      <c r="BG123" s="38" t="n">
        <f aca="false">IF(BG121&gt;=0,BG$19,999)</f>
        <v>999</v>
      </c>
      <c r="BH123" s="38" t="n">
        <f aca="false">IF(BH121&gt;=0,BH$19,999)</f>
        <v>999</v>
      </c>
      <c r="BI123" s="38" t="n">
        <f aca="false">IF(BI121&gt;=0,BI$19,999)</f>
        <v>999</v>
      </c>
      <c r="BJ123" s="38" t="n">
        <f aca="false">IF(BJ121&gt;=0,BJ$19,999)</f>
        <v>999</v>
      </c>
    </row>
    <row r="124" customFormat="false" ht="15" hidden="false" customHeight="false" outlineLevel="0" collapsed="false">
      <c r="B124" s="19" t="str">
        <f aca="false">"Szenario "&amp;A13&amp;": "&amp;B13</f>
        <v>Szenario 9: Wachstum +30 %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</row>
    <row r="125" customFormat="false" ht="15" hidden="false" customHeight="false" outlineLevel="0" collapsed="false">
      <c r="B125" s="5" t="s">
        <v>396</v>
      </c>
      <c r="C125" s="41" t="n">
        <f aca="false">Annahmen!$B$7*Annahmen!$B$19*(1-Annahmen!$B$31*$C$13)+C$21*$E$13*Annahmen!$B$19</f>
        <v>4.375</v>
      </c>
      <c r="D125" s="41" t="n">
        <f aca="false">C125*(1-Annahmen!$B$31*$C$13)+D$21*$E$13*Annahmen!$B$19</f>
        <v>6.19375</v>
      </c>
      <c r="E125" s="41" t="n">
        <f aca="false">D125*(1-Annahmen!$B$31*$C$13)+E$21*$E$13*Annahmen!$B$19</f>
        <v>7.9579375</v>
      </c>
      <c r="F125" s="41" t="n">
        <f aca="false">E125*(1-Annahmen!$B$31*$C$13)+F$21*$E$13*Annahmen!$B$19</f>
        <v>11.619199375</v>
      </c>
      <c r="G125" s="41" t="n">
        <f aca="false">F125*(1-Annahmen!$B$31*$C$13)+G$21*$E$13*Annahmen!$B$19</f>
        <v>15.17062339375</v>
      </c>
      <c r="H125" s="41" t="n">
        <f aca="false">G125*(1-Annahmen!$B$31*$C$13)+H$21*$E$13*Annahmen!$B$19</f>
        <v>18.6155046919375</v>
      </c>
      <c r="I125" s="41" t="n">
        <f aca="false">H125*(1-Annahmen!$B$31*$C$13)+I$21*$E$13*Annahmen!$B$19</f>
        <v>23.9070395511794</v>
      </c>
      <c r="J125" s="41" t="n">
        <f aca="false">I125*(1-Annahmen!$B$31*$C$13)+J$21*$E$13*Annahmen!$B$19</f>
        <v>29.039828364644</v>
      </c>
      <c r="K125" s="41" t="n">
        <f aca="false">J125*(1-Annahmen!$B$31*$C$13)+K$21*$E$13*Annahmen!$B$19</f>
        <v>34.0186335137047</v>
      </c>
      <c r="L125" s="41" t="n">
        <f aca="false">K125*(1-Annahmen!$B$31*$C$13)+L$21*$E$13*Annahmen!$B$19</f>
        <v>40.7980745082935</v>
      </c>
      <c r="M125" s="41" t="n">
        <f aca="false">L125*(1-Annahmen!$B$31*$C$13)+M$21*$E$13*Annahmen!$B$19</f>
        <v>47.3741322730447</v>
      </c>
      <c r="N125" s="41" t="n">
        <f aca="false">M125*(1-Annahmen!$B$31*$C$13)+N$21*$E$13*Annahmen!$B$19</f>
        <v>53.7529083048534</v>
      </c>
      <c r="O125" s="41" t="n">
        <f aca="false">N125*(1-Annahmen!$B$31*$C$13)+O$21*$E$13*Annahmen!$B$19</f>
        <v>62.5403210557078</v>
      </c>
      <c r="P125" s="41" t="n">
        <f aca="false">O125*(1-Annahmen!$B$31*$C$13)+P$21*$E$13*Annahmen!$B$19</f>
        <v>71.0641114240365</v>
      </c>
      <c r="Q125" s="41" t="n">
        <f aca="false">P125*(1-Annahmen!$B$31*$C$13)+Q$21*$E$13*Annahmen!$B$19</f>
        <v>79.3321880813155</v>
      </c>
      <c r="R125" s="41" t="n">
        <f aca="false">Q125*(1-Annahmen!$B$31*$C$13)+R$21*$E$13*Annahmen!$B$19</f>
        <v>89.952222438876</v>
      </c>
      <c r="S125" s="41" t="n">
        <f aca="false">R125*(1-Annahmen!$B$31*$C$13)+S$21*$E$13*Annahmen!$B$19</f>
        <v>100.25365576571</v>
      </c>
      <c r="T125" s="41" t="n">
        <f aca="false">S125*(1-Annahmen!$B$31*$C$13)+T$21*$E$13*Annahmen!$B$19</f>
        <v>110.246046092738</v>
      </c>
      <c r="U125" s="41" t="n">
        <f aca="false">T125*(1-Annahmen!$B$31*$C$13)+U$21*$E$13*Annahmen!$B$19</f>
        <v>122.538664709956</v>
      </c>
      <c r="V125" s="41" t="n">
        <f aca="false">U125*(1-Annahmen!$B$31*$C$13)+V$21*$E$13*Annahmen!$B$19</f>
        <v>134.462504768658</v>
      </c>
      <c r="W125" s="41" t="n">
        <f aca="false">V125*(1-Annahmen!$B$31*$C$13)+W$21*$E$13*Annahmen!$B$19</f>
        <v>146.028629625598</v>
      </c>
      <c r="X125" s="41" t="n">
        <f aca="false">W125*(1-Annahmen!$B$31*$C$13)+X$21*$E$13*Annahmen!$B$19</f>
        <v>159.84777073683</v>
      </c>
      <c r="Y125" s="41" t="n">
        <f aca="false">X125*(1-Annahmen!$B$31*$C$13)+Y$21*$E$13*Annahmen!$B$19</f>
        <v>173.252337614725</v>
      </c>
      <c r="Z125" s="41" t="n">
        <f aca="false">Y125*(1-Annahmen!$B$31*$C$13)+Z$21*$E$13*Annahmen!$B$19</f>
        <v>186.254767486283</v>
      </c>
      <c r="AA125" s="41" t="n">
        <f aca="false">Z125*(1-Annahmen!$B$31*$C$13)+AA$21*$E$13*Annahmen!$B$19</f>
        <v>200.167124461695</v>
      </c>
      <c r="AB125" s="41" t="n">
        <f aca="false">AA125*(1-Annahmen!$B$31*$C$13)+AB$21*$E$13*Annahmen!$B$19</f>
        <v>213.662110727844</v>
      </c>
      <c r="AC125" s="41" t="n">
        <f aca="false">AB125*(1-Annahmen!$B$31*$C$13)+AC$21*$E$13*Annahmen!$B$19</f>
        <v>226.752247406009</v>
      </c>
      <c r="AD125" s="41" t="n">
        <f aca="false">AC125*(1-Annahmen!$B$31*$C$13)+AD$21*$E$13*Annahmen!$B$19</f>
        <v>241.399679983828</v>
      </c>
      <c r="AE125" s="41" t="n">
        <f aca="false">AD125*(1-Annahmen!$B$31*$C$13)+AE$21*$E$13*Annahmen!$B$19</f>
        <v>255.607689584313</v>
      </c>
      <c r="AF125" s="41" t="n">
        <f aca="false">AE125*(1-Annahmen!$B$31*$C$13)+AF$21*$E$13*Annahmen!$B$19</f>
        <v>269.389458896784</v>
      </c>
      <c r="AG125" s="41" t="n">
        <f aca="false">AF125*(1-Annahmen!$B$31*$C$13)+AG$21*$E$13*Annahmen!$B$19</f>
        <v>284.70777512988</v>
      </c>
      <c r="AH125" s="41" t="n">
        <f aca="false">AG125*(1-Annahmen!$B$31*$C$13)+AH$21*$E$13*Annahmen!$B$19</f>
        <v>299.566541875984</v>
      </c>
      <c r="AI125" s="41" t="n">
        <f aca="false">AH125*(1-Annahmen!$B$31*$C$13)+AI$21*$E$13*Annahmen!$B$19</f>
        <v>313.979545619704</v>
      </c>
      <c r="AJ125" s="41" t="n">
        <f aca="false">AI125*(1-Annahmen!$B$31*$C$13)+AJ$21*$E$13*Annahmen!$B$19</f>
        <v>330.560159251113</v>
      </c>
      <c r="AK125" s="41" t="n">
        <f aca="false">AJ125*(1-Annahmen!$B$31*$C$13)+AK$21*$E$13*Annahmen!$B$19</f>
        <v>346.64335447358</v>
      </c>
      <c r="AL125" s="41" t="n">
        <f aca="false">AK125*(1-Annahmen!$B$31*$C$13)+AL$21*$E$13*Annahmen!$B$19</f>
        <v>362.244053839372</v>
      </c>
      <c r="AM125" s="41" t="n">
        <f aca="false">AL125*(1-Annahmen!$B$31*$C$13)+AM$21*$E$13*Annahmen!$B$19</f>
        <v>380.626732224191</v>
      </c>
      <c r="AN125" s="41" t="n">
        <f aca="false">AM125*(1-Annahmen!$B$31*$C$13)+AN$21*$E$13*Annahmen!$B$19</f>
        <v>398.457930257466</v>
      </c>
      <c r="AO125" s="41" t="n">
        <f aca="false">AN125*(1-Annahmen!$B$31*$C$13)+AO$21*$E$13*Annahmen!$B$19</f>
        <v>415.754192349742</v>
      </c>
      <c r="AP125" s="41" t="n">
        <f aca="false">AO125*(1-Annahmen!$B$31*$C$13)+AP$21*$E$13*Annahmen!$B$19</f>
        <v>432.531566579249</v>
      </c>
      <c r="AQ125" s="41" t="n">
        <f aca="false">AP125*(1-Annahmen!$B$31*$C$13)+AQ$21*$E$13*Annahmen!$B$19</f>
        <v>448.805619581872</v>
      </c>
      <c r="AR125" s="41" t="n">
        <f aca="false">AQ125*(1-Annahmen!$B$31*$C$13)+AR$21*$E$13*Annahmen!$B$19</f>
        <v>464.591450994416</v>
      </c>
      <c r="AS125" s="41" t="n">
        <f aca="false">AR125*(1-Annahmen!$B$31*$C$13)+AS$21*$E$13*Annahmen!$B$19</f>
        <v>479.903707464583</v>
      </c>
      <c r="AT125" s="41" t="n">
        <f aca="false">AS125*(1-Annahmen!$B$31*$C$13)+AT$21*$E$13*Annahmen!$B$19</f>
        <v>494.756596240646</v>
      </c>
      <c r="AU125" s="41" t="n">
        <f aca="false">AT125*(1-Annahmen!$B$31*$C$13)+AU$21*$E$13*Annahmen!$B$19</f>
        <v>509.163898353426</v>
      </c>
      <c r="AV125" s="41" t="n">
        <f aca="false">AU125*(1-Annahmen!$B$31*$C$13)+AV$21*$E$13*Annahmen!$B$19</f>
        <v>523.138981402823</v>
      </c>
      <c r="AW125" s="41" t="n">
        <f aca="false">AV125*(1-Annahmen!$B$31*$C$13)+AW$21*$E$13*Annahmen!$B$19</f>
        <v>536.694811960739</v>
      </c>
      <c r="AX125" s="41" t="n">
        <f aca="false">AW125*(1-Annahmen!$B$31*$C$13)+AX$21*$E$13*Annahmen!$B$19</f>
        <v>549.843967601917</v>
      </c>
      <c r="AY125" s="41" t="n">
        <f aca="false">AX125*(1-Annahmen!$B$31*$C$13)+AY$21*$E$13*Annahmen!$B$19</f>
        <v>569.098648573859</v>
      </c>
      <c r="AZ125" s="41" t="n">
        <f aca="false">AY125*(1-Annahmen!$B$31*$C$13)+AZ$21*$E$13*Annahmen!$B$19</f>
        <v>587.775689116643</v>
      </c>
      <c r="BA125" s="41" t="n">
        <f aca="false">AZ125*(1-Annahmen!$B$31*$C$13)+BA$21*$E$13*Annahmen!$B$19</f>
        <v>605.892418443144</v>
      </c>
      <c r="BB125" s="41" t="n">
        <f aca="false">BA125*(1-Annahmen!$B$31*$C$13)+BB$21*$E$13*Annahmen!$B$19</f>
        <v>623.46564588985</v>
      </c>
      <c r="BC125" s="41" t="n">
        <f aca="false">BB125*(1-Annahmen!$B$31*$C$13)+BC$21*$E$13*Annahmen!$B$19</f>
        <v>640.511676513154</v>
      </c>
      <c r="BD125" s="41" t="n">
        <f aca="false">BC125*(1-Annahmen!$B$31*$C$13)+BD$21*$E$13*Annahmen!$B$19</f>
        <v>657.04632621776</v>
      </c>
      <c r="BE125" s="41" t="n">
        <f aca="false">BD125*(1-Annahmen!$B$31*$C$13)+BE$21*$E$13*Annahmen!$B$19</f>
        <v>673.084936431227</v>
      </c>
      <c r="BF125" s="41" t="n">
        <f aca="false">BE125*(1-Annahmen!$B$31*$C$13)+BF$21*$E$13*Annahmen!$B$19</f>
        <v>688.64238833829</v>
      </c>
      <c r="BG125" s="41" t="n">
        <f aca="false">BF125*(1-Annahmen!$B$31*$C$13)+BG$21*$E$13*Annahmen!$B$19</f>
        <v>703.733116688141</v>
      </c>
      <c r="BH125" s="41" t="n">
        <f aca="false">BG125*(1-Annahmen!$B$31*$C$13)+BH$21*$E$13*Annahmen!$B$19</f>
        <v>718.371123187497</v>
      </c>
      <c r="BI125" s="41" t="n">
        <f aca="false">BH125*(1-Annahmen!$B$31*$C$13)+BI$21*$E$13*Annahmen!$B$19</f>
        <v>732.569989491872</v>
      </c>
      <c r="BJ125" s="41" t="n">
        <f aca="false">BI125*(1-Annahmen!$B$31*$C$13)+BJ$21*$E$13*Annahmen!$B$19</f>
        <v>746.342889807116</v>
      </c>
    </row>
    <row r="126" customFormat="false" ht="15" hidden="false" customHeight="false" outlineLevel="0" collapsed="false">
      <c r="B126" s="5" t="s">
        <v>397</v>
      </c>
      <c r="C126" s="41" t="n">
        <f aca="false">Annahmen!$B$7*Annahmen!$B$20*(1-Annahmen!$B$32*$C$13)+C$21*$E$13*Annahmen!$B$20</f>
        <v>3.344</v>
      </c>
      <c r="D126" s="41" t="n">
        <f aca="false">C126*(1-Annahmen!$B$32*$C$13)+D$21*$E$13*Annahmen!$B$20</f>
        <v>4.75912</v>
      </c>
      <c r="E126" s="41" t="n">
        <f aca="false">D126*(1-Annahmen!$B$32*$C$13)+E$21*$E$13*Annahmen!$B$20</f>
        <v>6.1459376</v>
      </c>
      <c r="F126" s="41" t="n">
        <f aca="false">E126*(1-Annahmen!$B$32*$C$13)+F$21*$E$13*Annahmen!$B$20</f>
        <v>8.987018848</v>
      </c>
      <c r="G126" s="41" t="n">
        <f aca="false">F126*(1-Annahmen!$B$32*$C$13)+G$21*$E$13*Annahmen!$B$20</f>
        <v>11.77127847104</v>
      </c>
      <c r="H126" s="41" t="n">
        <f aca="false">G126*(1-Annahmen!$B$32*$C$13)+H$21*$E$13*Annahmen!$B$20</f>
        <v>14.4998529016192</v>
      </c>
      <c r="I126" s="41" t="n">
        <f aca="false">H126*(1-Annahmen!$B$32*$C$13)+I$21*$E$13*Annahmen!$B$20</f>
        <v>18.6558558435868</v>
      </c>
      <c r="J126" s="41" t="n">
        <f aca="false">I126*(1-Annahmen!$B$32*$C$13)+J$21*$E$13*Annahmen!$B$20</f>
        <v>22.7287387267151</v>
      </c>
      <c r="K126" s="41" t="n">
        <f aca="false">J126*(1-Annahmen!$B$32*$C$13)+K$21*$E$13*Annahmen!$B$20</f>
        <v>26.7201639521808</v>
      </c>
      <c r="L126" s="41" t="n">
        <f aca="false">K126*(1-Annahmen!$B$32*$C$13)+L$21*$E$13*Annahmen!$B$20</f>
        <v>32.1137606731372</v>
      </c>
      <c r="M126" s="41" t="n">
        <f aca="false">L126*(1-Annahmen!$B$32*$C$13)+M$21*$E$13*Annahmen!$B$20</f>
        <v>37.3994854596744</v>
      </c>
      <c r="N126" s="41" t="n">
        <f aca="false">M126*(1-Annahmen!$B$32*$C$13)+N$21*$E$13*Annahmen!$B$20</f>
        <v>42.5794957504809</v>
      </c>
      <c r="O126" s="41" t="n">
        <f aca="false">N126*(1-Annahmen!$B$32*$C$13)+O$21*$E$13*Annahmen!$B$20</f>
        <v>49.6319058354713</v>
      </c>
      <c r="P126" s="41" t="n">
        <f aca="false">O126*(1-Annahmen!$B$32*$C$13)+P$21*$E$13*Annahmen!$B$20</f>
        <v>56.5432677187619</v>
      </c>
      <c r="Q126" s="41" t="n">
        <f aca="false">P126*(1-Annahmen!$B$32*$C$13)+Q$21*$E$13*Annahmen!$B$20</f>
        <v>63.3164023643867</v>
      </c>
      <c r="R126" s="41" t="n">
        <f aca="false">Q126*(1-Annahmen!$B$32*$C$13)+R$21*$E$13*Annahmen!$B$20</f>
        <v>71.9300743170989</v>
      </c>
      <c r="S126" s="41" t="n">
        <f aca="false">R126*(1-Annahmen!$B$32*$C$13)+S$21*$E$13*Annahmen!$B$20</f>
        <v>80.3714728307569</v>
      </c>
      <c r="T126" s="41" t="n">
        <f aca="false">S126*(1-Annahmen!$B$32*$C$13)+T$21*$E$13*Annahmen!$B$20</f>
        <v>88.6440433741418</v>
      </c>
      <c r="U126" s="41" t="n">
        <f aca="false">T126*(1-Annahmen!$B$32*$C$13)+U$21*$E$13*Annahmen!$B$20</f>
        <v>98.727162506659</v>
      </c>
      <c r="V126" s="41" t="n">
        <f aca="false">U126*(1-Annahmen!$B$32*$C$13)+V$21*$E$13*Annahmen!$B$20</f>
        <v>108.608619256526</v>
      </c>
      <c r="W126" s="41" t="n">
        <f aca="false">V126*(1-Annahmen!$B$32*$C$13)+W$21*$E$13*Annahmen!$B$20</f>
        <v>118.292446871395</v>
      </c>
      <c r="X126" s="41" t="n">
        <f aca="false">W126*(1-Annahmen!$B$32*$C$13)+X$21*$E$13*Annahmen!$B$20</f>
        <v>129.758597933967</v>
      </c>
      <c r="Y126" s="41" t="n">
        <f aca="false">X126*(1-Annahmen!$B$32*$C$13)+Y$21*$E$13*Annahmen!$B$20</f>
        <v>140.995425975288</v>
      </c>
      <c r="Z126" s="41" t="n">
        <f aca="false">Y126*(1-Annahmen!$B$32*$C$13)+Z$21*$E$13*Annahmen!$B$20</f>
        <v>152.007517455782</v>
      </c>
      <c r="AA126" s="41" t="n">
        <f aca="false">Z126*(1-Annahmen!$B$32*$C$13)+AA$21*$E$13*Annahmen!$B$20</f>
        <v>163.787367106667</v>
      </c>
      <c r="AB126" s="41" t="n">
        <f aca="false">AA126*(1-Annahmen!$B$32*$C$13)+AB$21*$E$13*Annahmen!$B$20</f>
        <v>175.331619764533</v>
      </c>
      <c r="AC126" s="41" t="n">
        <f aca="false">AB126*(1-Annahmen!$B$32*$C$13)+AC$21*$E$13*Annahmen!$B$20</f>
        <v>186.644987369243</v>
      </c>
      <c r="AD126" s="41" t="n">
        <f aca="false">AC126*(1-Annahmen!$B$32*$C$13)+AD$21*$E$13*Annahmen!$B$20</f>
        <v>199.214087621858</v>
      </c>
      <c r="AE126" s="41" t="n">
        <f aca="false">AD126*(1-Annahmen!$B$32*$C$13)+AE$21*$E$13*Annahmen!$B$20</f>
        <v>211.531805869421</v>
      </c>
      <c r="AF126" s="41" t="n">
        <f aca="false">AE126*(1-Annahmen!$B$32*$C$13)+AF$21*$E$13*Annahmen!$B$20</f>
        <v>223.603169752032</v>
      </c>
      <c r="AG126" s="41" t="n">
        <f aca="false">AF126*(1-Annahmen!$B$32*$C$13)+AG$21*$E$13*Annahmen!$B$20</f>
        <v>236.915106356991</v>
      </c>
      <c r="AH126" s="41" t="n">
        <f aca="false">AG126*(1-Annahmen!$B$32*$C$13)+AH$21*$E$13*Annahmen!$B$20</f>
        <v>249.960804229852</v>
      </c>
      <c r="AI126" s="41" t="n">
        <f aca="false">AH126*(1-Annahmen!$B$32*$C$13)+AI$21*$E$13*Annahmen!$B$20</f>
        <v>262.745588145255</v>
      </c>
      <c r="AJ126" s="41" t="n">
        <f aca="false">AI126*(1-Annahmen!$B$32*$C$13)+AJ$21*$E$13*Annahmen!$B$20</f>
        <v>277.250676382349</v>
      </c>
      <c r="AK126" s="41" t="n">
        <f aca="false">AJ126*(1-Annahmen!$B$32*$C$13)+AK$21*$E$13*Annahmen!$B$20</f>
        <v>291.465662854703</v>
      </c>
      <c r="AL126" s="41" t="n">
        <f aca="false">AK126*(1-Annahmen!$B$32*$C$13)+AL$21*$E$13*Annahmen!$B$20</f>
        <v>305.396349597608</v>
      </c>
      <c r="AM126" s="41" t="n">
        <f aca="false">AL126*(1-Annahmen!$B$32*$C$13)+AM$21*$E$13*Annahmen!$B$20</f>
        <v>321.518422605656</v>
      </c>
      <c r="AN126" s="41" t="n">
        <f aca="false">AM126*(1-Annahmen!$B$32*$C$13)+AN$21*$E$13*Annahmen!$B$20</f>
        <v>337.318054153543</v>
      </c>
      <c r="AO126" s="41" t="n">
        <f aca="false">AN126*(1-Annahmen!$B$32*$C$13)+AO$21*$E$13*Annahmen!$B$20</f>
        <v>352.801693070472</v>
      </c>
      <c r="AP126" s="41" t="n">
        <f aca="false">AO126*(1-Annahmen!$B$32*$C$13)+AP$21*$E$13*Annahmen!$B$20</f>
        <v>367.975659209063</v>
      </c>
      <c r="AQ126" s="41" t="n">
        <f aca="false">AP126*(1-Annahmen!$B$32*$C$13)+AQ$21*$E$13*Annahmen!$B$20</f>
        <v>382.846146024882</v>
      </c>
      <c r="AR126" s="41" t="n">
        <f aca="false">AQ126*(1-Annahmen!$B$32*$C$13)+AR$21*$E$13*Annahmen!$B$20</f>
        <v>397.419223104384</v>
      </c>
      <c r="AS126" s="41" t="n">
        <f aca="false">AR126*(1-Annahmen!$B$32*$C$13)+AS$21*$E$13*Annahmen!$B$20</f>
        <v>411.700838642296</v>
      </c>
      <c r="AT126" s="41" t="n">
        <f aca="false">AS126*(1-Annahmen!$B$32*$C$13)+AT$21*$E$13*Annahmen!$B$20</f>
        <v>425.69682186945</v>
      </c>
      <c r="AU126" s="41" t="n">
        <f aca="false">AT126*(1-Annahmen!$B$32*$C$13)+AU$21*$E$13*Annahmen!$B$20</f>
        <v>439.412885432061</v>
      </c>
      <c r="AV126" s="41" t="n">
        <f aca="false">AU126*(1-Annahmen!$B$32*$C$13)+AV$21*$E$13*Annahmen!$B$20</f>
        <v>452.85462772342</v>
      </c>
      <c r="AW126" s="41" t="n">
        <f aca="false">AV126*(1-Annahmen!$B$32*$C$13)+AW$21*$E$13*Annahmen!$B$20</f>
        <v>466.027535168952</v>
      </c>
      <c r="AX126" s="41" t="n">
        <f aca="false">AW126*(1-Annahmen!$B$32*$C$13)+AX$21*$E$13*Annahmen!$B$20</f>
        <v>478.936984465573</v>
      </c>
      <c r="AY126" s="41" t="n">
        <f aca="false">AX126*(1-Annahmen!$B$32*$C$13)+AY$21*$E$13*Annahmen!$B$20</f>
        <v>496.528244776261</v>
      </c>
      <c r="AZ126" s="41" t="n">
        <f aca="false">AY126*(1-Annahmen!$B$32*$C$13)+AZ$21*$E$13*Annahmen!$B$20</f>
        <v>513.767679880736</v>
      </c>
      <c r="BA126" s="41" t="n">
        <f aca="false">AZ126*(1-Annahmen!$B$32*$C$13)+BA$21*$E$13*Annahmen!$B$20</f>
        <v>530.662326283121</v>
      </c>
      <c r="BB126" s="41" t="n">
        <f aca="false">BA126*(1-Annahmen!$B$32*$C$13)+BB$21*$E$13*Annahmen!$B$20</f>
        <v>547.219079757459</v>
      </c>
      <c r="BC126" s="41" t="n">
        <f aca="false">BB126*(1-Annahmen!$B$32*$C$13)+BC$21*$E$13*Annahmen!$B$20</f>
        <v>563.44469816231</v>
      </c>
      <c r="BD126" s="41" t="n">
        <f aca="false">BC126*(1-Annahmen!$B$32*$C$13)+BD$21*$E$13*Annahmen!$B$20</f>
        <v>579.345804199063</v>
      </c>
      <c r="BE126" s="41" t="n">
        <f aca="false">BD126*(1-Annahmen!$B$32*$C$13)+BE$21*$E$13*Annahmen!$B$20</f>
        <v>594.928888115082</v>
      </c>
      <c r="BF126" s="41" t="n">
        <f aca="false">BE126*(1-Annahmen!$B$32*$C$13)+BF$21*$E$13*Annahmen!$B$20</f>
        <v>610.20031035278</v>
      </c>
      <c r="BG126" s="41" t="n">
        <f aca="false">BF126*(1-Annahmen!$B$32*$C$13)+BG$21*$E$13*Annahmen!$B$20</f>
        <v>625.166304145725</v>
      </c>
      <c r="BH126" s="41" t="n">
        <f aca="false">BG126*(1-Annahmen!$B$32*$C$13)+BH$21*$E$13*Annahmen!$B$20</f>
        <v>639.83297806281</v>
      </c>
      <c r="BI126" s="41" t="n">
        <f aca="false">BH126*(1-Annahmen!$B$32*$C$13)+BI$21*$E$13*Annahmen!$B$20</f>
        <v>654.206318501554</v>
      </c>
      <c r="BJ126" s="41" t="n">
        <f aca="false">BI126*(1-Annahmen!$B$32*$C$13)+BJ$21*$E$13*Annahmen!$B$20</f>
        <v>668.292192131523</v>
      </c>
    </row>
    <row r="127" customFormat="false" ht="15" hidden="false" customHeight="false" outlineLevel="0" collapsed="false">
      <c r="B127" s="5" t="s">
        <v>398</v>
      </c>
      <c r="C127" s="41" t="n">
        <f aca="false">Annahmen!$B$7*Annahmen!$B$21*(1-Annahmen!$B$33*$C$13)+C$21*$E$13*Annahmen!$B$21</f>
        <v>1.0608</v>
      </c>
      <c r="D127" s="41" t="n">
        <f aca="false">C127*(1-Annahmen!$B$33*$C$13)+D$21*$E$13*Annahmen!$B$21</f>
        <v>1.5160704</v>
      </c>
      <c r="E127" s="41" t="n">
        <f aca="false">D127*(1-Annahmen!$B$33*$C$13)+E$21*$E$13*Annahmen!$B$21</f>
        <v>1.9658775552</v>
      </c>
      <c r="F127" s="41" t="n">
        <f aca="false">E127*(1-Annahmen!$B$33*$C$13)+F$21*$E$13*Annahmen!$B$21</f>
        <v>2.8782870245376</v>
      </c>
      <c r="G127" s="41" t="n">
        <f aca="false">F127*(1-Annahmen!$B$33*$C$13)+G$21*$E$13*Annahmen!$B$21</f>
        <v>3.77974758024315</v>
      </c>
      <c r="H127" s="41" t="n">
        <f aca="false">G127*(1-Annahmen!$B$33*$C$13)+H$21*$E$13*Annahmen!$B$21</f>
        <v>4.67039060928023</v>
      </c>
      <c r="I127" s="41" t="n">
        <f aca="false">H127*(1-Annahmen!$B$33*$C$13)+I$21*$E$13*Annahmen!$B$21</f>
        <v>6.01834592196887</v>
      </c>
      <c r="J127" s="41" t="n">
        <f aca="false">I127*(1-Annahmen!$B$33*$C$13)+J$21*$E$13*Annahmen!$B$21</f>
        <v>7.35012577090524</v>
      </c>
      <c r="K127" s="41" t="n">
        <f aca="false">J127*(1-Annahmen!$B$33*$C$13)+K$21*$E$13*Annahmen!$B$21</f>
        <v>8.66592426165438</v>
      </c>
      <c r="L127" s="41" t="n">
        <f aca="false">K127*(1-Annahmen!$B$33*$C$13)+L$21*$E$13*Annahmen!$B$21</f>
        <v>10.4339331705145</v>
      </c>
      <c r="M127" s="41" t="n">
        <f aca="false">L127*(1-Annahmen!$B$33*$C$13)+M$21*$E$13*Annahmen!$B$21</f>
        <v>12.1807259724684</v>
      </c>
      <c r="N127" s="41" t="n">
        <f aca="false">M127*(1-Annahmen!$B$33*$C$13)+N$21*$E$13*Annahmen!$B$21</f>
        <v>13.9065572607987</v>
      </c>
      <c r="O127" s="41" t="n">
        <f aca="false">N127*(1-Annahmen!$B$33*$C$13)+O$21*$E$13*Annahmen!$B$21</f>
        <v>16.2356785736691</v>
      </c>
      <c r="P127" s="41" t="n">
        <f aca="false">O127*(1-Annahmen!$B$33*$C$13)+P$21*$E$13*Annahmen!$B$21</f>
        <v>18.5368504307851</v>
      </c>
      <c r="Q127" s="41" t="n">
        <f aca="false">P127*(1-Annahmen!$B$33*$C$13)+Q$21*$E$13*Annahmen!$B$21</f>
        <v>20.8104082256157</v>
      </c>
      <c r="R127" s="41" t="n">
        <f aca="false">Q127*(1-Annahmen!$B$33*$C$13)+R$21*$E$13*Annahmen!$B$21</f>
        <v>23.6806833269083</v>
      </c>
      <c r="S127" s="41" t="n">
        <f aca="false">R127*(1-Annahmen!$B$33*$C$13)+S$21*$E$13*Annahmen!$B$21</f>
        <v>26.5165151269854</v>
      </c>
      <c r="T127" s="41" t="n">
        <f aca="false">S127*(1-Annahmen!$B$33*$C$13)+T$21*$E$13*Annahmen!$B$21</f>
        <v>29.3183169454616</v>
      </c>
      <c r="U127" s="41" t="n">
        <f aca="false">T127*(1-Annahmen!$B$33*$C$13)+U$21*$E$13*Annahmen!$B$21</f>
        <v>32.7104971421161</v>
      </c>
      <c r="V127" s="41" t="n">
        <f aca="false">U127*(1-Annahmen!$B$33*$C$13)+V$21*$E$13*Annahmen!$B$21</f>
        <v>36.0619711764107</v>
      </c>
      <c r="W127" s="41" t="n">
        <f aca="false">V127*(1-Annahmen!$B$33*$C$13)+W$21*$E$13*Annahmen!$B$21</f>
        <v>39.3732275222937</v>
      </c>
      <c r="X127" s="41" t="n">
        <f aca="false">W127*(1-Annahmen!$B$33*$C$13)+X$21*$E$13*Annahmen!$B$21</f>
        <v>43.2687487920262</v>
      </c>
      <c r="Y127" s="41" t="n">
        <f aca="false">X127*(1-Annahmen!$B$33*$C$13)+Y$21*$E$13*Annahmen!$B$21</f>
        <v>47.1175238065219</v>
      </c>
      <c r="Z127" s="41" t="n">
        <f aca="false">Y127*(1-Annahmen!$B$33*$C$13)+Z$21*$E$13*Annahmen!$B$21</f>
        <v>50.9201135208436</v>
      </c>
      <c r="AA127" s="41" t="n">
        <f aca="false">Z127*(1-Annahmen!$B$33*$C$13)+AA$21*$E$13*Annahmen!$B$21</f>
        <v>54.9890721585935</v>
      </c>
      <c r="AB127" s="41" t="n">
        <f aca="false">AA127*(1-Annahmen!$B$33*$C$13)+AB$21*$E$13*Annahmen!$B$21</f>
        <v>59.0092032926904</v>
      </c>
      <c r="AC127" s="41" t="n">
        <f aca="false">AB127*(1-Annahmen!$B$33*$C$13)+AC$21*$E$13*Annahmen!$B$21</f>
        <v>62.9810928531781</v>
      </c>
      <c r="AD127" s="41" t="n">
        <f aca="false">AC127*(1-Annahmen!$B$33*$C$13)+AD$21*$E$13*Annahmen!$B$21</f>
        <v>67.37331973894</v>
      </c>
      <c r="AE127" s="41" t="n">
        <f aca="false">AD127*(1-Annahmen!$B$33*$C$13)+AE$21*$E$13*Annahmen!$B$21</f>
        <v>71.7128399020727</v>
      </c>
      <c r="AF127" s="41" t="n">
        <f aca="false">AE127*(1-Annahmen!$B$33*$C$13)+AF$21*$E$13*Annahmen!$B$21</f>
        <v>76.0002858232478</v>
      </c>
      <c r="AG127" s="41" t="n">
        <f aca="false">AF127*(1-Annahmen!$B$33*$C$13)+AG$21*$E$13*Annahmen!$B$21</f>
        <v>80.7042823933688</v>
      </c>
      <c r="AH127" s="41" t="n">
        <f aca="false">AG127*(1-Annahmen!$B$33*$C$13)+AH$21*$E$13*Annahmen!$B$21</f>
        <v>85.3518310046484</v>
      </c>
      <c r="AI127" s="41" t="n">
        <f aca="false">AH127*(1-Annahmen!$B$33*$C$13)+AI$21*$E$13*Annahmen!$B$21</f>
        <v>89.9436090325926</v>
      </c>
      <c r="AJ127" s="41" t="n">
        <f aca="false">AI127*(1-Annahmen!$B$33*$C$13)+AJ$21*$E$13*Annahmen!$B$21</f>
        <v>95.1042857242015</v>
      </c>
      <c r="AK127" s="41" t="n">
        <f aca="false">AJ127*(1-Annahmen!$B$33*$C$13)+AK$21*$E$13*Annahmen!$B$21</f>
        <v>100.203034295511</v>
      </c>
      <c r="AL127" s="41" t="n">
        <f aca="false">AK127*(1-Annahmen!$B$33*$C$13)+AL$21*$E$13*Annahmen!$B$21</f>
        <v>105.240597883965</v>
      </c>
      <c r="AM127" s="41" t="n">
        <f aca="false">AL127*(1-Annahmen!$B$33*$C$13)+AM$21*$E$13*Annahmen!$B$21</f>
        <v>110.997710709357</v>
      </c>
      <c r="AN127" s="41" t="n">
        <f aca="false">AM127*(1-Annahmen!$B$33*$C$13)+AN$21*$E$13*Annahmen!$B$21</f>
        <v>116.685738180845</v>
      </c>
      <c r="AO127" s="41" t="n">
        <f aca="false">AN127*(1-Annahmen!$B$33*$C$13)+AO$21*$E$13*Annahmen!$B$21</f>
        <v>122.305509322675</v>
      </c>
      <c r="AP127" s="41" t="n">
        <f aca="false">AO127*(1-Annahmen!$B$33*$C$13)+AP$21*$E$13*Annahmen!$B$21</f>
        <v>127.857843210803</v>
      </c>
      <c r="AQ127" s="41" t="n">
        <f aca="false">AP127*(1-Annahmen!$B$33*$C$13)+AQ$21*$E$13*Annahmen!$B$21</f>
        <v>133.343549092273</v>
      </c>
      <c r="AR127" s="41" t="n">
        <f aca="false">AQ127*(1-Annahmen!$B$33*$C$13)+AR$21*$E$13*Annahmen!$B$21</f>
        <v>138.763426503166</v>
      </c>
      <c r="AS127" s="41" t="n">
        <f aca="false">AR127*(1-Annahmen!$B$33*$C$13)+AS$21*$E$13*Annahmen!$B$21</f>
        <v>144.118265385128</v>
      </c>
      <c r="AT127" s="41" t="n">
        <f aca="false">AS127*(1-Annahmen!$B$33*$C$13)+AT$21*$E$13*Annahmen!$B$21</f>
        <v>149.408846200506</v>
      </c>
      <c r="AU127" s="41" t="n">
        <f aca="false">AT127*(1-Annahmen!$B$33*$C$13)+AU$21*$E$13*Annahmen!$B$21</f>
        <v>154.6359400461</v>
      </c>
      <c r="AV127" s="41" t="n">
        <f aca="false">AU127*(1-Annahmen!$B$33*$C$13)+AV$21*$E$13*Annahmen!$B$21</f>
        <v>159.800308765547</v>
      </c>
      <c r="AW127" s="41" t="n">
        <f aca="false">AV127*(1-Annahmen!$B$33*$C$13)+AW$21*$E$13*Annahmen!$B$21</f>
        <v>164.902705060361</v>
      </c>
      <c r="AX127" s="41" t="n">
        <f aca="false">AW127*(1-Annahmen!$B$33*$C$13)+AX$21*$E$13*Annahmen!$B$21</f>
        <v>169.943872599636</v>
      </c>
      <c r="AY127" s="41" t="n">
        <f aca="false">AX127*(1-Annahmen!$B$33*$C$13)+AY$21*$E$13*Annahmen!$B$21</f>
        <v>176.484546128441</v>
      </c>
      <c r="AZ127" s="41" t="n">
        <f aca="false">AY127*(1-Annahmen!$B$33*$C$13)+AZ$21*$E$13*Annahmen!$B$21</f>
        <v>182.946731574899</v>
      </c>
      <c r="BA127" s="41" t="n">
        <f aca="false">AZ127*(1-Annahmen!$B$33*$C$13)+BA$21*$E$13*Annahmen!$B$21</f>
        <v>189.331370796001</v>
      </c>
      <c r="BB127" s="41" t="n">
        <f aca="false">BA127*(1-Annahmen!$B$33*$C$13)+BB$21*$E$13*Annahmen!$B$21</f>
        <v>195.639394346449</v>
      </c>
      <c r="BC127" s="41" t="n">
        <f aca="false">BB127*(1-Annahmen!$B$33*$C$13)+BC$21*$E$13*Annahmen!$B$21</f>
        <v>201.871721614291</v>
      </c>
      <c r="BD127" s="41" t="n">
        <f aca="false">BC127*(1-Annahmen!$B$33*$C$13)+BD$21*$E$13*Annahmen!$B$21</f>
        <v>208.02926095492</v>
      </c>
      <c r="BE127" s="41" t="n">
        <f aca="false">BD127*(1-Annahmen!$B$33*$C$13)+BE$21*$E$13*Annahmen!$B$21</f>
        <v>214.112909823461</v>
      </c>
      <c r="BF127" s="41" t="n">
        <f aca="false">BE127*(1-Annahmen!$B$33*$C$13)+BF$21*$E$13*Annahmen!$B$21</f>
        <v>220.123554905579</v>
      </c>
      <c r="BG127" s="41" t="n">
        <f aca="false">BF127*(1-Annahmen!$B$33*$C$13)+BG$21*$E$13*Annahmen!$B$21</f>
        <v>226.062072246712</v>
      </c>
      <c r="BH127" s="41" t="n">
        <f aca="false">BG127*(1-Annahmen!$B$33*$C$13)+BH$21*$E$13*Annahmen!$B$21</f>
        <v>231.929327379752</v>
      </c>
      <c r="BI127" s="41" t="n">
        <f aca="false">BH127*(1-Annahmen!$B$33*$C$13)+BI$21*$E$13*Annahmen!$B$21</f>
        <v>237.726175451195</v>
      </c>
      <c r="BJ127" s="41" t="n">
        <f aca="false">BI127*(1-Annahmen!$B$33*$C$13)+BJ$21*$E$13*Annahmen!$B$21</f>
        <v>243.45346134578</v>
      </c>
    </row>
    <row r="128" customFormat="false" ht="15" hidden="false" customHeight="false" outlineLevel="0" collapsed="false">
      <c r="B128" s="5" t="s">
        <v>399</v>
      </c>
      <c r="C128" s="41" t="n">
        <f aca="false">Annahmen!$B$7*Annahmen!$B$21*Annahmen!$B$24*(1-Annahmen!$B$33*$C$13)+C$21*$E$13*Annahmen!$B$21*Annahmen!$B$24</f>
        <v>0.21216</v>
      </c>
      <c r="D128" s="41" t="n">
        <f aca="false">C128*(1-Annahmen!$B$33*$C$13)+D$21*$E$13*Annahmen!$B$21*Annahmen!$B$24</f>
        <v>0.30321408</v>
      </c>
      <c r="E128" s="41" t="n">
        <f aca="false">D128*(1-Annahmen!$B$33*$C$13)+E$21*$E$13*Annahmen!$B$21*Annahmen!$B$24</f>
        <v>0.39317551104</v>
      </c>
      <c r="F128" s="41" t="n">
        <f aca="false">E128*(1-Annahmen!$B$33*$C$13)+F$21*$E$13*Annahmen!$B$21*Annahmen!$B$24</f>
        <v>0.57565740490752</v>
      </c>
      <c r="G128" s="41" t="n">
        <f aca="false">F128*(1-Annahmen!$B$33*$C$13)+G$21*$E$13*Annahmen!$B$21*Annahmen!$B$24</f>
        <v>0.75594951604863</v>
      </c>
      <c r="H128" s="41" t="n">
        <f aca="false">G128*(1-Annahmen!$B$33*$C$13)+H$21*$E$13*Annahmen!$B$21*Annahmen!$B$24</f>
        <v>0.934078121856046</v>
      </c>
      <c r="I128" s="41" t="n">
        <f aca="false">H128*(1-Annahmen!$B$33*$C$13)+I$21*$E$13*Annahmen!$B$21*Annahmen!$B$24</f>
        <v>1.20366918439377</v>
      </c>
      <c r="J128" s="41" t="n">
        <f aca="false">I128*(1-Annahmen!$B$33*$C$13)+J$21*$E$13*Annahmen!$B$21*Annahmen!$B$24</f>
        <v>1.47002515418105</v>
      </c>
      <c r="K128" s="41" t="n">
        <f aca="false">J128*(1-Annahmen!$B$33*$C$13)+K$21*$E$13*Annahmen!$B$21*Annahmen!$B$24</f>
        <v>1.73318485233088</v>
      </c>
      <c r="L128" s="41" t="n">
        <f aca="false">K128*(1-Annahmen!$B$33*$C$13)+L$21*$E$13*Annahmen!$B$21*Annahmen!$B$24</f>
        <v>2.08678663410291</v>
      </c>
      <c r="M128" s="41" t="n">
        <f aca="false">L128*(1-Annahmen!$B$33*$C$13)+M$21*$E$13*Annahmen!$B$21*Annahmen!$B$24</f>
        <v>2.43614519449367</v>
      </c>
      <c r="N128" s="41" t="n">
        <f aca="false">M128*(1-Annahmen!$B$33*$C$13)+N$21*$E$13*Annahmen!$B$21*Annahmen!$B$24</f>
        <v>2.78131145215975</v>
      </c>
      <c r="O128" s="41" t="n">
        <f aca="false">N128*(1-Annahmen!$B$33*$C$13)+O$21*$E$13*Annahmen!$B$21*Annahmen!$B$24</f>
        <v>3.24713571473383</v>
      </c>
      <c r="P128" s="41" t="n">
        <f aca="false">O128*(1-Annahmen!$B$33*$C$13)+P$21*$E$13*Annahmen!$B$21*Annahmen!$B$24</f>
        <v>3.70737008615702</v>
      </c>
      <c r="Q128" s="41" t="n">
        <f aca="false">P128*(1-Annahmen!$B$33*$C$13)+Q$21*$E$13*Annahmen!$B$21*Annahmen!$B$24</f>
        <v>4.16208164512314</v>
      </c>
      <c r="R128" s="41" t="n">
        <f aca="false">Q128*(1-Annahmen!$B$33*$C$13)+R$21*$E$13*Annahmen!$B$21*Annahmen!$B$24</f>
        <v>4.73613666538166</v>
      </c>
      <c r="S128" s="41" t="n">
        <f aca="false">R128*(1-Annahmen!$B$33*$C$13)+S$21*$E$13*Annahmen!$B$21*Annahmen!$B$24</f>
        <v>5.30330302539708</v>
      </c>
      <c r="T128" s="41" t="n">
        <f aca="false">S128*(1-Annahmen!$B$33*$C$13)+T$21*$E$13*Annahmen!$B$21*Annahmen!$B$24</f>
        <v>5.86366338909232</v>
      </c>
      <c r="U128" s="41" t="n">
        <f aca="false">T128*(1-Annahmen!$B$33*$C$13)+U$21*$E$13*Annahmen!$B$21*Annahmen!$B$24</f>
        <v>6.54209942842321</v>
      </c>
      <c r="V128" s="41" t="n">
        <f aca="false">U128*(1-Annahmen!$B$33*$C$13)+V$21*$E$13*Annahmen!$B$21*Annahmen!$B$24</f>
        <v>7.21239423528213</v>
      </c>
      <c r="W128" s="41" t="n">
        <f aca="false">V128*(1-Annahmen!$B$33*$C$13)+W$21*$E$13*Annahmen!$B$21*Annahmen!$B$24</f>
        <v>7.87464550445874</v>
      </c>
      <c r="X128" s="41" t="n">
        <f aca="false">W128*(1-Annahmen!$B$33*$C$13)+X$21*$E$13*Annahmen!$B$21*Annahmen!$B$24</f>
        <v>8.65374975840524</v>
      </c>
      <c r="Y128" s="41" t="n">
        <f aca="false">X128*(1-Annahmen!$B$33*$C$13)+Y$21*$E$13*Annahmen!$B$21*Annahmen!$B$24</f>
        <v>9.42350476130438</v>
      </c>
      <c r="Z128" s="41" t="n">
        <f aca="false">Y128*(1-Annahmen!$B$33*$C$13)+Z$21*$E$13*Annahmen!$B$21*Annahmen!$B$24</f>
        <v>10.1840227041687</v>
      </c>
      <c r="AA128" s="41" t="n">
        <f aca="false">Z128*(1-Annahmen!$B$33*$C$13)+AA$21*$E$13*Annahmen!$B$21*Annahmen!$B$24</f>
        <v>10.9978144317187</v>
      </c>
      <c r="AB128" s="41" t="n">
        <f aca="false">AA128*(1-Annahmen!$B$33*$C$13)+AB$21*$E$13*Annahmen!$B$21*Annahmen!$B$24</f>
        <v>11.8018406585381</v>
      </c>
      <c r="AC128" s="41" t="n">
        <f aca="false">AB128*(1-Annahmen!$B$33*$C$13)+AC$21*$E$13*Annahmen!$B$21*Annahmen!$B$24</f>
        <v>12.5962185706356</v>
      </c>
      <c r="AD128" s="41" t="n">
        <f aca="false">AC128*(1-Annahmen!$B$33*$C$13)+AD$21*$E$13*Annahmen!$B$21*Annahmen!$B$24</f>
        <v>13.474663947788</v>
      </c>
      <c r="AE128" s="41" t="n">
        <f aca="false">AD128*(1-Annahmen!$B$33*$C$13)+AE$21*$E$13*Annahmen!$B$21*Annahmen!$B$24</f>
        <v>14.3425679804145</v>
      </c>
      <c r="AF128" s="41" t="n">
        <f aca="false">AE128*(1-Annahmen!$B$33*$C$13)+AF$21*$E$13*Annahmen!$B$21*Annahmen!$B$24</f>
        <v>15.2000571646496</v>
      </c>
      <c r="AG128" s="41" t="n">
        <f aca="false">AF128*(1-Annahmen!$B$33*$C$13)+AG$21*$E$13*Annahmen!$B$21*Annahmen!$B$24</f>
        <v>16.1408564786738</v>
      </c>
      <c r="AH128" s="41" t="n">
        <f aca="false">AG128*(1-Annahmen!$B$33*$C$13)+AH$21*$E$13*Annahmen!$B$21*Annahmen!$B$24</f>
        <v>17.0703662009297</v>
      </c>
      <c r="AI128" s="41" t="n">
        <f aca="false">AH128*(1-Annahmen!$B$33*$C$13)+AI$21*$E$13*Annahmen!$B$21*Annahmen!$B$24</f>
        <v>17.9887218065185</v>
      </c>
      <c r="AJ128" s="41" t="n">
        <f aca="false">AI128*(1-Annahmen!$B$33*$C$13)+AJ$21*$E$13*Annahmen!$B$21*Annahmen!$B$24</f>
        <v>19.0208571448403</v>
      </c>
      <c r="AK128" s="41" t="n">
        <f aca="false">AJ128*(1-Annahmen!$B$33*$C$13)+AK$21*$E$13*Annahmen!$B$21*Annahmen!$B$24</f>
        <v>20.0406068591022</v>
      </c>
      <c r="AL128" s="41" t="n">
        <f aca="false">AK128*(1-Annahmen!$B$33*$C$13)+AL$21*$E$13*Annahmen!$B$21*Annahmen!$B$24</f>
        <v>21.048119576793</v>
      </c>
      <c r="AM128" s="41" t="n">
        <f aca="false">AL128*(1-Annahmen!$B$33*$C$13)+AM$21*$E$13*Annahmen!$B$21*Annahmen!$B$24</f>
        <v>22.1995421418715</v>
      </c>
      <c r="AN128" s="41" t="n">
        <f aca="false">AM128*(1-Annahmen!$B$33*$C$13)+AN$21*$E$13*Annahmen!$B$21*Annahmen!$B$24</f>
        <v>23.337147636169</v>
      </c>
      <c r="AO128" s="41" t="n">
        <f aca="false">AN128*(1-Annahmen!$B$33*$C$13)+AO$21*$E$13*Annahmen!$B$21*Annahmen!$B$24</f>
        <v>24.461101864535</v>
      </c>
      <c r="AP128" s="41" t="n">
        <f aca="false">AO128*(1-Annahmen!$B$33*$C$13)+AP$21*$E$13*Annahmen!$B$21*Annahmen!$B$24</f>
        <v>25.5715686421606</v>
      </c>
      <c r="AQ128" s="41" t="n">
        <f aca="false">AP128*(1-Annahmen!$B$33*$C$13)+AQ$21*$E$13*Annahmen!$B$21*Annahmen!$B$24</f>
        <v>26.6687098184546</v>
      </c>
      <c r="AR128" s="41" t="n">
        <f aca="false">AQ128*(1-Annahmen!$B$33*$C$13)+AR$21*$E$13*Annahmen!$B$21*Annahmen!$B$24</f>
        <v>27.7526853006332</v>
      </c>
      <c r="AS128" s="41" t="n">
        <f aca="false">AR128*(1-Annahmen!$B$33*$C$13)+AS$21*$E$13*Annahmen!$B$21*Annahmen!$B$24</f>
        <v>28.8236530770256</v>
      </c>
      <c r="AT128" s="41" t="n">
        <f aca="false">AS128*(1-Annahmen!$B$33*$C$13)+AT$21*$E$13*Annahmen!$B$21*Annahmen!$B$24</f>
        <v>29.8817692401013</v>
      </c>
      <c r="AU128" s="41" t="n">
        <f aca="false">AT128*(1-Annahmen!$B$33*$C$13)+AU$21*$E$13*Annahmen!$B$21*Annahmen!$B$24</f>
        <v>30.9271880092201</v>
      </c>
      <c r="AV128" s="41" t="n">
        <f aca="false">AU128*(1-Annahmen!$B$33*$C$13)+AV$21*$E$13*Annahmen!$B$21*Annahmen!$B$24</f>
        <v>31.9600617531094</v>
      </c>
      <c r="AW128" s="41" t="n">
        <f aca="false">AV128*(1-Annahmen!$B$33*$C$13)+AW$21*$E$13*Annahmen!$B$21*Annahmen!$B$24</f>
        <v>32.9805410120721</v>
      </c>
      <c r="AX128" s="41" t="n">
        <f aca="false">AW128*(1-Annahmen!$B$33*$C$13)+AX$21*$E$13*Annahmen!$B$21*Annahmen!$B$24</f>
        <v>33.9887745199273</v>
      </c>
      <c r="AY128" s="41" t="n">
        <f aca="false">AX128*(1-Annahmen!$B$33*$C$13)+AY$21*$E$13*Annahmen!$B$21*Annahmen!$B$24</f>
        <v>35.2969092256881</v>
      </c>
      <c r="AZ128" s="41" t="n">
        <f aca="false">AY128*(1-Annahmen!$B$33*$C$13)+AZ$21*$E$13*Annahmen!$B$21*Annahmen!$B$24</f>
        <v>36.5893463149799</v>
      </c>
      <c r="BA128" s="41" t="n">
        <f aca="false">AZ128*(1-Annahmen!$B$33*$C$13)+BA$21*$E$13*Annahmen!$B$21*Annahmen!$B$24</f>
        <v>37.8662741592001</v>
      </c>
      <c r="BB128" s="41" t="n">
        <f aca="false">BA128*(1-Annahmen!$B$33*$C$13)+BB$21*$E$13*Annahmen!$B$21*Annahmen!$B$24</f>
        <v>39.1278788692897</v>
      </c>
      <c r="BC128" s="41" t="n">
        <f aca="false">BB128*(1-Annahmen!$B$33*$C$13)+BC$21*$E$13*Annahmen!$B$21*Annahmen!$B$24</f>
        <v>40.3743443228582</v>
      </c>
      <c r="BD128" s="41" t="n">
        <f aca="false">BC128*(1-Annahmen!$B$33*$C$13)+BD$21*$E$13*Annahmen!$B$21*Annahmen!$B$24</f>
        <v>41.6058521909839</v>
      </c>
      <c r="BE128" s="41" t="n">
        <f aca="false">BD128*(1-Annahmen!$B$33*$C$13)+BE$21*$E$13*Annahmen!$B$21*Annahmen!$B$24</f>
        <v>42.8225819646921</v>
      </c>
      <c r="BF128" s="41" t="n">
        <f aca="false">BE128*(1-Annahmen!$B$33*$C$13)+BF$21*$E$13*Annahmen!$B$21*Annahmen!$B$24</f>
        <v>44.0247109811158</v>
      </c>
      <c r="BG128" s="41" t="n">
        <f aca="false">BF128*(1-Annahmen!$B$33*$C$13)+BG$21*$E$13*Annahmen!$B$21*Annahmen!$B$24</f>
        <v>45.2124144493424</v>
      </c>
      <c r="BH128" s="41" t="n">
        <f aca="false">BG128*(1-Annahmen!$B$33*$C$13)+BH$21*$E$13*Annahmen!$B$21*Annahmen!$B$24</f>
        <v>46.3858654759503</v>
      </c>
      <c r="BI128" s="41" t="n">
        <f aca="false">BH128*(1-Annahmen!$B$33*$C$13)+BI$21*$E$13*Annahmen!$B$21*Annahmen!$B$24</f>
        <v>47.5452350902389</v>
      </c>
      <c r="BJ128" s="41" t="n">
        <f aca="false">BI128*(1-Annahmen!$B$33*$C$13)+BJ$21*$E$13*Annahmen!$B$21*Annahmen!$B$24</f>
        <v>48.6906922691561</v>
      </c>
    </row>
    <row r="129" customFormat="false" ht="15" hidden="false" customHeight="false" outlineLevel="0" collapsed="false">
      <c r="B129" s="5" t="s">
        <v>223</v>
      </c>
      <c r="C129" s="38" t="n">
        <f aca="false">C125+C126+C127</f>
        <v>8.7798</v>
      </c>
      <c r="D129" s="38" t="n">
        <f aca="false">D125+D126+D127</f>
        <v>12.4689404</v>
      </c>
      <c r="E129" s="38" t="n">
        <f aca="false">E125+E126+E127</f>
        <v>16.0697526552</v>
      </c>
      <c r="F129" s="38" t="n">
        <f aca="false">F125+F126+F127</f>
        <v>23.4845052475376</v>
      </c>
      <c r="G129" s="38" t="n">
        <f aca="false">G125+G126+G127</f>
        <v>30.7216494450332</v>
      </c>
      <c r="H129" s="38" t="n">
        <f aca="false">H125+H126+H127</f>
        <v>37.7857482028369</v>
      </c>
      <c r="I129" s="38" t="n">
        <f aca="false">I125+I126+I127</f>
        <v>48.5812413167351</v>
      </c>
      <c r="J129" s="38" t="n">
        <f aca="false">J125+J126+J127</f>
        <v>59.1186928622643</v>
      </c>
      <c r="K129" s="38" t="n">
        <f aca="false">K125+K126+K127</f>
        <v>69.4047217275398</v>
      </c>
      <c r="L129" s="38" t="n">
        <f aca="false">L125+L126+L127</f>
        <v>83.3457683519452</v>
      </c>
      <c r="M129" s="38" t="n">
        <f aca="false">M125+M126+M127</f>
        <v>96.9543437051875</v>
      </c>
      <c r="N129" s="38" t="n">
        <f aca="false">N125+N126+N127</f>
        <v>110.238961316133</v>
      </c>
      <c r="O129" s="38" t="n">
        <f aca="false">O125+O126+O127</f>
        <v>128.407905464848</v>
      </c>
      <c r="P129" s="38" t="n">
        <f aca="false">P125+P126+P127</f>
        <v>146.144229573584</v>
      </c>
      <c r="Q129" s="38" t="n">
        <f aca="false">Q125+Q126+Q127</f>
        <v>163.458998671318</v>
      </c>
      <c r="R129" s="38" t="n">
        <f aca="false">R125+R126+R127</f>
        <v>185.562980082883</v>
      </c>
      <c r="S129" s="38" t="n">
        <f aca="false">S125+S126+S127</f>
        <v>207.141643723452</v>
      </c>
      <c r="T129" s="38" t="n">
        <f aca="false">T125+T126+T127</f>
        <v>228.208406412342</v>
      </c>
      <c r="U129" s="38" t="n">
        <f aca="false">U125+U126+U127</f>
        <v>253.976324358731</v>
      </c>
      <c r="V129" s="38" t="n">
        <f aca="false">V125+V126+V127</f>
        <v>279.133095201594</v>
      </c>
      <c r="W129" s="38" t="n">
        <f aca="false">W125+W126+W127</f>
        <v>303.694304019287</v>
      </c>
      <c r="X129" s="38" t="n">
        <f aca="false">X125+X126+X127</f>
        <v>332.875117462823</v>
      </c>
      <c r="Y129" s="38" t="n">
        <f aca="false">Y125+Y126+Y127</f>
        <v>361.365287396535</v>
      </c>
      <c r="Z129" s="38" t="n">
        <f aca="false">Z125+Z126+Z127</f>
        <v>389.182398462909</v>
      </c>
      <c r="AA129" s="38" t="n">
        <f aca="false">AA125+AA126+AA127</f>
        <v>418.943563726955</v>
      </c>
      <c r="AB129" s="38" t="n">
        <f aca="false">AB125+AB126+AB127</f>
        <v>448.002933785067</v>
      </c>
      <c r="AC129" s="38" t="n">
        <f aca="false">AC125+AC126+AC127</f>
        <v>476.378327628429</v>
      </c>
      <c r="AD129" s="38" t="n">
        <f aca="false">AD125+AD126+AD127</f>
        <v>507.987087344626</v>
      </c>
      <c r="AE129" s="38" t="n">
        <f aca="false">AE125+AE126+AE127</f>
        <v>538.852335355807</v>
      </c>
      <c r="AF129" s="38" t="n">
        <f aca="false">AF125+AF126+AF127</f>
        <v>568.992914472064</v>
      </c>
      <c r="AG129" s="38" t="n">
        <f aca="false">AG125+AG126+AG127</f>
        <v>602.327163880241</v>
      </c>
      <c r="AH129" s="38" t="n">
        <f aca="false">AH125+AH126+AH127</f>
        <v>634.879177110484</v>
      </c>
      <c r="AI129" s="38" t="n">
        <f aca="false">AI125+AI126+AI127</f>
        <v>666.668742797552</v>
      </c>
      <c r="AJ129" s="38" t="n">
        <f aca="false">AJ125+AJ126+AJ127</f>
        <v>702.915121357664</v>
      </c>
      <c r="AK129" s="38" t="n">
        <f aca="false">AK125+AK126+AK127</f>
        <v>738.312051623793</v>
      </c>
      <c r="AL129" s="38" t="n">
        <f aca="false">AL125+AL126+AL127</f>
        <v>772.881001320946</v>
      </c>
      <c r="AM129" s="38" t="n">
        <f aca="false">AM125+AM126+AM127</f>
        <v>813.142865539205</v>
      </c>
      <c r="AN129" s="38" t="n">
        <f aca="false">AN125+AN126+AN127</f>
        <v>852.461722591854</v>
      </c>
      <c r="AO129" s="38" t="n">
        <f aca="false">AO125+AO126+AO127</f>
        <v>890.861394742889</v>
      </c>
      <c r="AP129" s="38" t="n">
        <f aca="false">AP125+AP126+AP127</f>
        <v>928.365068999115</v>
      </c>
      <c r="AQ129" s="38" t="n">
        <f aca="false">AQ125+AQ126+AQ127</f>
        <v>964.995314699027</v>
      </c>
      <c r="AR129" s="38" t="n">
        <f aca="false">AR125+AR126+AR127</f>
        <v>1000.77410060197</v>
      </c>
      <c r="AS129" s="38" t="n">
        <f aca="false">AS125+AS126+AS127</f>
        <v>1035.72281149201</v>
      </c>
      <c r="AT129" s="38" t="n">
        <f aca="false">AT125+AT126+AT127</f>
        <v>1069.8622643106</v>
      </c>
      <c r="AU129" s="38" t="n">
        <f aca="false">AU125+AU126+AU127</f>
        <v>1103.21272383159</v>
      </c>
      <c r="AV129" s="38" t="n">
        <f aca="false">AV125+AV126+AV127</f>
        <v>1135.79391789179</v>
      </c>
      <c r="AW129" s="38" t="n">
        <f aca="false">AW125+AW126+AW127</f>
        <v>1167.62505219005</v>
      </c>
      <c r="AX129" s="38" t="n">
        <f aca="false">AX125+AX126+AX127</f>
        <v>1198.72482466713</v>
      </c>
      <c r="AY129" s="38" t="n">
        <f aca="false">AY125+AY126+AY127</f>
        <v>1242.11143947856</v>
      </c>
      <c r="AZ129" s="38" t="n">
        <f aca="false">AZ125+AZ126+AZ127</f>
        <v>1284.49010057228</v>
      </c>
      <c r="BA129" s="38" t="n">
        <f aca="false">BA125+BA126+BA127</f>
        <v>1325.88611552227</v>
      </c>
      <c r="BB129" s="38" t="n">
        <f aca="false">BB125+BB126+BB127</f>
        <v>1366.32411999376</v>
      </c>
      <c r="BC129" s="38" t="n">
        <f aca="false">BC125+BC126+BC127</f>
        <v>1405.82809628976</v>
      </c>
      <c r="BD129" s="38" t="n">
        <f aca="false">BD125+BD126+BD127</f>
        <v>1444.42139137174</v>
      </c>
      <c r="BE129" s="38" t="n">
        <f aca="false">BE125+BE126+BE127</f>
        <v>1482.12673436977</v>
      </c>
      <c r="BF129" s="38" t="n">
        <f aca="false">BF125+BF126+BF127</f>
        <v>1518.96625359665</v>
      </c>
      <c r="BG129" s="38" t="n">
        <f aca="false">BG125+BG126+BG127</f>
        <v>1554.96149308058</v>
      </c>
      <c r="BH129" s="38" t="n">
        <f aca="false">BH125+BH126+BH127</f>
        <v>1590.13342863006</v>
      </c>
      <c r="BI129" s="38" t="n">
        <f aca="false">BI125+BI126+BI127</f>
        <v>1624.50248344462</v>
      </c>
      <c r="BJ129" s="38" t="n">
        <f aca="false">BJ125+BJ126+BJ127</f>
        <v>1658.08854328442</v>
      </c>
    </row>
    <row r="130" customFormat="false" ht="15" hidden="false" customHeight="false" outlineLevel="0" collapsed="false">
      <c r="B130" s="5" t="s">
        <v>400</v>
      </c>
      <c r="C130" s="37" t="n">
        <f aca="false">(C125*Annahmen!$B$10+C126*(Annahmen!$B$11+Annahmen!$B$13*Annahmen!$B$22)+C127*(Annahmen!$B$12+Annahmen!$B$14*Annahmen!$B$23)+C128*Annahmen!$B$16)*$D$13</f>
        <v>1050.87004</v>
      </c>
      <c r="D130" s="37" t="n">
        <f aca="false">(D125*Annahmen!$B$10+D126*(Annahmen!$B$11+Annahmen!$B$13*Annahmen!$B$22)+D127*(Annahmen!$B$12+Annahmen!$B$14*Annahmen!$B$23)+D128*Annahmen!$B$16)*$D$13</f>
        <v>1496.19634552</v>
      </c>
      <c r="E130" s="37" t="n">
        <f aca="false">(E125*Annahmen!$B$10+E126*(Annahmen!$B$11+Annahmen!$B$13*Annahmen!$B$22)+E127*(Annahmen!$B$12+Annahmen!$B$14*Annahmen!$B$23)+E128*Annahmen!$B$16)*$D$13</f>
        <v>1932.99532395376</v>
      </c>
      <c r="F130" s="37" t="n">
        <f aca="false">(F125*Annahmen!$B$10+F126*(Annahmen!$B$11+Annahmen!$B$13*Annahmen!$B$22)+F127*(Annahmen!$B$12+Annahmen!$B$14*Annahmen!$B$23)+F128*Annahmen!$B$16)*$D$13</f>
        <v>2826.97641282972</v>
      </c>
      <c r="G130" s="37" t="n">
        <f aca="false">(G125*Annahmen!$B$10+G126*(Annahmen!$B$11+Annahmen!$B$13*Annahmen!$B$22)+G127*(Annahmen!$B$12+Annahmen!$B$14*Annahmen!$B$23)+G128*Annahmen!$B$16)*$D$13</f>
        <v>3703.82984899264</v>
      </c>
      <c r="H130" s="37" t="n">
        <f aca="false">(H125*Annahmen!$B$10+H126*(Annahmen!$B$11+Annahmen!$B$13*Annahmen!$B$22)+H127*(Annahmen!$B$12+Annahmen!$B$14*Annahmen!$B$23)+H128*Annahmen!$B$16)*$D$13</f>
        <v>4563.92145419776</v>
      </c>
      <c r="I130" s="37" t="n">
        <f aca="false">(I125*Annahmen!$B$10+I126*(Annahmen!$B$11+Annahmen!$B$13*Annahmen!$B$22)+I127*(Annahmen!$B$12+Annahmen!$B$14*Annahmen!$B$23)+I128*Annahmen!$B$16)*$D$13</f>
        <v>5873.13588577089</v>
      </c>
      <c r="J130" s="37" t="n">
        <f aca="false">(J125*Annahmen!$B$10+J126*(Annahmen!$B$11+Annahmen!$B$13*Annahmen!$B$22)+J127*(Annahmen!$B$12+Annahmen!$B$14*Annahmen!$B$23)+J128*Annahmen!$B$16)*$D$13</f>
        <v>7157.33451113606</v>
      </c>
      <c r="K130" s="37" t="n">
        <f aca="false">(K125*Annahmen!$B$10+K126*(Annahmen!$B$11+Annahmen!$B$13*Annahmen!$B$22)+K127*(Annahmen!$B$12+Annahmen!$B$14*Annahmen!$B$23)+K128*Annahmen!$B$16)*$D$13</f>
        <v>8417.0502959658</v>
      </c>
      <c r="L130" s="37" t="n">
        <f aca="false">(L125*Annahmen!$B$10+L126*(Annahmen!$B$11+Annahmen!$B$13*Annahmen!$B$22)+L127*(Annahmen!$B$12+Annahmen!$B$14*Annahmen!$B$23)+L128*Annahmen!$B$16)*$D$13</f>
        <v>10118.3311546845</v>
      </c>
      <c r="M130" s="37" t="n">
        <f aca="false">(M125*Annahmen!$B$10+M126*(Annahmen!$B$11+Annahmen!$B$13*Annahmen!$B$22)+M127*(Annahmen!$B$12+Annahmen!$B$14*Annahmen!$B$23)+M128*Annahmen!$B$16)*$D$13</f>
        <v>11787.1979222007</v>
      </c>
      <c r="N130" s="37" t="n">
        <f aca="false">(N125*Annahmen!$B$10+N126*(Annahmen!$B$11+Annahmen!$B$13*Annahmen!$B$22)+N127*(Annahmen!$B$12+Annahmen!$B$14*Annahmen!$B$23)+N128*Annahmen!$B$16)*$D$13</f>
        <v>13424.3393366965</v>
      </c>
      <c r="O130" s="37" t="n">
        <f aca="false">(O125*Annahmen!$B$10+O126*(Annahmen!$B$11+Annahmen!$B$13*Annahmen!$B$22)+O127*(Annahmen!$B$12+Annahmen!$B$14*Annahmen!$B$23)+O128*Annahmen!$B$16)*$D$13</f>
        <v>15651.1312822737</v>
      </c>
      <c r="P130" s="37" t="n">
        <f aca="false">(P125*Annahmen!$B$10+P126*(Annahmen!$B$11+Annahmen!$B$13*Annahmen!$B$22)+P127*(Annahmen!$B$12+Annahmen!$B$14*Annahmen!$B$23)+P128*Annahmen!$B$16)*$D$13</f>
        <v>17835.5807368029</v>
      </c>
      <c r="Q130" s="37" t="n">
        <f aca="false">(Q125*Annahmen!$B$10+Q126*(Annahmen!$B$11+Annahmen!$B$13*Annahmen!$B$22)+Q127*(Annahmen!$B$12+Annahmen!$B$14*Annahmen!$B$23)+Q128*Annahmen!$B$16)*$D$13</f>
        <v>19978.5857349112</v>
      </c>
      <c r="R130" s="37" t="n">
        <f aca="false">(R125*Annahmen!$B$10+R126*(Annahmen!$B$11+Annahmen!$B$13*Annahmen!$B$22)+R127*(Annahmen!$B$12+Annahmen!$B$14*Annahmen!$B$23)+R128*Annahmen!$B$16)*$D$13</f>
        <v>22701.7266111658</v>
      </c>
      <c r="S130" s="37" t="n">
        <f aca="false">(S125*Annahmen!$B$10+S126*(Annahmen!$B$11+Annahmen!$B$13*Annahmen!$B$22)+S127*(Annahmen!$B$12+Annahmen!$B$14*Annahmen!$B$23)+S128*Annahmen!$B$16)*$D$13</f>
        <v>25373.2100687029</v>
      </c>
      <c r="T130" s="37" t="n">
        <f aca="false">(T125*Annahmen!$B$10+T126*(Annahmen!$B$11+Annahmen!$B$13*Annahmen!$B$22)+T127*(Annahmen!$B$12+Annahmen!$B$14*Annahmen!$B$23)+T128*Annahmen!$B$16)*$D$13</f>
        <v>27994.129259814</v>
      </c>
      <c r="U130" s="37" t="n">
        <f aca="false">(U125*Annahmen!$B$10+U126*(Annahmen!$B$11+Annahmen!$B$13*Annahmen!$B$22)+U127*(Annahmen!$B$12+Annahmen!$B$14*Annahmen!$B$23)+U128*Annahmen!$B$16)*$D$13</f>
        <v>31186.2551436369</v>
      </c>
      <c r="V130" s="37" t="n">
        <f aca="false">(V125*Annahmen!$B$10+V126*(Annahmen!$B$11+Annahmen!$B$13*Annahmen!$B$22)+V127*(Annahmen!$B$12+Annahmen!$B$14*Annahmen!$B$23)+V128*Annahmen!$B$16)*$D$13</f>
        <v>34317.9806662816</v>
      </c>
      <c r="W130" s="37" t="n">
        <f aca="false">(W125*Annahmen!$B$10+W126*(Annahmen!$B$11+Annahmen!$B$13*Annahmen!$B$22)+W127*(Annahmen!$B$12+Annahmen!$B$14*Annahmen!$B$23)+W128*Annahmen!$B$16)*$D$13</f>
        <v>37390.58094999</v>
      </c>
      <c r="X130" s="37" t="n">
        <f aca="false">(X125*Annahmen!$B$10+X126*(Annahmen!$B$11+Annahmen!$B$13*Annahmen!$B$22)+X127*(Annahmen!$B$12+Annahmen!$B$14*Annahmen!$B$23)+X128*Annahmen!$B$16)*$D$13</f>
        <v>41026.0047565519</v>
      </c>
      <c r="Y130" s="37" t="n">
        <f aca="false">(Y125*Annahmen!$B$10+Y126*(Annahmen!$B$11+Annahmen!$B$13*Annahmen!$B$22)+Y127*(Annahmen!$B$12+Annahmen!$B$14*Annahmen!$B$23)+Y128*Annahmen!$B$16)*$D$13</f>
        <v>44592.818770389</v>
      </c>
      <c r="Z130" s="37" t="n">
        <f aca="false">(Z125*Annahmen!$B$10+Z126*(Annahmen!$B$11+Annahmen!$B$13*Annahmen!$B$22)+Z127*(Annahmen!$B$12+Annahmen!$B$14*Annahmen!$B$23)+Z128*Annahmen!$B$16)*$D$13</f>
        <v>48092.4678879798</v>
      </c>
      <c r="AA130" s="37" t="n">
        <f aca="false">(AA125*Annahmen!$B$10+AA126*(Annahmen!$B$11+Annahmen!$B$13*Annahmen!$B$22)+AA127*(Annahmen!$B$12+Annahmen!$B$14*Annahmen!$B$23)+AA128*Annahmen!$B$16)*$D$13</f>
        <v>51836.7151789204</v>
      </c>
      <c r="AB130" s="37" t="n">
        <f aca="false">(AB125*Annahmen!$B$10+AB126*(Annahmen!$B$11+Annahmen!$B$13*Annahmen!$B$22)+AB127*(Annahmen!$B$12+Annahmen!$B$14*Annahmen!$B$23)+AB128*Annahmen!$B$16)*$D$13</f>
        <v>55510.6144913071</v>
      </c>
      <c r="AC130" s="37" t="n">
        <f aca="false">(AC125*Annahmen!$B$10+AC126*(Annahmen!$B$11+Annahmen!$B$13*Annahmen!$B$22)+AC127*(Annahmen!$B$12+Annahmen!$B$14*Annahmen!$B$23)+AC128*Annahmen!$B$16)*$D$13</f>
        <v>59115.6410480923</v>
      </c>
      <c r="AD130" s="37" t="n">
        <f aca="false">(AD125*Annahmen!$B$10+AD126*(Annahmen!$B$11+Annahmen!$B$13*Annahmen!$B$22)+AD127*(Annahmen!$B$12+Annahmen!$B$14*Annahmen!$B$23)+AD128*Annahmen!$B$16)*$D$13</f>
        <v>63118.763467399</v>
      </c>
      <c r="AE130" s="37" t="n">
        <f aca="false">(AE125*Annahmen!$B$10+AE126*(Annahmen!$B$11+Annahmen!$B$13*Annahmen!$B$22)+AE127*(Annahmen!$B$12+Annahmen!$B$14*Annahmen!$B$23)+AE128*Annahmen!$B$16)*$D$13</f>
        <v>67046.9022662585</v>
      </c>
      <c r="AF130" s="37" t="n">
        <f aca="false">(AF125*Annahmen!$B$10+AF126*(Annahmen!$B$11+Annahmen!$B$13*Annahmen!$B$22)+AF127*(Annahmen!$B$12+Annahmen!$B$14*Annahmen!$B$23)+AF128*Annahmen!$B$16)*$D$13</f>
        <v>70901.6253614997</v>
      </c>
      <c r="AG130" s="37" t="n">
        <f aca="false">(AG125*Annahmen!$B$10+AG126*(Annahmen!$B$11+Annahmen!$B$13*Annahmen!$B$22)+AG127*(Annahmen!$B$12+Annahmen!$B$14*Annahmen!$B$23)+AG128*Annahmen!$B$16)*$D$13</f>
        <v>75149.9920169715</v>
      </c>
      <c r="AH130" s="37" t="n">
        <f aca="false">(AH125*Annahmen!$B$10+AH126*(Annahmen!$B$11+Annahmen!$B$13*Annahmen!$B$22)+AH127*(Annahmen!$B$12+Annahmen!$B$14*Annahmen!$B$23)+AH128*Annahmen!$B$16)*$D$13</f>
        <v>79319.0113964089</v>
      </c>
      <c r="AI130" s="37" t="n">
        <f aca="false">(AI125*Annahmen!$B$10+AI126*(Annahmen!$B$11+Annahmen!$B$13*Annahmen!$B$22)+AI127*(Annahmen!$B$12+Annahmen!$B$14*Annahmen!$B$23)+AI128*Annahmen!$B$16)*$D$13</f>
        <v>83410.3381121968</v>
      </c>
      <c r="AJ130" s="37" t="n">
        <f aca="false">(AJ125*Annahmen!$B$10+AJ126*(Annahmen!$B$11+Annahmen!$B$13*Annahmen!$B$22)+AJ127*(Annahmen!$B$12+Annahmen!$B$14*Annahmen!$B$23)+AJ128*Annahmen!$B$16)*$D$13</f>
        <v>88046.2920192438</v>
      </c>
      <c r="AK130" s="37" t="n">
        <f aca="false">(AK125*Annahmen!$B$10+AK126*(Annahmen!$B$11+Annahmen!$B$13*Annahmen!$B$22)+AK127*(Annahmen!$B$12+Annahmen!$B$14*Annahmen!$B$23)+AK128*Annahmen!$B$16)*$D$13</f>
        <v>92595.8026997107</v>
      </c>
      <c r="AL130" s="37" t="n">
        <f aca="false">(AL125*Annahmen!$B$10+AL126*(Annahmen!$B$11+Annahmen!$B$13*Annahmen!$B$22)+AL127*(Annahmen!$B$12+Annahmen!$B$14*Annahmen!$B$23)+AL128*Annahmen!$B$16)*$D$13</f>
        <v>97060.6699489226</v>
      </c>
      <c r="AM130" s="37" t="n">
        <f aca="false">(AM125*Annahmen!$B$10+AM126*(Annahmen!$B$11+Annahmen!$B$13*Annahmen!$B$22)+AM127*(Annahmen!$B$12+Annahmen!$B$14*Annahmen!$B$23)+AM128*Annahmen!$B$16)*$D$13</f>
        <v>102218.531327898</v>
      </c>
      <c r="AN130" s="37" t="n">
        <f aca="false">(AN125*Annahmen!$B$10+AN126*(Annahmen!$B$11+Annahmen!$B$13*Annahmen!$B$22)+AN127*(Annahmen!$B$12+Annahmen!$B$14*Annahmen!$B$23)+AN128*Annahmen!$B$16)*$D$13</f>
        <v>107280.292614514</v>
      </c>
      <c r="AO130" s="37" t="n">
        <f aca="false">(AO125*Annahmen!$B$10+AO126*(Annahmen!$B$11+Annahmen!$B$13*Annahmen!$B$22)+AO127*(Annahmen!$B$12+Annahmen!$B$14*Annahmen!$B$23)+AO128*Annahmen!$B$16)*$D$13</f>
        <v>112247.953260217</v>
      </c>
      <c r="AP130" s="37" t="n">
        <f aca="false">(AP125*Annahmen!$B$10+AP126*(Annahmen!$B$11+Annahmen!$B$13*Annahmen!$B$22)+AP127*(Annahmen!$B$12+Annahmen!$B$14*Annahmen!$B$23)+AP128*Annahmen!$B$16)*$D$13</f>
        <v>117123.466933975</v>
      </c>
      <c r="AQ130" s="37" t="n">
        <f aca="false">(AQ125*Annahmen!$B$10+AQ126*(Annahmen!$B$11+Annahmen!$B$13*Annahmen!$B$22)+AQ127*(Annahmen!$B$12+Annahmen!$B$14*Annahmen!$B$23)+AQ128*Annahmen!$B$16)*$D$13</f>
        <v>121908.742653368</v>
      </c>
      <c r="AR130" s="37" t="n">
        <f aca="false">(AR125*Annahmen!$B$10+AR126*(Annahmen!$B$11+Annahmen!$B$13*Annahmen!$B$22)+AR127*(Annahmen!$B$12+Annahmen!$B$14*Annahmen!$B$23)+AR128*Annahmen!$B$16)*$D$13</f>
        <v>126605.645886092</v>
      </c>
      <c r="AS130" s="37" t="n">
        <f aca="false">(AS125*Annahmen!$B$10+AS126*(Annahmen!$B$11+Annahmen!$B$13*Annahmen!$B$22)+AS127*(Annahmen!$B$12+Annahmen!$B$14*Annahmen!$B$23)+AS128*Annahmen!$B$16)*$D$13</f>
        <v>131215.999622698</v>
      </c>
      <c r="AT130" s="37" t="n">
        <f aca="false">(AT125*Annahmen!$B$10+AT126*(Annahmen!$B$11+Annahmen!$B$13*Annahmen!$B$22)+AT127*(Annahmen!$B$12+Annahmen!$B$14*Annahmen!$B$23)+AT128*Annahmen!$B$16)*$D$13</f>
        <v>135741.585421317</v>
      </c>
      <c r="AU130" s="37" t="n">
        <f aca="false">(AU125*Annahmen!$B$10+AU126*(Annahmen!$B$11+Annahmen!$B$13*Annahmen!$B$22)+AU127*(Annahmen!$B$12+Annahmen!$B$14*Annahmen!$B$23)+AU128*Annahmen!$B$16)*$D$13</f>
        <v>140184.14442517</v>
      </c>
      <c r="AV130" s="37" t="n">
        <f aca="false">(AV125*Annahmen!$B$10+AV126*(Annahmen!$B$11+Annahmen!$B$13*Annahmen!$B$22)+AV127*(Annahmen!$B$12+Annahmen!$B$14*Annahmen!$B$23)+AV128*Annahmen!$B$16)*$D$13</f>
        <v>144545.378353578</v>
      </c>
      <c r="AW130" s="37" t="n">
        <f aca="false">(AW125*Annahmen!$B$10+AW126*(Annahmen!$B$11+Annahmen!$B$13*Annahmen!$B$22)+AW127*(Annahmen!$B$12+Annahmen!$B$14*Annahmen!$B$23)+AW128*Annahmen!$B$16)*$D$13</f>
        <v>148826.950467199</v>
      </c>
      <c r="AX130" s="37" t="n">
        <f aca="false">(AX125*Annahmen!$B$10+AX126*(Annahmen!$B$11+Annahmen!$B$13*Annahmen!$B$22)+AX127*(Annahmen!$B$12+Annahmen!$B$14*Annahmen!$B$23)+AX128*Annahmen!$B$16)*$D$13</f>
        <v>153030.486508194</v>
      </c>
      <c r="AY130" s="37" t="n">
        <f aca="false">(AY125*Annahmen!$B$10+AY126*(Annahmen!$B$11+Annahmen!$B$13*Annahmen!$B$22)+AY127*(Annahmen!$B$12+Annahmen!$B$14*Annahmen!$B$23)+AY128*Annahmen!$B$16)*$D$13</f>
        <v>158709.333616008</v>
      </c>
      <c r="AZ130" s="37" t="n">
        <f aca="false">(AZ125*Annahmen!$B$10+AZ126*(Annahmen!$B$11+Annahmen!$B$13*Annahmen!$B$22)+AZ127*(Annahmen!$B$12+Annahmen!$B$14*Annahmen!$B$23)+AZ128*Annahmen!$B$16)*$D$13</f>
        <v>164283.420083403</v>
      </c>
      <c r="BA130" s="37" t="n">
        <f aca="false">(BA125*Annahmen!$B$10+BA126*(Annahmen!$B$11+Annahmen!$B$13*Annahmen!$B$22)+BA127*(Annahmen!$B$12+Annahmen!$B$14*Annahmen!$B$23)+BA128*Annahmen!$B$16)*$D$13</f>
        <v>169754.905153854</v>
      </c>
      <c r="BB130" s="37" t="n">
        <f aca="false">(BB125*Annahmen!$B$10+BB126*(Annahmen!$B$11+Annahmen!$B$13*Annahmen!$B$22)+BB127*(Annahmen!$B$12+Annahmen!$B$14*Annahmen!$B$23)+BB128*Annahmen!$B$16)*$D$13</f>
        <v>175125.899022809</v>
      </c>
      <c r="BC130" s="37" t="n">
        <f aca="false">(BC125*Annahmen!$B$10+BC126*(Annahmen!$B$11+Annahmen!$B$13*Annahmen!$B$22)+BC127*(Annahmen!$B$12+Annahmen!$B$14*Annahmen!$B$23)+BC128*Annahmen!$B$16)*$D$13</f>
        <v>180398.464041852</v>
      </c>
      <c r="BD130" s="37" t="n">
        <f aca="false">(BD125*Annahmen!$B$10+BD126*(Annahmen!$B$11+Annahmen!$B$13*Annahmen!$B$22)+BD127*(Annahmen!$B$12+Annahmen!$B$14*Annahmen!$B$23)+BD128*Annahmen!$B$16)*$D$13</f>
        <v>185574.615891516</v>
      </c>
      <c r="BE130" s="37" t="n">
        <f aca="false">(BE125*Annahmen!$B$10+BE126*(Annahmen!$B$11+Annahmen!$B$13*Annahmen!$B$22)+BE127*(Annahmen!$B$12+Annahmen!$B$14*Annahmen!$B$23)+BE128*Annahmen!$B$16)*$D$13</f>
        <v>190656.324723607</v>
      </c>
      <c r="BF130" s="37" t="n">
        <f aca="false">(BF125*Annahmen!$B$10+BF126*(Annahmen!$B$11+Annahmen!$B$13*Annahmen!$B$22)+BF127*(Annahmen!$B$12+Annahmen!$B$14*Annahmen!$B$23)+BF128*Annahmen!$B$16)*$D$13</f>
        <v>195645.516273855</v>
      </c>
      <c r="BG130" s="37" t="n">
        <f aca="false">(BG125*Annahmen!$B$10+BG126*(Annahmen!$B$11+Annahmen!$B$13*Annahmen!$B$22)+BG127*(Annahmen!$B$12+Annahmen!$B$14*Annahmen!$B$23)+BG128*Annahmen!$B$16)*$D$13</f>
        <v>200544.072945701</v>
      </c>
      <c r="BH130" s="37" t="n">
        <f aca="false">(BH125*Annahmen!$B$10+BH126*(Annahmen!$B$11+Annahmen!$B$13*Annahmen!$B$22)+BH127*(Annahmen!$B$12+Annahmen!$B$14*Annahmen!$B$23)+BH128*Annahmen!$B$16)*$D$13</f>
        <v>205353.834866007</v>
      </c>
      <c r="BI130" s="37" t="n">
        <f aca="false">(BI125*Annahmen!$B$10+BI126*(Annahmen!$B$11+Annahmen!$B$13*Annahmen!$B$22)+BI127*(Annahmen!$B$12+Annahmen!$B$14*Annahmen!$B$23)+BI128*Annahmen!$B$16)*$D$13</f>
        <v>210076.600913445</v>
      </c>
      <c r="BJ130" s="37" t="n">
        <f aca="false">(BJ125*Annahmen!$B$10+BJ126*(Annahmen!$B$11+Annahmen!$B$13*Annahmen!$B$22)+BJ127*(Annahmen!$B$12+Annahmen!$B$14*Annahmen!$B$23)+BJ128*Annahmen!$B$16)*$D$13</f>
        <v>214714.129720304</v>
      </c>
    </row>
    <row r="131" customFormat="false" ht="15" hidden="false" customHeight="false" outlineLevel="0" collapsed="false">
      <c r="B131" s="5" t="s">
        <v>228</v>
      </c>
      <c r="C131" s="37" t="n">
        <f aca="false">C130*(1-Annahmen!$B$27)+C$21*$E$13*Annahmen!$B$21*Annahmen!$B$24*Annahmen!$B$15*$D$13</f>
        <v>1184.590538</v>
      </c>
      <c r="D131" s="37" t="n">
        <f aca="false">D130*(1-Annahmen!$B$27)+D$21*$E$13*Annahmen!$B$21*Annahmen!$B$24*Annahmen!$B$15*$D$13</f>
        <v>1607.650528244</v>
      </c>
      <c r="E131" s="37" t="n">
        <f aca="false">E130*(1-Annahmen!$B$27)+E$21*$E$13*Annahmen!$B$21*Annahmen!$B$24*Annahmen!$B$15*$D$13</f>
        <v>2022.60955775607</v>
      </c>
      <c r="F131" s="37" t="n">
        <f aca="false">F130*(1-Annahmen!$B$27)+F$21*$E$13*Annahmen!$B$21*Annahmen!$B$24*Annahmen!$B$15*$D$13</f>
        <v>3058.15559218823</v>
      </c>
      <c r="G131" s="37" t="n">
        <f aca="false">G130*(1-Annahmen!$B$27)+G$21*$E$13*Annahmen!$B$21*Annahmen!$B$24*Annahmen!$B$15*$D$13</f>
        <v>3891.16635654301</v>
      </c>
      <c r="H131" s="37" t="n">
        <f aca="false">H130*(1-Annahmen!$B$27)+H$21*$E$13*Annahmen!$B$21*Annahmen!$B$24*Annahmen!$B$15*$D$13</f>
        <v>4708.25338148787</v>
      </c>
      <c r="I131" s="37" t="n">
        <f aca="false">I130*(1-Annahmen!$B$27)+I$21*$E$13*Annahmen!$B$21*Annahmen!$B$24*Annahmen!$B$15*$D$13</f>
        <v>6138.27109148235</v>
      </c>
      <c r="J131" s="37" t="n">
        <f aca="false">J130*(1-Annahmen!$B$27)+J$21*$E$13*Annahmen!$B$21*Annahmen!$B$24*Annahmen!$B$15*$D$13</f>
        <v>7358.25978557926</v>
      </c>
      <c r="K131" s="37" t="n">
        <f aca="false">K130*(1-Annahmen!$B$27)+K$21*$E$13*Annahmen!$B$21*Annahmen!$B$24*Annahmen!$B$15*$D$13</f>
        <v>8554.98978116751</v>
      </c>
      <c r="L131" s="37" t="n">
        <f aca="false">L130*(1-Annahmen!$B$27)+L$21*$E$13*Annahmen!$B$21*Annahmen!$B$24*Annahmen!$B$15*$D$13</f>
        <v>10357.4705969503</v>
      </c>
      <c r="M131" s="37" t="n">
        <f aca="false">M130*(1-Annahmen!$B$27)+M$21*$E$13*Annahmen!$B$21*Annahmen!$B$24*Annahmen!$B$15*$D$13</f>
        <v>11942.8940260907</v>
      </c>
      <c r="N131" s="37" t="n">
        <f aca="false">N130*(1-Annahmen!$B$27)+N$21*$E$13*Annahmen!$B$21*Annahmen!$B$24*Annahmen!$B$15*$D$13</f>
        <v>13498.1783698617</v>
      </c>
      <c r="O131" s="37" t="n">
        <f aca="false">O130*(1-Annahmen!$B$27)+O$21*$E$13*Annahmen!$B$21*Annahmen!$B$24*Annahmen!$B$15*$D$13</f>
        <v>15861.98271816</v>
      </c>
      <c r="P131" s="37" t="n">
        <f aca="false">P130*(1-Annahmen!$B$27)+P$21*$E$13*Annahmen!$B$21*Annahmen!$B$24*Annahmen!$B$15*$D$13</f>
        <v>17937.2096999628</v>
      </c>
      <c r="Q131" s="37" t="n">
        <f aca="false">Q130*(1-Annahmen!$B$27)+Q$21*$E$13*Annahmen!$B$21*Annahmen!$B$24*Annahmen!$B$15*$D$13</f>
        <v>19973.0644481656</v>
      </c>
      <c r="R131" s="37" t="n">
        <f aca="false">R130*(1-Annahmen!$B$27)+R$21*$E$13*Annahmen!$B$21*Annahmen!$B$24*Annahmen!$B$15*$D$13</f>
        <v>22808.4002806076</v>
      </c>
      <c r="S131" s="37" t="n">
        <f aca="false">S130*(1-Annahmen!$B$27)+S$21*$E$13*Annahmen!$B$21*Annahmen!$B$24*Annahmen!$B$15*$D$13</f>
        <v>25346.3095652677</v>
      </c>
      <c r="T131" s="37" t="n">
        <f aca="false">T130*(1-Annahmen!$B$27)+T$21*$E$13*Annahmen!$B$21*Annahmen!$B$24*Annahmen!$B$15*$D$13</f>
        <v>27836.1827968233</v>
      </c>
      <c r="U131" s="37" t="n">
        <f aca="false">U130*(1-Annahmen!$B$27)+U$21*$E$13*Annahmen!$B$21*Annahmen!$B$24*Annahmen!$B$15*$D$13</f>
        <v>31117.054386455</v>
      </c>
      <c r="V131" s="37" t="n">
        <f aca="false">V130*(1-Annahmen!$B$27)+V$21*$E$13*Annahmen!$B$21*Annahmen!$B$24*Annahmen!$B$15*$D$13</f>
        <v>34092.1936329675</v>
      </c>
      <c r="W131" s="37" t="n">
        <f aca="false">W130*(1-Annahmen!$B$27)+W$21*$E$13*Annahmen!$B$21*Annahmen!$B$24*Annahmen!$B$15*$D$13</f>
        <v>37011.1639024905</v>
      </c>
      <c r="X131" s="37" t="n">
        <f aca="false">X130*(1-Annahmen!$B$27)+X$21*$E$13*Annahmen!$B$21*Annahmen!$B$24*Annahmen!$B$15*$D$13</f>
        <v>40713.1685187243</v>
      </c>
      <c r="Y131" s="37" t="n">
        <f aca="false">Y130*(1-Annahmen!$B$27)+Y$21*$E$13*Annahmen!$B$21*Annahmen!$B$24*Annahmen!$B$15*$D$13</f>
        <v>44101.6418318696</v>
      </c>
      <c r="Z131" s="37" t="n">
        <f aca="false">Z130*(1-Annahmen!$B$27)+Z$21*$E$13*Annahmen!$B$21*Annahmen!$B$24*Annahmen!$B$15*$D$13</f>
        <v>47426.3084935808</v>
      </c>
      <c r="AA131" s="37" t="n">
        <f aca="false">AA130*(1-Annahmen!$B$27)+AA$21*$E$13*Annahmen!$B$21*Annahmen!$B$24*Annahmen!$B$15*$D$13</f>
        <v>51107.5194199744</v>
      </c>
      <c r="AB131" s="37" t="n">
        <f aca="false">AB130*(1-Annahmen!$B$27)+AB$21*$E$13*Annahmen!$B$21*Annahmen!$B$24*Annahmen!$B$15*$D$13</f>
        <v>54597.7237667418</v>
      </c>
      <c r="AC131" s="37" t="n">
        <f aca="false">AC130*(1-Annahmen!$B$27)+AC$21*$E$13*Annahmen!$B$21*Annahmen!$B$24*Annahmen!$B$15*$D$13</f>
        <v>58022.4989956877</v>
      </c>
      <c r="AD131" s="37" t="n">
        <f aca="false">AD130*(1-Annahmen!$B$27)+AD$21*$E$13*Annahmen!$B$21*Annahmen!$B$24*Annahmen!$B$15*$D$13</f>
        <v>62011.729294029</v>
      </c>
      <c r="AE131" s="37" t="n">
        <f aca="false">AE130*(1-Annahmen!$B$27)+AE$21*$E$13*Annahmen!$B$21*Annahmen!$B$24*Annahmen!$B$15*$D$13</f>
        <v>65743.4611529455</v>
      </c>
      <c r="AF131" s="37" t="n">
        <f aca="false">AF130*(1-Annahmen!$B$27)+AF$21*$E$13*Annahmen!$B$21*Annahmen!$B$24*Annahmen!$B$15*$D$13</f>
        <v>69405.4480934247</v>
      </c>
      <c r="AG131" s="37" t="n">
        <f aca="false">AG130*(1-Annahmen!$B$27)+AG$21*$E$13*Annahmen!$B$21*Annahmen!$B$24*Annahmen!$B$15*$D$13</f>
        <v>73627.6604161229</v>
      </c>
      <c r="AH131" s="37" t="n">
        <f aca="false">AH130*(1-Annahmen!$B$27)+AH$21*$E$13*Annahmen!$B$21*Annahmen!$B$24*Annahmen!$B$15*$D$13</f>
        <v>77588.2288265884</v>
      </c>
      <c r="AI131" s="37" t="n">
        <f aca="false">AI130*(1-Annahmen!$B$27)+AI$21*$E$13*Annahmen!$B$21*Annahmen!$B$24*Annahmen!$B$15*$D$13</f>
        <v>81474.989206587</v>
      </c>
      <c r="AJ131" s="37" t="n">
        <f aca="false">AJ130*(1-Annahmen!$B$27)+AJ$21*$E$13*Annahmen!$B$21*Annahmen!$B$24*Annahmen!$B$15*$D$13</f>
        <v>86127.4974182816</v>
      </c>
      <c r="AK131" s="37" t="n">
        <f aca="false">AK130*(1-Annahmen!$B$27)+AK$21*$E$13*Annahmen!$B$21*Annahmen!$B$24*Annahmen!$B$15*$D$13</f>
        <v>90449.5325647251</v>
      </c>
      <c r="AL131" s="37" t="n">
        <f aca="false">AL130*(1-Annahmen!$B$27)+AL$21*$E$13*Annahmen!$B$21*Annahmen!$B$24*Annahmen!$B$15*$D$13</f>
        <v>94691.1564514765</v>
      </c>
      <c r="AM131" s="37" t="n">
        <f aca="false">AM130*(1-Annahmen!$B$27)+AM$21*$E$13*Annahmen!$B$21*Annahmen!$B$24*Annahmen!$B$15*$D$13</f>
        <v>99901.5647615034</v>
      </c>
      <c r="AN131" s="37" t="n">
        <f aca="false">AN130*(1-Annahmen!$B$27)+AN$21*$E$13*Annahmen!$B$21*Annahmen!$B$24*Annahmen!$B$15*$D$13</f>
        <v>104710.237983788</v>
      </c>
      <c r="AO131" s="37" t="n">
        <f aca="false">AO130*(1-Annahmen!$B$27)+AO$21*$E$13*Annahmen!$B$21*Annahmen!$B$24*Annahmen!$B$15*$D$13</f>
        <v>109429.515597206</v>
      </c>
      <c r="AP131" s="37" t="n">
        <f aca="false">AP130*(1-Annahmen!$B$27)+AP$21*$E$13*Annahmen!$B$21*Annahmen!$B$24*Annahmen!$B$15*$D$13</f>
        <v>114061.253587277</v>
      </c>
      <c r="AQ131" s="37" t="n">
        <f aca="false">AQ130*(1-Annahmen!$B$27)+AQ$21*$E$13*Annahmen!$B$21*Annahmen!$B$24*Annahmen!$B$15*$D$13</f>
        <v>118607.265520699</v>
      </c>
      <c r="AR131" s="37" t="n">
        <f aca="false">AR130*(1-Annahmen!$B$27)+AR$21*$E$13*Annahmen!$B$21*Annahmen!$B$24*Annahmen!$B$15*$D$13</f>
        <v>123069.323591788</v>
      </c>
      <c r="AS131" s="37" t="n">
        <f aca="false">AS130*(1-Annahmen!$B$27)+AS$21*$E$13*Annahmen!$B$21*Annahmen!$B$24*Annahmen!$B$15*$D$13</f>
        <v>127449.159641563</v>
      </c>
      <c r="AT131" s="37" t="n">
        <f aca="false">AT130*(1-Annahmen!$B$27)+AT$21*$E$13*Annahmen!$B$21*Annahmen!$B$24*Annahmen!$B$15*$D$13</f>
        <v>131748.466150251</v>
      </c>
      <c r="AU131" s="37" t="n">
        <f aca="false">AU130*(1-Annahmen!$B$27)+AU$21*$E$13*Annahmen!$B$21*Annahmen!$B$24*Annahmen!$B$15*$D$13</f>
        <v>135968.897203912</v>
      </c>
      <c r="AV131" s="37" t="n">
        <f aca="false">AV130*(1-Annahmen!$B$27)+AV$21*$E$13*Annahmen!$B$21*Annahmen!$B$24*Annahmen!$B$15*$D$13</f>
        <v>140112.069435899</v>
      </c>
      <c r="AW131" s="37" t="n">
        <f aca="false">AW130*(1-Annahmen!$B$27)+AW$21*$E$13*Annahmen!$B$21*Annahmen!$B$24*Annahmen!$B$15*$D$13</f>
        <v>144179.562943839</v>
      </c>
      <c r="AX131" s="37" t="n">
        <f aca="false">AX130*(1-Annahmen!$B$27)+AX$21*$E$13*Annahmen!$B$21*Annahmen!$B$24*Annahmen!$B$15*$D$13</f>
        <v>148172.922182785</v>
      </c>
      <c r="AY131" s="37" t="n">
        <f aca="false">AY130*(1-Annahmen!$B$27)+AY$21*$E$13*Annahmen!$B$21*Annahmen!$B$24*Annahmen!$B$15*$D$13</f>
        <v>154188.706935207</v>
      </c>
      <c r="AZ131" s="37" t="n">
        <f aca="false">AZ130*(1-Annahmen!$B$27)+AZ$21*$E$13*Annahmen!$B$21*Annahmen!$B$24*Annahmen!$B$15*$D$13</f>
        <v>159484.089079233</v>
      </c>
      <c r="BA131" s="37" t="n">
        <f aca="false">BA130*(1-Annahmen!$B$27)+BA$21*$E$13*Annahmen!$B$21*Annahmen!$B$24*Annahmen!$B$15*$D$13</f>
        <v>164681.999896162</v>
      </c>
      <c r="BB131" s="37" t="n">
        <f aca="false">BB130*(1-Annahmen!$B$27)+BB$21*$E$13*Annahmen!$B$21*Annahmen!$B$24*Annahmen!$B$15*$D$13</f>
        <v>169784.444071669</v>
      </c>
      <c r="BC131" s="37" t="n">
        <f aca="false">BC130*(1-Annahmen!$B$27)+BC$21*$E$13*Annahmen!$B$21*Annahmen!$B$24*Annahmen!$B$15*$D$13</f>
        <v>174793.380839759</v>
      </c>
      <c r="BD131" s="37" t="n">
        <f aca="false">BD130*(1-Annahmen!$B$27)+BD$21*$E$13*Annahmen!$B$21*Annahmen!$B$24*Annahmen!$B$15*$D$13</f>
        <v>179710.72509694</v>
      </c>
      <c r="BE131" s="37" t="n">
        <f aca="false">BE130*(1-Annahmen!$B$27)+BE$21*$E$13*Annahmen!$B$21*Annahmen!$B$24*Annahmen!$B$15*$D$13</f>
        <v>184538.348487427</v>
      </c>
      <c r="BF131" s="37" t="n">
        <f aca="false">BF130*(1-Annahmen!$B$27)+BF$21*$E$13*Annahmen!$B$21*Annahmen!$B$24*Annahmen!$B$15*$D$13</f>
        <v>189278.080460162</v>
      </c>
      <c r="BG131" s="37" t="n">
        <f aca="false">BG130*(1-Annahmen!$B$27)+BG$21*$E$13*Annahmen!$B$21*Annahmen!$B$24*Annahmen!$B$15*$D$13</f>
        <v>193931.709298416</v>
      </c>
      <c r="BH131" s="37" t="n">
        <f aca="false">BH130*(1-Annahmen!$B$27)+BH$21*$E$13*Annahmen!$B$21*Annahmen!$B$24*Annahmen!$B$15*$D$13</f>
        <v>198500.983122706</v>
      </c>
      <c r="BI131" s="37" t="n">
        <f aca="false">BI130*(1-Annahmen!$B$27)+BI$21*$E$13*Annahmen!$B$21*Annahmen!$B$24*Annahmen!$B$15*$D$13</f>
        <v>202987.610867773</v>
      </c>
      <c r="BJ131" s="37" t="n">
        <f aca="false">BJ130*(1-Annahmen!$B$27)+BJ$21*$E$13*Annahmen!$B$21*Annahmen!$B$24*Annahmen!$B$15*$D$13</f>
        <v>207393.263234289</v>
      </c>
    </row>
    <row r="132" customFormat="false" ht="15" hidden="false" customHeight="false" outlineLevel="0" collapsed="false">
      <c r="B132" s="5" t="s">
        <v>239</v>
      </c>
      <c r="C132" s="37" t="n">
        <f aca="false">C125*Annahmen!$B$52+C126*Annahmen!$B$53+C127*Annahmen!$B$54+C131*Annahmen!$B$55+C129*Annahmen!$B$56+C131*INDEX(Annahmen!$B$58:$F$58,1,C$20)*Annahmen!$B$57+C$21*$E$13*Annahmen!$B$21*Annahmen!$B$24*Annahmen!$B$59</f>
        <v>42.081654304</v>
      </c>
      <c r="D132" s="37" t="n">
        <f aca="false">D125*Annahmen!$B$52+D126*Annahmen!$B$53+D127*Annahmen!$B$54+D131*Annahmen!$B$55+D129*Annahmen!$B$56+D131*INDEX(Annahmen!$B$58:$F$58,1,D$20)*Annahmen!$B$57+D$21*$E$13*Annahmen!$B$21*Annahmen!$B$24*Annahmen!$B$59</f>
        <v>53.318925365952</v>
      </c>
      <c r="E132" s="37" t="n">
        <f aca="false">E125*Annahmen!$B$52+E126*Annahmen!$B$53+E127*Annahmen!$B$54+E131*Annahmen!$B$55+E129*Annahmen!$B$56+E131*INDEX(Annahmen!$B$58:$F$58,1,E$20)*Annahmen!$B$57+E$21*$E$13*Annahmen!$B$21*Annahmen!$B$24*Annahmen!$B$59</f>
        <v>64.3329028673686</v>
      </c>
      <c r="F132" s="37" t="n">
        <f aca="false">F125*Annahmen!$B$52+F126*Annahmen!$B$53+F127*Annahmen!$B$54+F131*Annahmen!$B$55+F129*Annahmen!$B$56+F131*INDEX(Annahmen!$B$58:$F$58,1,F$20)*Annahmen!$B$57+F$21*$E$13*Annahmen!$B$21*Annahmen!$B$24*Annahmen!$B$59</f>
        <v>102.425653892832</v>
      </c>
      <c r="G132" s="37" t="n">
        <f aca="false">G125*Annahmen!$B$52+G126*Annahmen!$B$53+G127*Annahmen!$B$54+G131*Annahmen!$B$55+G129*Annahmen!$B$56+G131*INDEX(Annahmen!$B$58:$F$58,1,G$20)*Annahmen!$B$57+G$21*$E$13*Annahmen!$B$21*Annahmen!$B$24*Annahmen!$B$59</f>
        <v>124.539701716401</v>
      </c>
      <c r="H132" s="37" t="n">
        <f aca="false">H125*Annahmen!$B$52+H126*Annahmen!$B$53+H127*Annahmen!$B$54+H131*Annahmen!$B$55+H129*Annahmen!$B$56+H131*INDEX(Annahmen!$B$58:$F$58,1,H$20)*Annahmen!$B$57+H$21*$E$13*Annahmen!$B$21*Annahmen!$B$24*Annahmen!$B$59</f>
        <v>146.215101526085</v>
      </c>
      <c r="I132" s="37" t="n">
        <f aca="false">I125*Annahmen!$B$52+I126*Annahmen!$B$53+I127*Annahmen!$B$54+I131*Annahmen!$B$55+I129*Annahmen!$B$56+I131*INDEX(Annahmen!$B$58:$F$58,1,I$20)*Annahmen!$B$57+I$21*$E$13*Annahmen!$B$21*Annahmen!$B$24*Annahmen!$B$59</f>
        <v>194.758676130678</v>
      </c>
      <c r="J132" s="37" t="n">
        <f aca="false">J125*Annahmen!$B$52+J126*Annahmen!$B$53+J127*Annahmen!$B$54+J131*Annahmen!$B$55+J129*Annahmen!$B$56+J131*INDEX(Annahmen!$B$58:$F$58,1,J$20)*Annahmen!$B$57+J$21*$E$13*Annahmen!$B$21*Annahmen!$B$24*Annahmen!$B$59</f>
        <v>227.117589786098</v>
      </c>
      <c r="K132" s="37" t="n">
        <f aca="false">K125*Annahmen!$B$52+K126*Annahmen!$B$53+K127*Annahmen!$B$54+K131*Annahmen!$B$55+K129*Annahmen!$B$56+K131*INDEX(Annahmen!$B$58:$F$58,1,K$20)*Annahmen!$B$57+K$21*$E$13*Annahmen!$B$21*Annahmen!$B$24*Annahmen!$B$59</f>
        <v>258.836426877576</v>
      </c>
      <c r="L132" s="37" t="n">
        <f aca="false">L125*Annahmen!$B$52+L126*Annahmen!$B$53+L127*Annahmen!$B$54+L131*Annahmen!$B$55+L129*Annahmen!$B$56+L131*INDEX(Annahmen!$B$58:$F$58,1,L$20)*Annahmen!$B$57+L$21*$E$13*Annahmen!$B$21*Annahmen!$B$24*Annahmen!$B$59</f>
        <v>317.226430504265</v>
      </c>
      <c r="M132" s="37" t="n">
        <f aca="false">M125*Annahmen!$B$52+M126*Annahmen!$B$53+M127*Annahmen!$B$54+M131*Annahmen!$B$55+M129*Annahmen!$B$56+M131*INDEX(Annahmen!$B$58:$F$58,1,M$20)*Annahmen!$B$57+M$21*$E$13*Annahmen!$B$21*Annahmen!$B$24*Annahmen!$B$59</f>
        <v>359.239079105668</v>
      </c>
      <c r="N132" s="37" t="n">
        <f aca="false">N125*Annahmen!$B$52+N126*Annahmen!$B$53+N127*Annahmen!$B$54+N131*Annahmen!$B$55+N129*Annahmen!$B$56+N131*INDEX(Annahmen!$B$58:$F$58,1,N$20)*Annahmen!$B$57+N$21*$E$13*Annahmen!$B$21*Annahmen!$B$24*Annahmen!$B$59</f>
        <v>400.423167868378</v>
      </c>
      <c r="O132" s="37" t="n">
        <f aca="false">O125*Annahmen!$B$52+O126*Annahmen!$B$53+O127*Annahmen!$B$54+O131*Annahmen!$B$55+O129*Annahmen!$B$56+O131*INDEX(Annahmen!$B$58:$F$58,1,O$20)*Annahmen!$B$57+O$21*$E$13*Annahmen!$B$21*Annahmen!$B$24*Annahmen!$B$59</f>
        <v>873.742657995833</v>
      </c>
      <c r="P132" s="37" t="n">
        <f aca="false">P125*Annahmen!$B$52+P126*Annahmen!$B$53+P127*Annahmen!$B$54+P131*Annahmen!$B$55+P129*Annahmen!$B$56+P131*INDEX(Annahmen!$B$58:$F$58,1,P$20)*Annahmen!$B$57+P$21*$E$13*Annahmen!$B$21*Annahmen!$B$24*Annahmen!$B$59</f>
        <v>980.580477180205</v>
      </c>
      <c r="Q132" s="37" t="n">
        <f aca="false">Q125*Annahmen!$B$52+Q126*Annahmen!$B$53+Q127*Annahmen!$B$54+Q131*Annahmen!$B$55+Q129*Annahmen!$B$56+Q131*INDEX(Annahmen!$B$58:$F$58,1,Q$20)*Annahmen!$B$57+Q$21*$E$13*Annahmen!$B$21*Annahmen!$B$24*Annahmen!$B$59</f>
        <v>1085.35237264633</v>
      </c>
      <c r="R132" s="37" t="n">
        <f aca="false">R125*Annahmen!$B$52+R126*Annahmen!$B$53+R127*Annahmen!$B$54+R131*Annahmen!$B$55+R129*Annahmen!$B$56+R131*INDEX(Annahmen!$B$58:$F$58,1,R$20)*Annahmen!$B$57+R$21*$E$13*Annahmen!$B$21*Annahmen!$B$24*Annahmen!$B$59</f>
        <v>1245.4495955089</v>
      </c>
      <c r="S132" s="37" t="n">
        <f aca="false">S125*Annahmen!$B$52+S126*Annahmen!$B$53+S127*Annahmen!$B$54+S131*Annahmen!$B$55+S129*Annahmen!$B$56+S131*INDEX(Annahmen!$B$58:$F$58,1,S$20)*Annahmen!$B$57+S$21*$E$13*Annahmen!$B$21*Annahmen!$B$24*Annahmen!$B$59</f>
        <v>1376.05623686605</v>
      </c>
      <c r="T132" s="37" t="n">
        <f aca="false">T125*Annahmen!$B$52+T126*Annahmen!$B$53+T127*Annahmen!$B$54+T131*Annahmen!$B$55+T129*Annahmen!$B$56+T131*INDEX(Annahmen!$B$58:$F$58,1,T$20)*Annahmen!$B$57+T$21*$E$13*Annahmen!$B$21*Annahmen!$B$24*Annahmen!$B$59</f>
        <v>1504.14348288927</v>
      </c>
      <c r="U132" s="37" t="n">
        <f aca="false">U125*Annahmen!$B$52+U126*Annahmen!$B$53+U127*Annahmen!$B$54+U131*Annahmen!$B$55+U129*Annahmen!$B$56+U131*INDEX(Annahmen!$B$58:$F$58,1,U$20)*Annahmen!$B$57+U$21*$E$13*Annahmen!$B$21*Annahmen!$B$24*Annahmen!$B$59</f>
        <v>1687.11225077043</v>
      </c>
      <c r="V132" s="37" t="n">
        <f aca="false">V125*Annahmen!$B$52+V126*Annahmen!$B$53+V127*Annahmen!$B$54+V131*Annahmen!$B$55+V129*Annahmen!$B$56+V131*INDEX(Annahmen!$B$58:$F$58,1,V$20)*Annahmen!$B$57+V$21*$E$13*Annahmen!$B$21*Annahmen!$B$24*Annahmen!$B$59</f>
        <v>1840.15607141852</v>
      </c>
      <c r="W132" s="37" t="n">
        <f aca="false">W125*Annahmen!$B$52+W126*Annahmen!$B$53+W127*Annahmen!$B$54+W131*Annahmen!$B$55+W129*Annahmen!$B$56+W131*INDEX(Annahmen!$B$58:$F$58,1,W$20)*Annahmen!$B$57+W$21*$E$13*Annahmen!$B$21*Annahmen!$B$24*Annahmen!$B$59</f>
        <v>1990.25535024367</v>
      </c>
      <c r="X132" s="37" t="n">
        <f aca="false">X125*Annahmen!$B$52+X126*Annahmen!$B$53+X127*Annahmen!$B$54+X131*Annahmen!$B$55+X129*Annahmen!$B$56+X131*INDEX(Annahmen!$B$58:$F$58,1,X$20)*Annahmen!$B$57+X$21*$E$13*Annahmen!$B$21*Annahmen!$B$24*Annahmen!$B$59</f>
        <v>2194.82000864742</v>
      </c>
      <c r="Y132" s="37" t="n">
        <f aca="false">Y125*Annahmen!$B$52+Y126*Annahmen!$B$53+Y127*Annahmen!$B$54+Y131*Annahmen!$B$55+Y129*Annahmen!$B$56+Y131*INDEX(Annahmen!$B$58:$F$58,1,Y$20)*Annahmen!$B$57+Y$21*$E$13*Annahmen!$B$21*Annahmen!$B$24*Annahmen!$B$59</f>
        <v>2369.05237211545</v>
      </c>
      <c r="Z132" s="37" t="n">
        <f aca="false">Z125*Annahmen!$B$52+Z126*Annahmen!$B$53+Z127*Annahmen!$B$54+Z131*Annahmen!$B$55+Z129*Annahmen!$B$56+Z131*INDEX(Annahmen!$B$58:$F$58,1,Z$20)*Annahmen!$B$57+Z$21*$E$13*Annahmen!$B$21*Annahmen!$B$24*Annahmen!$B$59</f>
        <v>2539.94143625499</v>
      </c>
      <c r="AA132" s="37" t="n">
        <f aca="false">AA125*Annahmen!$B$52+AA126*Annahmen!$B$53+AA127*Annahmen!$B$54+AA131*Annahmen!$B$55+AA129*Annahmen!$B$56+AA131*INDEX(Annahmen!$B$58:$F$58,1,AA$20)*Annahmen!$B$57+AA$21*$E$13*Annahmen!$B$21*Annahmen!$B$24*Annahmen!$B$59</f>
        <v>4013.92016823861</v>
      </c>
      <c r="AB132" s="37" t="n">
        <f aca="false">AB125*Annahmen!$B$52+AB126*Annahmen!$B$53+AB127*Annahmen!$B$54+AB131*Annahmen!$B$55+AB129*Annahmen!$B$56+AB131*INDEX(Annahmen!$B$58:$F$58,1,AB$20)*Annahmen!$B$57+AB$21*$E$13*Annahmen!$B$21*Annahmen!$B$24*Annahmen!$B$59</f>
        <v>4280.50794987059</v>
      </c>
      <c r="AC132" s="37" t="n">
        <f aca="false">AC125*Annahmen!$B$52+AC126*Annahmen!$B$53+AC127*Annahmen!$B$54+AC131*Annahmen!$B$55+AC129*Annahmen!$B$56+AC131*INDEX(Annahmen!$B$58:$F$58,1,AC$20)*Annahmen!$B$57+AC$21*$E$13*Annahmen!$B$21*Annahmen!$B$24*Annahmen!$B$59</f>
        <v>4542.03459334902</v>
      </c>
      <c r="AD132" s="37" t="n">
        <f aca="false">AD125*Annahmen!$B$52+AD126*Annahmen!$B$53+AD127*Annahmen!$B$54+AD131*Annahmen!$B$55+AD129*Annahmen!$B$56+AD131*INDEX(Annahmen!$B$58:$F$58,1,AD$20)*Annahmen!$B$57+AD$21*$E$13*Annahmen!$B$21*Annahmen!$B$24*Annahmen!$B$59</f>
        <v>4857.33029754978</v>
      </c>
      <c r="AE132" s="37" t="n">
        <f aca="false">AE125*Annahmen!$B$52+AE126*Annahmen!$B$53+AE127*Annahmen!$B$54+AE131*Annahmen!$B$55+AE129*Annahmen!$B$56+AE131*INDEX(Annahmen!$B$58:$F$58,1,AE$20)*Annahmen!$B$57+AE$21*$E$13*Annahmen!$B$21*Annahmen!$B$24*Annahmen!$B$59</f>
        <v>5142.27302716203</v>
      </c>
      <c r="AF132" s="37" t="n">
        <f aca="false">AF125*Annahmen!$B$52+AF126*Annahmen!$B$53+AF127*Annahmen!$B$54+AF131*Annahmen!$B$55+AF129*Annahmen!$B$56+AF131*INDEX(Annahmen!$B$58:$F$58,1,AF$20)*Annahmen!$B$57+AF$21*$E$13*Annahmen!$B$21*Annahmen!$B$24*Annahmen!$B$59</f>
        <v>5421.82284522159</v>
      </c>
      <c r="AG132" s="37" t="n">
        <f aca="false">AG125*Annahmen!$B$52+AG126*Annahmen!$B$53+AG127*Annahmen!$B$54+AG131*Annahmen!$B$55+AG129*Annahmen!$B$56+AG131*INDEX(Annahmen!$B$58:$F$58,1,AG$20)*Annahmen!$B$57+AG$21*$E$13*Annahmen!$B$21*Annahmen!$B$24*Annahmen!$B$59</f>
        <v>5754.81665627795</v>
      </c>
      <c r="AH132" s="37" t="n">
        <f aca="false">AH125*Annahmen!$B$52+AH126*Annahmen!$B$53+AH127*Annahmen!$B$54+AH131*Annahmen!$B$55+AH129*Annahmen!$B$56+AH131*INDEX(Annahmen!$B$58:$F$58,1,AH$20)*Annahmen!$B$57+AH$21*$E$13*Annahmen!$B$21*Annahmen!$B$24*Annahmen!$B$59</f>
        <v>6057.13898091453</v>
      </c>
      <c r="AI132" s="37" t="n">
        <f aca="false">AI125*Annahmen!$B$52+AI126*Annahmen!$B$53+AI127*Annahmen!$B$54+AI131*Annahmen!$B$55+AI129*Annahmen!$B$56+AI131*INDEX(Annahmen!$B$58:$F$58,1,AI$20)*Annahmen!$B$57+AI$21*$E$13*Annahmen!$B$21*Annahmen!$B$24*Annahmen!$B$59</f>
        <v>6353.75629191042</v>
      </c>
      <c r="AJ132" s="37" t="n">
        <f aca="false">AJ125*Annahmen!$B$52+AJ126*Annahmen!$B$53+AJ127*Annahmen!$B$54+AJ131*Annahmen!$B$55+AJ129*Annahmen!$B$56+AJ131*INDEX(Annahmen!$B$58:$F$58,1,AJ$20)*Annahmen!$B$57+AJ$21*$E$13*Annahmen!$B$21*Annahmen!$B$24*Annahmen!$B$59</f>
        <v>6723.08605152211</v>
      </c>
      <c r="AK132" s="37" t="n">
        <f aca="false">AK125*Annahmen!$B$52+AK126*Annahmen!$B$53+AK127*Annahmen!$B$54+AK131*Annahmen!$B$55+AK129*Annahmen!$B$56+AK131*INDEX(Annahmen!$B$58:$F$58,1,AK$20)*Annahmen!$B$57+AK$21*$E$13*Annahmen!$B$21*Annahmen!$B$24*Annahmen!$B$59</f>
        <v>7052.94328758821</v>
      </c>
      <c r="AL132" s="37" t="n">
        <f aca="false">AL125*Annahmen!$B$52+AL126*Annahmen!$B$53+AL127*Annahmen!$B$54+AL131*Annahmen!$B$55+AL129*Annahmen!$B$56+AL131*INDEX(Annahmen!$B$58:$F$58,1,AL$20)*Annahmen!$B$57+AL$21*$E$13*Annahmen!$B$21*Annahmen!$B$24*Annahmen!$B$59</f>
        <v>7376.58635633451</v>
      </c>
      <c r="AM132" s="37" t="n">
        <f aca="false">AM125*Annahmen!$B$52+AM126*Annahmen!$B$53+AM127*Annahmen!$B$54+AM131*Annahmen!$B$55+AM129*Annahmen!$B$56+AM131*INDEX(Annahmen!$B$58:$F$58,1,AM$20)*Annahmen!$B$57+AM$21*$E$13*Annahmen!$B$21*Annahmen!$B$24*Annahmen!$B$59</f>
        <v>9040.78710316216</v>
      </c>
      <c r="AN132" s="37" t="n">
        <f aca="false">AN125*Annahmen!$B$52+AN126*Annahmen!$B$53+AN127*Annahmen!$B$54+AN131*Annahmen!$B$55+AN129*Annahmen!$B$56+AN131*INDEX(Annahmen!$B$58:$F$58,1,AN$20)*Annahmen!$B$57+AN$21*$E$13*Annahmen!$B$21*Annahmen!$B$24*Annahmen!$B$59</f>
        <v>9467.8645241815</v>
      </c>
      <c r="AO132" s="37" t="n">
        <f aca="false">AO125*Annahmen!$B$52+AO126*Annahmen!$B$53+AO127*Annahmen!$B$54+AO131*Annahmen!$B$55+AO129*Annahmen!$B$56+AO131*INDEX(Annahmen!$B$58:$F$58,1,AO$20)*Annahmen!$B$57+AO$21*$E$13*Annahmen!$B$21*Annahmen!$B$24*Annahmen!$B$59</f>
        <v>9886.91662439717</v>
      </c>
      <c r="AP132" s="37" t="n">
        <f aca="false">AP125*Annahmen!$B$52+AP126*Annahmen!$B$53+AP127*Annahmen!$B$54+AP131*Annahmen!$B$55+AP129*Annahmen!$B$56+AP131*INDEX(Annahmen!$B$58:$F$58,1,AP$20)*Annahmen!$B$57+AP$21*$E$13*Annahmen!$B$21*Annahmen!$B$24*Annahmen!$B$59</f>
        <v>10298.1119397882</v>
      </c>
      <c r="AQ132" s="37" t="n">
        <f aca="false">AQ125*Annahmen!$B$52+AQ126*Annahmen!$B$53+AQ127*Annahmen!$B$54+AQ131*Annahmen!$B$55+AQ129*Annahmen!$B$56+AQ131*INDEX(Annahmen!$B$58:$F$58,1,AQ$20)*Annahmen!$B$57+AQ$21*$E$13*Annahmen!$B$21*Annahmen!$B$24*Annahmen!$B$59</f>
        <v>10701.6151125306</v>
      </c>
      <c r="AR132" s="37" t="n">
        <f aca="false">AR125*Annahmen!$B$52+AR126*Annahmen!$B$53+AR127*Annahmen!$B$54+AR131*Annahmen!$B$55+AR129*Annahmen!$B$56+AR131*INDEX(Annahmen!$B$58:$F$58,1,AR$20)*Annahmen!$B$57+AR$21*$E$13*Annahmen!$B$21*Annahmen!$B$24*Annahmen!$B$59</f>
        <v>11097.5869879518</v>
      </c>
      <c r="AS132" s="37" t="n">
        <f aca="false">AS125*Annahmen!$B$52+AS126*Annahmen!$B$53+AS127*Annahmen!$B$54+AS131*Annahmen!$B$55+AS129*Annahmen!$B$56+AS131*INDEX(Annahmen!$B$58:$F$58,1,AS$20)*Annahmen!$B$57+AS$21*$E$13*Annahmen!$B$21*Annahmen!$B$24*Annahmen!$B$59</f>
        <v>11486.1847089343</v>
      </c>
      <c r="AT132" s="37" t="n">
        <f aca="false">AT125*Annahmen!$B$52+AT126*Annahmen!$B$53+AT127*Annahmen!$B$54+AT131*Annahmen!$B$55+AT129*Annahmen!$B$56+AT131*INDEX(Annahmen!$B$58:$F$58,1,AT$20)*Annahmen!$B$57+AT$21*$E$13*Annahmen!$B$21*Annahmen!$B$24*Annahmen!$B$59</f>
        <v>11867.5618078353</v>
      </c>
      <c r="AU132" s="37" t="n">
        <f aca="false">AU125*Annahmen!$B$52+AU126*Annahmen!$B$53+AU127*Annahmen!$B$54+AU131*Annahmen!$B$55+AU129*Annahmen!$B$56+AU131*INDEX(Annahmen!$B$58:$F$58,1,AU$20)*Annahmen!$B$57+AU$21*$E$13*Annahmen!$B$21*Annahmen!$B$24*Annahmen!$B$59</f>
        <v>12241.8682959942</v>
      </c>
      <c r="AV132" s="37" t="n">
        <f aca="false">AV125*Annahmen!$B$52+AV126*Annahmen!$B$53+AV127*Annahmen!$B$54+AV131*Annahmen!$B$55+AV129*Annahmen!$B$56+AV131*INDEX(Annahmen!$B$58:$F$58,1,AV$20)*Annahmen!$B$57+AV$21*$E$13*Annahmen!$B$21*Annahmen!$B$24*Annahmen!$B$59</f>
        <v>12609.2507508899</v>
      </c>
      <c r="AW132" s="37" t="n">
        <f aca="false">AW125*Annahmen!$B$52+AW126*Annahmen!$B$53+AW127*Annahmen!$B$54+AW131*Annahmen!$B$55+AW129*Annahmen!$B$56+AW131*INDEX(Annahmen!$B$58:$F$58,1,AW$20)*Annahmen!$B$57+AW$21*$E$13*Annahmen!$B$21*Annahmen!$B$24*Annahmen!$B$59</f>
        <v>12969.8524010155</v>
      </c>
      <c r="AX132" s="37" t="n">
        <f aca="false">AX125*Annahmen!$B$52+AX126*Annahmen!$B$53+AX127*Annahmen!$B$54+AX131*Annahmen!$B$55+AX129*Annahmen!$B$56+AX131*INDEX(Annahmen!$B$58:$F$58,1,AX$20)*Annahmen!$B$57+AX$21*$E$13*Annahmen!$B$21*Annahmen!$B$24*Annahmen!$B$59</f>
        <v>13323.8132085307</v>
      </c>
      <c r="AY132" s="37" t="n">
        <f aca="false">AY125*Annahmen!$B$52+AY126*Annahmen!$B$53+AY127*Annahmen!$B$54+AY131*Annahmen!$B$55+AY129*Annahmen!$B$56+AY131*INDEX(Annahmen!$B$58:$F$58,1,AY$20)*Annahmen!$B$57+AY$21*$E$13*Annahmen!$B$21*Annahmen!$B$24*Annahmen!$B$59</f>
        <v>15820.5598184935</v>
      </c>
      <c r="AZ132" s="37" t="n">
        <f aca="false">AZ125*Annahmen!$B$52+AZ126*Annahmen!$B$53+AZ127*Annahmen!$B$54+AZ131*Annahmen!$B$55+AZ129*Annahmen!$B$56+AZ131*INDEX(Annahmen!$B$58:$F$58,1,AZ$20)*Annahmen!$B$57+AZ$21*$E$13*Annahmen!$B$21*Annahmen!$B$24*Annahmen!$B$59</f>
        <v>16356.6404977059</v>
      </c>
      <c r="BA132" s="37" t="n">
        <f aca="false">BA125*Annahmen!$B$52+BA126*Annahmen!$B$53+BA127*Annahmen!$B$54+BA131*Annahmen!$B$55+BA129*Annahmen!$B$56+BA131*INDEX(Annahmen!$B$58:$F$58,1,BA$20)*Annahmen!$B$57+BA$21*$E$13*Annahmen!$B$21*Annahmen!$B$24*Annahmen!$B$59</f>
        <v>16882.761573115</v>
      </c>
      <c r="BB132" s="37" t="n">
        <f aca="false">BB125*Annahmen!$B$52+BB126*Annahmen!$B$53+BB127*Annahmen!$B$54+BB131*Annahmen!$B$55+BB129*Annahmen!$B$56+BB131*INDEX(Annahmen!$B$58:$F$58,1,BB$20)*Annahmen!$B$57+BB$21*$E$13*Annahmen!$B$21*Annahmen!$B$24*Annahmen!$B$59</f>
        <v>17399.1299479054</v>
      </c>
      <c r="BC132" s="37" t="n">
        <f aca="false">BC125*Annahmen!$B$52+BC126*Annahmen!$B$53+BC127*Annahmen!$B$54+BC131*Annahmen!$B$55+BC129*Annahmen!$B$56+BC131*INDEX(Annahmen!$B$58:$F$58,1,BC$20)*Annahmen!$B$57+BC$21*$E$13*Annahmen!$B$21*Annahmen!$B$24*Annahmen!$B$59</f>
        <v>17905.947789008</v>
      </c>
      <c r="BD132" s="37" t="n">
        <f aca="false">BD125*Annahmen!$B$52+BD126*Annahmen!$B$53+BD127*Annahmen!$B$54+BD131*Annahmen!$B$55+BD129*Annahmen!$B$56+BD131*INDEX(Annahmen!$B$58:$F$58,1,BD$20)*Annahmen!$B$57+BD$21*$E$13*Annahmen!$B$21*Annahmen!$B$24*Annahmen!$B$59</f>
        <v>18403.412644173</v>
      </c>
      <c r="BE132" s="37" t="n">
        <f aca="false">BE125*Annahmen!$B$52+BE126*Annahmen!$B$53+BE127*Annahmen!$B$54+BE131*Annahmen!$B$55+BE129*Annahmen!$B$56+BE131*INDEX(Annahmen!$B$58:$F$58,1,BE$20)*Annahmen!$B$57+BE$21*$E$13*Annahmen!$B$21*Annahmen!$B$24*Annahmen!$B$59</f>
        <v>18891.7175559783</v>
      </c>
      <c r="BF132" s="37" t="n">
        <f aca="false">BF125*Annahmen!$B$52+BF126*Annahmen!$B$53+BF127*Annahmen!$B$54+BF131*Annahmen!$B$55+BF129*Annahmen!$B$56+BF131*INDEX(Annahmen!$B$58:$F$58,1,BF$20)*Annahmen!$B$57+BF$21*$E$13*Annahmen!$B$21*Annahmen!$B$24*Annahmen!$B$59</f>
        <v>19371.0511728564</v>
      </c>
      <c r="BG132" s="37" t="n">
        <f aca="false">BG125*Annahmen!$B$52+BG126*Annahmen!$B$53+BG127*Annahmen!$B$54+BG131*Annahmen!$B$55+BG129*Annahmen!$B$56+BG131*INDEX(Annahmen!$B$58:$F$58,1,BG$20)*Annahmen!$B$57+BG$21*$E$13*Annahmen!$B$21*Annahmen!$B$24*Annahmen!$B$59</f>
        <v>19841.5978572222</v>
      </c>
      <c r="BH132" s="37" t="n">
        <f aca="false">BH125*Annahmen!$B$52+BH126*Annahmen!$B$53+BH127*Annahmen!$B$54+BH131*Annahmen!$B$55+BH129*Annahmen!$B$56+BH131*INDEX(Annahmen!$B$58:$F$58,1,BH$20)*Annahmen!$B$57+BH$21*$E$13*Annahmen!$B$21*Annahmen!$B$24*Annahmen!$B$59</f>
        <v>20303.5377907795</v>
      </c>
      <c r="BI132" s="37" t="n">
        <f aca="false">BI125*Annahmen!$B$52+BI126*Annahmen!$B$53+BI127*Annahmen!$B$54+BI131*Annahmen!$B$55+BI129*Annahmen!$B$56+BI131*INDEX(Annahmen!$B$58:$F$58,1,BI$20)*Annahmen!$B$57+BI$21*$E$13*Annahmen!$B$21*Annahmen!$B$24*Annahmen!$B$59</f>
        <v>20757.0470770834</v>
      </c>
      <c r="BJ132" s="37" t="n">
        <f aca="false">BJ125*Annahmen!$B$52+BJ126*Annahmen!$B$53+BJ127*Annahmen!$B$54+BJ131*Annahmen!$B$55+BJ129*Annahmen!$B$56+BJ131*INDEX(Annahmen!$B$58:$F$58,1,BJ$20)*Annahmen!$B$57+BJ$21*$E$13*Annahmen!$B$21*Annahmen!$B$24*Annahmen!$B$59</f>
        <v>21202.2978414332</v>
      </c>
    </row>
    <row r="133" customFormat="false" ht="15" hidden="false" customHeight="false" outlineLevel="0" collapsed="false">
      <c r="B133" s="5" t="s">
        <v>267</v>
      </c>
      <c r="C133" s="37" t="n">
        <f aca="false">C131-C132-C$22</f>
        <v>-15817.491116304</v>
      </c>
      <c r="D133" s="37" t="n">
        <f aca="false">D131-D132-D$22</f>
        <v>-5605.66839712195</v>
      </c>
      <c r="E133" s="37" t="n">
        <f aca="false">E131-E132-E$22</f>
        <v>-6001.7233451113</v>
      </c>
      <c r="F133" s="37" t="n">
        <f aca="false">F131-F132-F$22</f>
        <v>-13204.2700617046</v>
      </c>
      <c r="G133" s="37" t="n">
        <f aca="false">G131-G132-G$22</f>
        <v>-3393.37334517339</v>
      </c>
      <c r="H133" s="37" t="n">
        <f aca="false">H131-H132-H$22</f>
        <v>-2597.96172003821</v>
      </c>
      <c r="I133" s="37" t="n">
        <f aca="false">I131-I132-I$22</f>
        <v>-7654.48758464833</v>
      </c>
      <c r="J133" s="37" t="n">
        <f aca="false">J131-J132-J$22</f>
        <v>-4666.85780420684</v>
      </c>
      <c r="K133" s="37" t="n">
        <f aca="false">K131-K132-K$22</f>
        <v>-3501.84664571007</v>
      </c>
      <c r="L133" s="37" t="n">
        <f aca="false">L131-L132-L$22</f>
        <v>-12389.755833554</v>
      </c>
      <c r="M133" s="37" t="n">
        <f aca="false">M131-M132-M$22</f>
        <v>-6546.34505301497</v>
      </c>
      <c r="N133" s="37" t="n">
        <f aca="false">N131-N132-N$22</f>
        <v>-5032.2447980067</v>
      </c>
      <c r="O133" s="37" t="n">
        <f aca="false">O131-O132-O$22</f>
        <v>-18406.9999398358</v>
      </c>
      <c r="P133" s="37" t="n">
        <f aca="false">P131-P132-P$22</f>
        <v>-12838.6107772174</v>
      </c>
      <c r="Q133" s="37" t="n">
        <f aca="false">Q131-Q132-Q$22</f>
        <v>-17907.5279244807</v>
      </c>
      <c r="R133" s="37" t="n">
        <f aca="false">R131-R132-R$22</f>
        <v>-8232.28931490134</v>
      </c>
      <c r="S133" s="37" t="n">
        <f aca="false">S131-S132-S$22</f>
        <v>-5824.98667159832</v>
      </c>
      <c r="T133" s="37" t="n">
        <f aca="false">T131-T132-T$22</f>
        <v>-3463.20068606601</v>
      </c>
      <c r="U133" s="37" t="n">
        <f aca="false">U131-U132-U$22</f>
        <v>-365.297864315417</v>
      </c>
      <c r="V133" s="37" t="n">
        <f aca="false">V131-V132-V$22</f>
        <v>2456.79756154901</v>
      </c>
      <c r="W133" s="37" t="n">
        <f aca="false">W131-W132-W$22</f>
        <v>-8774.33144775318</v>
      </c>
      <c r="X133" s="37" t="n">
        <f aca="false">X131-X132-X$22</f>
        <v>-2597.65148992316</v>
      </c>
      <c r="Y133" s="37" t="n">
        <f aca="false">Y131-Y132-Y$22</f>
        <v>5416.58945975413</v>
      </c>
      <c r="Z133" s="37" t="n">
        <f aca="false">Z131-Z132-Z$22</f>
        <v>8570.36705732578</v>
      </c>
      <c r="AA133" s="37" t="n">
        <f aca="false">AA131-AA132-AA$22</f>
        <v>4459.81925173582</v>
      </c>
      <c r="AB133" s="37" t="n">
        <f aca="false">AB131-AB132-AB$22</f>
        <v>7683.43581687118</v>
      </c>
      <c r="AC133" s="37" t="n">
        <f aca="false">AC131-AC132-AC$22</f>
        <v>10846.6844023386</v>
      </c>
      <c r="AD133" s="37" t="n">
        <f aca="false">AD131-AD132-AD$22</f>
        <v>-7197.39920352073</v>
      </c>
      <c r="AE133" s="37" t="n">
        <f aca="false">AE131-AE132-AE$22</f>
        <v>13049.3899257835</v>
      </c>
      <c r="AF133" s="37" t="n">
        <f aca="false">AF131-AF132-AF$22</f>
        <v>16431.8270482031</v>
      </c>
      <c r="AG133" s="37" t="n">
        <f aca="false">AG131-AG132-AG$22</f>
        <v>13346.289559845</v>
      </c>
      <c r="AH133" s="37" t="n">
        <f aca="false">AH131-AH132-AH$22</f>
        <v>18804.5356456739</v>
      </c>
      <c r="AI133" s="37" t="n">
        <f aca="false">AI131-AI132-AI$22</f>
        <v>22394.6787146766</v>
      </c>
      <c r="AJ133" s="37" t="n">
        <f aca="false">AJ131-AJ132-AJ$22</f>
        <v>22677.8571667595</v>
      </c>
      <c r="AK133" s="37" t="n">
        <f aca="false">AK131-AK132-AK$22</f>
        <v>30670.0350771369</v>
      </c>
      <c r="AL133" s="37" t="n">
        <f aca="false">AL131-AL132-AL$22</f>
        <v>34588.015895142</v>
      </c>
      <c r="AM133" s="37" t="n">
        <f aca="false">AM131-AM132-AM$22</f>
        <v>15910.5100003412</v>
      </c>
      <c r="AN133" s="37" t="n">
        <f aca="false">AN131-AN132-AN$22</f>
        <v>23892.1058016066</v>
      </c>
      <c r="AO133" s="37" t="n">
        <f aca="false">AO131-AO132-AO$22</f>
        <v>18192.3313148092</v>
      </c>
      <c r="AP133" s="37" t="n">
        <f aca="false">AP131-AP132-AP$22</f>
        <v>32412.8739894885</v>
      </c>
      <c r="AQ133" s="37" t="n">
        <f aca="false">AQ131-AQ132-AQ$22</f>
        <v>36555.3827501686</v>
      </c>
      <c r="AR133" s="37" t="n">
        <f aca="false">AR131-AR132-AR$22</f>
        <v>40621.4689458357</v>
      </c>
      <c r="AS133" s="37" t="n">
        <f aca="false">AS131-AS132-AS$22</f>
        <v>37748.3485286284</v>
      </c>
      <c r="AT133" s="37" t="n">
        <f aca="false">AT131-AT132-AT$22</f>
        <v>43466.2779384154</v>
      </c>
      <c r="AU133" s="37" t="n">
        <f aca="false">AU131-AU132-AU$22</f>
        <v>29312.4025039175</v>
      </c>
      <c r="AV133" s="37" t="n">
        <f aca="false">AV131-AV132-AV$22</f>
        <v>51088.1922810095</v>
      </c>
      <c r="AW133" s="37" t="n">
        <f aca="false">AW131-AW132-AW$22</f>
        <v>54795.0841388234</v>
      </c>
      <c r="AX133" s="37" t="n">
        <f aca="false">AX131-AX132-AX$22</f>
        <v>58434.482570254</v>
      </c>
      <c r="AY133" s="37" t="n">
        <f aca="false">AY131-AY132-AY$22</f>
        <v>42703.8491678737</v>
      </c>
      <c r="AZ133" s="37" t="n">
        <f aca="false">AZ131-AZ132-AZ$22</f>
        <v>51063.150632687</v>
      </c>
      <c r="BA133" s="37" t="n">
        <f aca="false">BA131-BA132-BA$22</f>
        <v>55734.9403742067</v>
      </c>
      <c r="BB133" s="37" t="n">
        <f aca="false">BB131-BB132-BB$22</f>
        <v>42321.0161749235</v>
      </c>
      <c r="BC133" s="37" t="n">
        <f aca="false">BC131-BC132-BC$22</f>
        <v>64823.1351019109</v>
      </c>
      <c r="BD133" s="37" t="n">
        <f aca="false">BD131-BD132-BD$22</f>
        <v>69243.0145039267</v>
      </c>
      <c r="BE133" s="37" t="n">
        <f aca="false">BE131-BE132-BE$22</f>
        <v>73582.3329826085</v>
      </c>
      <c r="BF133" s="37" t="n">
        <f aca="false">BF131-BF132-BF$22</f>
        <v>77842.7313384659</v>
      </c>
      <c r="BG133" s="37" t="n">
        <f aca="false">BG131-BG132-BG$22</f>
        <v>82025.8134923534</v>
      </c>
      <c r="BH133" s="37" t="n">
        <f aca="false">BH131-BH132-BH$22</f>
        <v>81133.1473830869</v>
      </c>
      <c r="BI133" s="37" t="n">
        <f aca="false">BI131-BI132-BI$22</f>
        <v>90166.2658418496</v>
      </c>
      <c r="BJ133" s="37" t="n">
        <f aca="false">BJ131-BJ132-BJ$22</f>
        <v>94126.6674440158</v>
      </c>
    </row>
    <row r="134" customFormat="false" ht="15" hidden="false" customHeight="false" outlineLevel="0" collapsed="false">
      <c r="B134" s="5" t="s">
        <v>401</v>
      </c>
      <c r="C134" s="37" t="n">
        <f aca="false">0+C133-C$23-C$24</f>
        <v>-16234.1577829707</v>
      </c>
      <c r="D134" s="37" t="n">
        <f aca="false">C134+D133-D$23-D$24</f>
        <v>-22256.4928467593</v>
      </c>
      <c r="E134" s="37" t="n">
        <f aca="false">D134+E133-E$23-E$24</f>
        <v>-28674.8828585373</v>
      </c>
      <c r="F134" s="37" t="n">
        <f aca="false">E134+F133-F$23-F$24</f>
        <v>-42295.8195869085</v>
      </c>
      <c r="G134" s="37" t="n">
        <f aca="false">F134+G133-G$23-G$24</f>
        <v>-46105.8595987486</v>
      </c>
      <c r="H134" s="37" t="n">
        <f aca="false">G134+H133-H$23-H$24</f>
        <v>-49120.4879854535</v>
      </c>
      <c r="I134" s="37" t="n">
        <f aca="false">H134+I133-I$23-I$24</f>
        <v>-57191.6422367685</v>
      </c>
      <c r="J134" s="37" t="n">
        <f aca="false">I134+J133-J$23-J$24</f>
        <v>-62275.166707642</v>
      </c>
      <c r="K134" s="37" t="n">
        <f aca="false">J134+K133-K$23-K$24</f>
        <v>-66193.6800200187</v>
      </c>
      <c r="L134" s="37" t="n">
        <f aca="false">K134+L133-L$23-L$24</f>
        <v>-79000.1025202394</v>
      </c>
      <c r="M134" s="37" t="n">
        <f aca="false">L134+M133-M$23-M$24</f>
        <v>-85963.114239921</v>
      </c>
      <c r="N134" s="37" t="n">
        <f aca="false">M134+N133-N$23-N$24</f>
        <v>-91412.0257045944</v>
      </c>
      <c r="O134" s="37" t="n">
        <f aca="false">N134+O133-O$23-O$24</f>
        <v>-110235.692311097</v>
      </c>
      <c r="P134" s="37" t="n">
        <f aca="false">O134+P133-P$23-P$24</f>
        <v>-123490.969754981</v>
      </c>
      <c r="Q134" s="37" t="n">
        <f aca="false">P134+Q133-Q$23-Q$24</f>
        <v>-141815.164346128</v>
      </c>
      <c r="R134" s="37" t="n">
        <f aca="false">Q134+R133-R$23-R$24</f>
        <v>-150464.120327696</v>
      </c>
      <c r="S134" s="37" t="n">
        <f aca="false">R134+S133-S$23-S$24</f>
        <v>-156705.773665961</v>
      </c>
      <c r="T134" s="37" t="n">
        <f aca="false">S134+T133-T$23-T$24</f>
        <v>-160585.641018694</v>
      </c>
      <c r="U134" s="37" t="n">
        <f aca="false">T134+U133-U$23-U$24</f>
        <v>-161367.605549676</v>
      </c>
      <c r="V134" s="37" t="n">
        <f aca="false">U134+V133-V$23-V$24</f>
        <v>-159327.474654794</v>
      </c>
      <c r="W134" s="37" t="n">
        <f aca="false">V134+W133-W$23-W$24</f>
        <v>-168518.472769214</v>
      </c>
      <c r="X134" s="37" t="n">
        <f aca="false">W134+X133-X$23-X$24</f>
        <v>-171532.790925803</v>
      </c>
      <c r="Y134" s="37" t="n">
        <f aca="false">X134+Y133-Y$23-Y$24</f>
        <v>-166532.868132716</v>
      </c>
      <c r="Z134" s="37" t="n">
        <f aca="false">Y134+Z133-Z$23-Z$24</f>
        <v>-158379.167742057</v>
      </c>
      <c r="AA134" s="37" t="n">
        <f aca="false">Z134+AA133-AA$23-AA$24</f>
        <v>-155638.098490321</v>
      </c>
      <c r="AB134" s="37" t="n">
        <f aca="false">AA134+AB133-AB$23-AB$24</f>
        <v>-149669.072395672</v>
      </c>
      <c r="AC134" s="37" t="n">
        <f aca="false">AB134+AC133-AC$23-AC$24</f>
        <v>-140532.457437778</v>
      </c>
      <c r="AD134" s="37" t="n">
        <f aca="false">AC134+AD133-AD$23-AD$24</f>
        <v>-149435.585807965</v>
      </c>
      <c r="AE134" s="37" t="n">
        <f aca="false">AD134+AE133-AE$23-AE$24</f>
        <v>-138087.584771071</v>
      </c>
      <c r="AF134" s="37" t="n">
        <f aca="false">AE134+AF133-AF$23-AF$24</f>
        <v>-123352.806333979</v>
      </c>
      <c r="AG134" s="37" t="n">
        <f aca="false">AF134+AG133-AG$23-AG$24</f>
        <v>-111699.225107467</v>
      </c>
      <c r="AH134" s="37" t="n">
        <f aca="false">AG134+AH133-AH$23-AH$24</f>
        <v>-94583.0575173486</v>
      </c>
      <c r="AI134" s="37" t="n">
        <f aca="false">AH134+AI133-AI$23-AI$24</f>
        <v>-73872.4065804498</v>
      </c>
      <c r="AJ134" s="37" t="n">
        <f aca="false">AI134+AJ133-AJ$23-AJ$24</f>
        <v>-52874.2369136903</v>
      </c>
      <c r="AK134" s="37" t="n">
        <f aca="false">AJ134+AK133-AK$23-AK$24</f>
        <v>-23879.5490587756</v>
      </c>
      <c r="AL134" s="37" t="n">
        <f aca="false">AK134+AL133-AL$23-AL$24</f>
        <v>9037.4598919219</v>
      </c>
      <c r="AM134" s="37" t="n">
        <f aca="false">AL134+AM133-AM$23-AM$24</f>
        <v>23281.3032255964</v>
      </c>
      <c r="AN134" s="37" t="n">
        <f aca="false">AM134+AN133-AN$23-AN$24</f>
        <v>45511.0826383142</v>
      </c>
      <c r="AO134" s="37" t="n">
        <f aca="false">AN134+AO133-AO$23-AO$24</f>
        <v>62045.4278420123</v>
      </c>
      <c r="AP134" s="37" t="n">
        <f aca="false">AO134+AP133-AP$23-AP$24</f>
        <v>92804.6559981674</v>
      </c>
      <c r="AQ134" s="37" t="n">
        <f aca="false">AP134+AQ133-AQ$23-AQ$24</f>
        <v>127710.73319278</v>
      </c>
      <c r="AR134" s="37" t="n">
        <f aca="false">AQ134+AR133-AR$23-AR$24</f>
        <v>166687.236860838</v>
      </c>
      <c r="AS134" s="37" t="n">
        <f aca="false">AR134+AS133-AS$23-AS$24</f>
        <v>202794.960389467</v>
      </c>
      <c r="AT134" s="37" t="n">
        <f aca="false">AS134+AT133-AT$23-AT$24</f>
        <v>244624.95360566</v>
      </c>
      <c r="AU134" s="37" t="n">
        <f aca="false">AT134+AU133-AU$23-AU$24</f>
        <v>272305.411665133</v>
      </c>
      <c r="AV134" s="37" t="n">
        <f aca="false">AU134+AV133-AV$23-AV$24</f>
        <v>321765.999779476</v>
      </c>
      <c r="AW134" s="37" t="n">
        <f aca="false">AV134+AW133-AW$23-AW$24</f>
        <v>374937.82002941</v>
      </c>
      <c r="AX134" s="37" t="n">
        <f aca="false">AW134+AX133-AX$23-AX$24</f>
        <v>431753.378988553</v>
      </c>
      <c r="AY134" s="37" t="n">
        <f aca="false">AX134+AY133-AY$23-AY$24</f>
        <v>472842.644823094</v>
      </c>
      <c r="AZ134" s="37" t="n">
        <f aca="false">AY134+AZ133-AZ$23-AZ$24</f>
        <v>522295.552400225</v>
      </c>
      <c r="BA134" s="37" t="n">
        <f aca="false">AZ134+BA133-BA$23-BA$24</f>
        <v>576424.589996654</v>
      </c>
      <c r="BB134" s="37" t="n">
        <f aca="false">BA134+BB133-BB$23-BB$24</f>
        <v>617144.043671578</v>
      </c>
      <c r="BC134" s="37" t="n">
        <f aca="false">BB134+BC133-BC$23-BC$24</f>
        <v>680369.956551266</v>
      </c>
      <c r="BD134" s="37" t="n">
        <f aca="false">BC134+BD133-BD$23-BD$24</f>
        <v>748020.089110748</v>
      </c>
      <c r="BE134" s="37" t="n">
        <f aca="false">BD134+BE133-BE$23-BE$24</f>
        <v>820013.88042669</v>
      </c>
      <c r="BF134" s="37" t="n">
        <f aca="false">BE134+BF133-BF$23-BF$24</f>
        <v>896272.410376267</v>
      </c>
      <c r="BG134" s="37" t="n">
        <f aca="false">BF134+BG133-BG$23-BG$24</f>
        <v>976718.36275751</v>
      </c>
      <c r="BH134" s="37" t="n">
        <f aca="false">BG134+BH133-BH$23-BH$24</f>
        <v>1056275.98930726</v>
      </c>
      <c r="BI134" s="37" t="n">
        <f aca="false">BH134+BI133-BI$23-BI$24</f>
        <v>1144871.07459356</v>
      </c>
      <c r="BJ134" s="37" t="n">
        <f aca="false">BI134+BJ133-BJ$23-BJ$24</f>
        <v>1237430.9017598</v>
      </c>
    </row>
    <row r="135" customFormat="false" ht="15" hidden="false" customHeight="false" outlineLevel="0" collapsed="false">
      <c r="B135" s="5" t="s">
        <v>402</v>
      </c>
      <c r="C135" s="38" t="n">
        <f aca="false">IF(C133&gt;=0,C$19,999)</f>
        <v>999</v>
      </c>
      <c r="D135" s="38" t="n">
        <f aca="false">IF(D133&gt;=0,D$19,999)</f>
        <v>999</v>
      </c>
      <c r="E135" s="38" t="n">
        <f aca="false">IF(E133&gt;=0,E$19,999)</f>
        <v>999</v>
      </c>
      <c r="F135" s="38" t="n">
        <f aca="false">IF(F133&gt;=0,F$19,999)</f>
        <v>999</v>
      </c>
      <c r="G135" s="38" t="n">
        <f aca="false">IF(G133&gt;=0,G$19,999)</f>
        <v>999</v>
      </c>
      <c r="H135" s="38" t="n">
        <f aca="false">IF(H133&gt;=0,H$19,999)</f>
        <v>999</v>
      </c>
      <c r="I135" s="38" t="n">
        <f aca="false">IF(I133&gt;=0,I$19,999)</f>
        <v>999</v>
      </c>
      <c r="J135" s="38" t="n">
        <f aca="false">IF(J133&gt;=0,J$19,999)</f>
        <v>999</v>
      </c>
      <c r="K135" s="38" t="n">
        <f aca="false">IF(K133&gt;=0,K$19,999)</f>
        <v>999</v>
      </c>
      <c r="L135" s="38" t="n">
        <f aca="false">IF(L133&gt;=0,L$19,999)</f>
        <v>999</v>
      </c>
      <c r="M135" s="38" t="n">
        <f aca="false">IF(M133&gt;=0,M$19,999)</f>
        <v>999</v>
      </c>
      <c r="N135" s="38" t="n">
        <f aca="false">IF(N133&gt;=0,N$19,999)</f>
        <v>999</v>
      </c>
      <c r="O135" s="38" t="n">
        <f aca="false">IF(O133&gt;=0,O$19,999)</f>
        <v>999</v>
      </c>
      <c r="P135" s="38" t="n">
        <f aca="false">IF(P133&gt;=0,P$19,999)</f>
        <v>999</v>
      </c>
      <c r="Q135" s="38" t="n">
        <f aca="false">IF(Q133&gt;=0,Q$19,999)</f>
        <v>999</v>
      </c>
      <c r="R135" s="38" t="n">
        <f aca="false">IF(R133&gt;=0,R$19,999)</f>
        <v>999</v>
      </c>
      <c r="S135" s="38" t="n">
        <f aca="false">IF(S133&gt;=0,S$19,999)</f>
        <v>999</v>
      </c>
      <c r="T135" s="38" t="n">
        <f aca="false">IF(T133&gt;=0,T$19,999)</f>
        <v>999</v>
      </c>
      <c r="U135" s="38" t="n">
        <f aca="false">IF(U133&gt;=0,U$19,999)</f>
        <v>999</v>
      </c>
      <c r="V135" s="38" t="n">
        <f aca="false">IF(V133&gt;=0,V$19,999)</f>
        <v>20</v>
      </c>
      <c r="W135" s="38" t="n">
        <f aca="false">IF(W133&gt;=0,W$19,999)</f>
        <v>999</v>
      </c>
      <c r="X135" s="38" t="n">
        <f aca="false">IF(X133&gt;=0,X$19,999)</f>
        <v>999</v>
      </c>
      <c r="Y135" s="38" t="n">
        <f aca="false">IF(Y133&gt;=0,Y$19,999)</f>
        <v>23</v>
      </c>
      <c r="Z135" s="38" t="n">
        <f aca="false">IF(Z133&gt;=0,Z$19,999)</f>
        <v>24</v>
      </c>
      <c r="AA135" s="38" t="n">
        <f aca="false">IF(AA133&gt;=0,AA$19,999)</f>
        <v>25</v>
      </c>
      <c r="AB135" s="38" t="n">
        <f aca="false">IF(AB133&gt;=0,AB$19,999)</f>
        <v>26</v>
      </c>
      <c r="AC135" s="38" t="n">
        <f aca="false">IF(AC133&gt;=0,AC$19,999)</f>
        <v>27</v>
      </c>
      <c r="AD135" s="38" t="n">
        <f aca="false">IF(AD133&gt;=0,AD$19,999)</f>
        <v>999</v>
      </c>
      <c r="AE135" s="38" t="n">
        <f aca="false">IF(AE133&gt;=0,AE$19,999)</f>
        <v>29</v>
      </c>
      <c r="AF135" s="38" t="n">
        <f aca="false">IF(AF133&gt;=0,AF$19,999)</f>
        <v>30</v>
      </c>
      <c r="AG135" s="38" t="n">
        <f aca="false">IF(AG133&gt;=0,AG$19,999)</f>
        <v>31</v>
      </c>
      <c r="AH135" s="38" t="n">
        <f aca="false">IF(AH133&gt;=0,AH$19,999)</f>
        <v>32</v>
      </c>
      <c r="AI135" s="38" t="n">
        <f aca="false">IF(AI133&gt;=0,AI$19,999)</f>
        <v>33</v>
      </c>
      <c r="AJ135" s="38" t="n">
        <f aca="false">IF(AJ133&gt;=0,AJ$19,999)</f>
        <v>34</v>
      </c>
      <c r="AK135" s="38" t="n">
        <f aca="false">IF(AK133&gt;=0,AK$19,999)</f>
        <v>35</v>
      </c>
      <c r="AL135" s="38" t="n">
        <f aca="false">IF(AL133&gt;=0,AL$19,999)</f>
        <v>36</v>
      </c>
      <c r="AM135" s="38" t="n">
        <f aca="false">IF(AM133&gt;=0,AM$19,999)</f>
        <v>37</v>
      </c>
      <c r="AN135" s="38" t="n">
        <f aca="false">IF(AN133&gt;=0,AN$19,999)</f>
        <v>38</v>
      </c>
      <c r="AO135" s="38" t="n">
        <f aca="false">IF(AO133&gt;=0,AO$19,999)</f>
        <v>39</v>
      </c>
      <c r="AP135" s="38" t="n">
        <f aca="false">IF(AP133&gt;=0,AP$19,999)</f>
        <v>40</v>
      </c>
      <c r="AQ135" s="38" t="n">
        <f aca="false">IF(AQ133&gt;=0,AQ$19,999)</f>
        <v>41</v>
      </c>
      <c r="AR135" s="38" t="n">
        <f aca="false">IF(AR133&gt;=0,AR$19,999)</f>
        <v>42</v>
      </c>
      <c r="AS135" s="38" t="n">
        <f aca="false">IF(AS133&gt;=0,AS$19,999)</f>
        <v>43</v>
      </c>
      <c r="AT135" s="38" t="n">
        <f aca="false">IF(AT133&gt;=0,AT$19,999)</f>
        <v>44</v>
      </c>
      <c r="AU135" s="38" t="n">
        <f aca="false">IF(AU133&gt;=0,AU$19,999)</f>
        <v>45</v>
      </c>
      <c r="AV135" s="38" t="n">
        <f aca="false">IF(AV133&gt;=0,AV$19,999)</f>
        <v>46</v>
      </c>
      <c r="AW135" s="38" t="n">
        <f aca="false">IF(AW133&gt;=0,AW$19,999)</f>
        <v>47</v>
      </c>
      <c r="AX135" s="38" t="n">
        <f aca="false">IF(AX133&gt;=0,AX$19,999)</f>
        <v>48</v>
      </c>
      <c r="AY135" s="38" t="n">
        <f aca="false">IF(AY133&gt;=0,AY$19,999)</f>
        <v>49</v>
      </c>
      <c r="AZ135" s="38" t="n">
        <f aca="false">IF(AZ133&gt;=0,AZ$19,999)</f>
        <v>50</v>
      </c>
      <c r="BA135" s="38" t="n">
        <f aca="false">IF(BA133&gt;=0,BA$19,999)</f>
        <v>51</v>
      </c>
      <c r="BB135" s="38" t="n">
        <f aca="false">IF(BB133&gt;=0,BB$19,999)</f>
        <v>52</v>
      </c>
      <c r="BC135" s="38" t="n">
        <f aca="false">IF(BC133&gt;=0,BC$19,999)</f>
        <v>53</v>
      </c>
      <c r="BD135" s="38" t="n">
        <f aca="false">IF(BD133&gt;=0,BD$19,999)</f>
        <v>54</v>
      </c>
      <c r="BE135" s="38" t="n">
        <f aca="false">IF(BE133&gt;=0,BE$19,999)</f>
        <v>55</v>
      </c>
      <c r="BF135" s="38" t="n">
        <f aca="false">IF(BF133&gt;=0,BF$19,999)</f>
        <v>56</v>
      </c>
      <c r="BG135" s="38" t="n">
        <f aca="false">IF(BG133&gt;=0,BG$19,999)</f>
        <v>57</v>
      </c>
      <c r="BH135" s="38" t="n">
        <f aca="false">IF(BH133&gt;=0,BH$19,999)</f>
        <v>58</v>
      </c>
      <c r="BI135" s="38" t="n">
        <f aca="false">IF(BI133&gt;=0,BI$19,999)</f>
        <v>59</v>
      </c>
      <c r="BJ135" s="38" t="n">
        <f aca="false">IF(BJ133&gt;=0,BJ$19,999)</f>
        <v>60</v>
      </c>
    </row>
    <row r="136" customFormat="false" ht="15" hidden="false" customHeight="false" outlineLevel="0" collapsed="false">
      <c r="B136" s="19" t="str">
        <f aca="false">"Szenario "&amp;A14&amp;": "&amp;B14</f>
        <v>Szenario 10: Pessimistisch (Churn ×1,5, Preis ×0,9, Wachstum ×0,7)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</row>
    <row r="137" customFormat="false" ht="15" hidden="false" customHeight="false" outlineLevel="0" collapsed="false">
      <c r="B137" s="5" t="s">
        <v>396</v>
      </c>
      <c r="C137" s="41" t="n">
        <f aca="false">Annahmen!$B$7*Annahmen!$B$19*(1-Annahmen!$B$31*$C$14)+C$21*$E$14*Annahmen!$B$19</f>
        <v>3.4375</v>
      </c>
      <c r="D137" s="41" t="n">
        <f aca="false">C137*(1-Annahmen!$B$31*$C$14)+D$21*$E$14*Annahmen!$B$19</f>
        <v>4.3328125</v>
      </c>
      <c r="E137" s="41" t="n">
        <f aca="false">D137*(1-Annahmen!$B$31*$C$14)+E$21*$E$14*Annahmen!$B$19</f>
        <v>5.1878359375</v>
      </c>
      <c r="F137" s="41" t="n">
        <f aca="false">E137*(1-Annahmen!$B$31*$C$14)+F$21*$E$14*Annahmen!$B$19</f>
        <v>7.0543833203125</v>
      </c>
      <c r="G137" s="41" t="n">
        <f aca="false">F137*(1-Annahmen!$B$31*$C$14)+G$21*$E$14*Annahmen!$B$19</f>
        <v>8.83693607089844</v>
      </c>
      <c r="H137" s="41" t="n">
        <f aca="false">G137*(1-Annahmen!$B$31*$C$14)+H$21*$E$14*Annahmen!$B$19</f>
        <v>10.539273947708</v>
      </c>
      <c r="I137" s="41" t="n">
        <f aca="false">H137*(1-Annahmen!$B$31*$C$14)+I$21*$E$14*Annahmen!$B$19</f>
        <v>13.2150066200611</v>
      </c>
      <c r="J137" s="41" t="n">
        <f aca="false">I137*(1-Annahmen!$B$31*$C$14)+J$21*$E$14*Annahmen!$B$19</f>
        <v>15.7703313221584</v>
      </c>
      <c r="K137" s="41" t="n">
        <f aca="false">J137*(1-Annahmen!$B$31*$C$14)+K$21*$E$14*Annahmen!$B$19</f>
        <v>18.2106664126613</v>
      </c>
      <c r="L137" s="41" t="n">
        <f aca="false">K137*(1-Annahmen!$B$31*$C$14)+L$21*$E$14*Annahmen!$B$19</f>
        <v>21.5911864240915</v>
      </c>
      <c r="M137" s="41" t="n">
        <f aca="false">L137*(1-Annahmen!$B$31*$C$14)+M$21*$E$14*Annahmen!$B$19</f>
        <v>24.8195830350074</v>
      </c>
      <c r="N137" s="41" t="n">
        <f aca="false">M137*(1-Annahmen!$B$31*$C$14)+N$21*$E$14*Annahmen!$B$19</f>
        <v>27.9027017984321</v>
      </c>
      <c r="O137" s="41" t="n">
        <f aca="false">N137*(1-Annahmen!$B$31*$C$14)+O$21*$E$14*Annahmen!$B$19</f>
        <v>32.2470802175026</v>
      </c>
      <c r="P137" s="41" t="n">
        <f aca="false">O137*(1-Annahmen!$B$31*$C$14)+P$21*$E$14*Annahmen!$B$19</f>
        <v>36.395961607715</v>
      </c>
      <c r="Q137" s="41" t="n">
        <f aca="false">P137*(1-Annahmen!$B$31*$C$14)+Q$21*$E$14*Annahmen!$B$19</f>
        <v>40.3581433353678</v>
      </c>
      <c r="R137" s="41" t="n">
        <f aca="false">Q137*(1-Annahmen!$B$31*$C$14)+R$21*$E$14*Annahmen!$B$19</f>
        <v>45.5420268852763</v>
      </c>
      <c r="S137" s="41" t="n">
        <f aca="false">R137*(1-Annahmen!$B$31*$C$14)+S$21*$E$14*Annahmen!$B$19</f>
        <v>50.4926356754388</v>
      </c>
      <c r="T137" s="41" t="n">
        <f aca="false">S137*(1-Annahmen!$B$31*$C$14)+T$21*$E$14*Annahmen!$B$19</f>
        <v>55.2204670700441</v>
      </c>
      <c r="U137" s="41" t="n">
        <f aca="false">T137*(1-Annahmen!$B$31*$C$14)+U$21*$E$14*Annahmen!$B$19</f>
        <v>61.1355460518921</v>
      </c>
      <c r="V137" s="41" t="n">
        <f aca="false">U137*(1-Annahmen!$B$31*$C$14)+V$21*$E$14*Annahmen!$B$19</f>
        <v>66.784446479557</v>
      </c>
      <c r="W137" s="41" t="n">
        <f aca="false">V137*(1-Annahmen!$B$31*$C$14)+W$21*$E$14*Annahmen!$B$19</f>
        <v>72.1791463879769</v>
      </c>
      <c r="X137" s="41" t="n">
        <f aca="false">W137*(1-Annahmen!$B$31*$C$14)+X$21*$E$14*Annahmen!$B$19</f>
        <v>78.7310848005179</v>
      </c>
      <c r="Y137" s="41" t="n">
        <f aca="false">X137*(1-Annahmen!$B$31*$C$14)+Y$21*$E$14*Annahmen!$B$19</f>
        <v>84.9881859844946</v>
      </c>
      <c r="Z137" s="41" t="n">
        <f aca="false">Y137*(1-Annahmen!$B$31*$C$14)+Z$21*$E$14*Annahmen!$B$19</f>
        <v>90.9637176151923</v>
      </c>
      <c r="AA137" s="41" t="n">
        <f aca="false">Z137*(1-Annahmen!$B$31*$C$14)+AA$21*$E$14*Annahmen!$B$19</f>
        <v>97.3703503225087</v>
      </c>
      <c r="AB137" s="41" t="n">
        <f aca="false">AA137*(1-Annahmen!$B$31*$C$14)+AB$21*$E$14*Annahmen!$B$19</f>
        <v>103.488684557996</v>
      </c>
      <c r="AC137" s="41" t="n">
        <f aca="false">AB137*(1-Annahmen!$B$31*$C$14)+AC$21*$E$14*Annahmen!$B$19</f>
        <v>109.331693752886</v>
      </c>
      <c r="AD137" s="41" t="n">
        <f aca="false">AC137*(1-Annahmen!$B$31*$C$14)+AD$21*$E$14*Annahmen!$B$19</f>
        <v>115.961767534006</v>
      </c>
      <c r="AE137" s="41" t="n">
        <f aca="false">AD137*(1-Annahmen!$B$31*$C$14)+AE$21*$E$14*Annahmen!$B$19</f>
        <v>122.293487994976</v>
      </c>
      <c r="AF137" s="41" t="n">
        <f aca="false">AE137*(1-Annahmen!$B$31*$C$14)+AF$21*$E$14*Annahmen!$B$19</f>
        <v>128.340281035202</v>
      </c>
      <c r="AG137" s="41" t="n">
        <f aca="false">AF137*(1-Annahmen!$B$31*$C$14)+AG$21*$E$14*Annahmen!$B$19</f>
        <v>135.164968388618</v>
      </c>
      <c r="AH137" s="41" t="n">
        <f aca="false">AG137*(1-Annahmen!$B$31*$C$14)+AH$21*$E$14*Annahmen!$B$19</f>
        <v>141.68254481113</v>
      </c>
      <c r="AI137" s="41" t="n">
        <f aca="false">AH137*(1-Annahmen!$B$31*$C$14)+AI$21*$E$14*Annahmen!$B$19</f>
        <v>147.906830294629</v>
      </c>
      <c r="AJ137" s="41" t="n">
        <f aca="false">AI137*(1-Annahmen!$B$31*$C$14)+AJ$21*$E$14*Annahmen!$B$19</f>
        <v>155.251022931371</v>
      </c>
      <c r="AK137" s="41" t="n">
        <f aca="false">AJ137*(1-Annahmen!$B$31*$C$14)+AK$21*$E$14*Annahmen!$B$19</f>
        <v>162.264726899459</v>
      </c>
      <c r="AL137" s="41" t="n">
        <f aca="false">AK137*(1-Annahmen!$B$31*$C$14)+AL$21*$E$14*Annahmen!$B$19</f>
        <v>168.962814188983</v>
      </c>
      <c r="AM137" s="41" t="n">
        <f aca="false">AL137*(1-Annahmen!$B$31*$C$14)+AM$21*$E$14*Annahmen!$B$19</f>
        <v>177.109487550479</v>
      </c>
      <c r="AN137" s="41" t="n">
        <f aca="false">AM137*(1-Annahmen!$B$31*$C$14)+AN$21*$E$14*Annahmen!$B$19</f>
        <v>184.889560610708</v>
      </c>
      <c r="AO137" s="41" t="n">
        <f aca="false">AN137*(1-Annahmen!$B$31*$C$14)+AO$21*$E$14*Annahmen!$B$19</f>
        <v>192.319530383226</v>
      </c>
      <c r="AP137" s="41" t="n">
        <f aca="false">AO137*(1-Annahmen!$B$31*$C$14)+AP$21*$E$14*Annahmen!$B$19</f>
        <v>199.415151515981</v>
      </c>
      <c r="AQ137" s="41" t="n">
        <f aca="false">AP137*(1-Annahmen!$B$31*$C$14)+AQ$21*$E$14*Annahmen!$B$19</f>
        <v>206.191469697761</v>
      </c>
      <c r="AR137" s="41" t="n">
        <f aca="false">AQ137*(1-Annahmen!$B$31*$C$14)+AR$21*$E$14*Annahmen!$B$19</f>
        <v>212.662853561362</v>
      </c>
      <c r="AS137" s="41" t="n">
        <f aca="false">AR137*(1-Annahmen!$B$31*$C$14)+AS$21*$E$14*Annahmen!$B$19</f>
        <v>218.843025151101</v>
      </c>
      <c r="AT137" s="41" t="n">
        <f aca="false">AS137*(1-Annahmen!$B$31*$C$14)+AT$21*$E$14*Annahmen!$B$19</f>
        <v>224.745089019301</v>
      </c>
      <c r="AU137" s="41" t="n">
        <f aca="false">AT137*(1-Annahmen!$B$31*$C$14)+AU$21*$E$14*Annahmen!$B$19</f>
        <v>230.381560013433</v>
      </c>
      <c r="AV137" s="41" t="n">
        <f aca="false">AU137*(1-Annahmen!$B$31*$C$14)+AV$21*$E$14*Annahmen!$B$19</f>
        <v>235.764389812828</v>
      </c>
      <c r="AW137" s="41" t="n">
        <f aca="false">AV137*(1-Annahmen!$B$31*$C$14)+AW$21*$E$14*Annahmen!$B$19</f>
        <v>240.904992271251</v>
      </c>
      <c r="AX137" s="41" t="n">
        <f aca="false">AW137*(1-Annahmen!$B$31*$C$14)+AX$21*$E$14*Annahmen!$B$19</f>
        <v>245.814267619045</v>
      </c>
      <c r="AY137" s="41" t="n">
        <f aca="false">AX137*(1-Annahmen!$B$31*$C$14)+AY$21*$E$14*Annahmen!$B$19</f>
        <v>254.002625576188</v>
      </c>
      <c r="AZ137" s="41" t="n">
        <f aca="false">AY137*(1-Annahmen!$B$31*$C$14)+AZ$21*$E$14*Annahmen!$B$19</f>
        <v>261.822507425259</v>
      </c>
      <c r="BA137" s="41" t="n">
        <f aca="false">AZ137*(1-Annahmen!$B$31*$C$14)+BA$21*$E$14*Annahmen!$B$19</f>
        <v>269.290494591123</v>
      </c>
      <c r="BB137" s="41" t="n">
        <f aca="false">BA137*(1-Annahmen!$B$31*$C$14)+BB$21*$E$14*Annahmen!$B$19</f>
        <v>276.422422334522</v>
      </c>
      <c r="BC137" s="41" t="n">
        <f aca="false">BB137*(1-Annahmen!$B$31*$C$14)+BC$21*$E$14*Annahmen!$B$19</f>
        <v>283.233413329469</v>
      </c>
      <c r="BD137" s="41" t="n">
        <f aca="false">BC137*(1-Annahmen!$B$31*$C$14)+BD$21*$E$14*Annahmen!$B$19</f>
        <v>289.737909729642</v>
      </c>
      <c r="BE137" s="41" t="n">
        <f aca="false">BD137*(1-Annahmen!$B$31*$C$14)+BE$21*$E$14*Annahmen!$B$19</f>
        <v>295.949703791809</v>
      </c>
      <c r="BF137" s="41" t="n">
        <f aca="false">BE137*(1-Annahmen!$B$31*$C$14)+BF$21*$E$14*Annahmen!$B$19</f>
        <v>301.881967121177</v>
      </c>
      <c r="BG137" s="41" t="n">
        <f aca="false">BF137*(1-Annahmen!$B$31*$C$14)+BG$21*$E$14*Annahmen!$B$19</f>
        <v>307.547278600724</v>
      </c>
      <c r="BH137" s="41" t="n">
        <f aca="false">BG137*(1-Annahmen!$B$31*$C$14)+BH$21*$E$14*Annahmen!$B$19</f>
        <v>312.957651063692</v>
      </c>
      <c r="BI137" s="41" t="n">
        <f aca="false">BH137*(1-Annahmen!$B$31*$C$14)+BI$21*$E$14*Annahmen!$B$19</f>
        <v>318.124556765825</v>
      </c>
      <c r="BJ137" s="41" t="n">
        <f aca="false">BI137*(1-Annahmen!$B$31*$C$14)+BJ$21*$E$14*Annahmen!$B$19</f>
        <v>323.058951711363</v>
      </c>
    </row>
    <row r="138" customFormat="false" ht="15" hidden="false" customHeight="false" outlineLevel="0" collapsed="false">
      <c r="B138" s="5" t="s">
        <v>397</v>
      </c>
      <c r="C138" s="41" t="n">
        <f aca="false">Annahmen!$B$7*Annahmen!$B$20*(1-Annahmen!$B$32*$C$14)+C$21*$E$14*Annahmen!$B$20</f>
        <v>2.641</v>
      </c>
      <c r="D138" s="41" t="n">
        <f aca="false">C138*(1-Annahmen!$B$32*$C$14)+D$21*$E$14*Annahmen!$B$20</f>
        <v>3.35977</v>
      </c>
      <c r="E138" s="41" t="n">
        <f aca="false">D138*(1-Annahmen!$B$32*$C$14)+E$21*$E$14*Annahmen!$B$20</f>
        <v>4.0569769</v>
      </c>
      <c r="F138" s="41" t="n">
        <f aca="false">E138*(1-Annahmen!$B$32*$C$14)+F$21*$E$14*Annahmen!$B$20</f>
        <v>5.531267593</v>
      </c>
      <c r="G138" s="41" t="n">
        <f aca="false">F138*(1-Annahmen!$B$32*$C$14)+G$21*$E$14*Annahmen!$B$20</f>
        <v>6.96132956521</v>
      </c>
      <c r="H138" s="41" t="n">
        <f aca="false">G138*(1-Annahmen!$B$32*$C$14)+H$21*$E$14*Annahmen!$B$20</f>
        <v>8.3484896782537</v>
      </c>
      <c r="I138" s="41" t="n">
        <f aca="false">H138*(1-Annahmen!$B$32*$C$14)+I$21*$E$14*Annahmen!$B$20</f>
        <v>10.4920349879061</v>
      </c>
      <c r="J138" s="41" t="n">
        <f aca="false">I138*(1-Annahmen!$B$32*$C$14)+J$21*$E$14*Annahmen!$B$20</f>
        <v>12.5712739382689</v>
      </c>
      <c r="K138" s="41" t="n">
        <f aca="false">J138*(1-Annahmen!$B$32*$C$14)+K$21*$E$14*Annahmen!$B$20</f>
        <v>14.5881357201208</v>
      </c>
      <c r="L138" s="41" t="n">
        <f aca="false">K138*(1-Annahmen!$B$32*$C$14)+L$21*$E$14*Annahmen!$B$20</f>
        <v>17.3424916485172</v>
      </c>
      <c r="M138" s="41" t="n">
        <f aca="false">L138*(1-Annahmen!$B$32*$C$14)+M$21*$E$14*Annahmen!$B$20</f>
        <v>20.0142168990617</v>
      </c>
      <c r="N138" s="41" t="n">
        <f aca="false">M138*(1-Annahmen!$B$32*$C$14)+N$21*$E$14*Annahmen!$B$20</f>
        <v>22.6057903920898</v>
      </c>
      <c r="O138" s="41" t="n">
        <f aca="false">N138*(1-Annahmen!$B$32*$C$14)+O$21*$E$14*Annahmen!$B$20</f>
        <v>26.1836166803272</v>
      </c>
      <c r="P138" s="41" t="n">
        <f aca="false">O138*(1-Annahmen!$B$32*$C$14)+P$21*$E$14*Annahmen!$B$20</f>
        <v>29.6541081799173</v>
      </c>
      <c r="Q138" s="41" t="n">
        <f aca="false">P138*(1-Annahmen!$B$32*$C$14)+Q$21*$E$14*Annahmen!$B$20</f>
        <v>33.0204849345198</v>
      </c>
      <c r="R138" s="41" t="n">
        <f aca="false">Q138*(1-Annahmen!$B$32*$C$14)+R$21*$E$14*Annahmen!$B$20</f>
        <v>37.3498703864842</v>
      </c>
      <c r="S138" s="41" t="n">
        <f aca="false">R138*(1-Annahmen!$B$32*$C$14)+S$21*$E$14*Annahmen!$B$20</f>
        <v>41.5493742748897</v>
      </c>
      <c r="T138" s="41" t="n">
        <f aca="false">S138*(1-Annahmen!$B$32*$C$14)+T$21*$E$14*Annahmen!$B$20</f>
        <v>45.622893046643</v>
      </c>
      <c r="U138" s="41" t="n">
        <f aca="false">T138*(1-Annahmen!$B$32*$C$14)+U$21*$E$14*Annahmen!$B$20</f>
        <v>50.6382062552437</v>
      </c>
      <c r="V138" s="41" t="n">
        <f aca="false">U138*(1-Annahmen!$B$32*$C$14)+V$21*$E$14*Annahmen!$B$20</f>
        <v>55.5030600675864</v>
      </c>
      <c r="W138" s="41" t="n">
        <f aca="false">V138*(1-Annahmen!$B$32*$C$14)+W$21*$E$14*Annahmen!$B$20</f>
        <v>60.2219682655588</v>
      </c>
      <c r="X138" s="41" t="n">
        <f aca="false">W138*(1-Annahmen!$B$32*$C$14)+X$21*$E$14*Annahmen!$B$20</f>
        <v>65.863309217592</v>
      </c>
      <c r="Y138" s="41" t="n">
        <f aca="false">X138*(1-Annahmen!$B$32*$C$14)+Y$21*$E$14*Annahmen!$B$20</f>
        <v>71.3354099410643</v>
      </c>
      <c r="Z138" s="41" t="n">
        <f aca="false">Y138*(1-Annahmen!$B$32*$C$14)+Z$21*$E$14*Annahmen!$B$20</f>
        <v>76.6433476428323</v>
      </c>
      <c r="AA138" s="41" t="n">
        <f aca="false">Z138*(1-Annahmen!$B$32*$C$14)+AA$21*$E$14*Annahmen!$B$20</f>
        <v>82.3240472135474</v>
      </c>
      <c r="AB138" s="41" t="n">
        <f aca="false">AA138*(1-Annahmen!$B$32*$C$14)+AB$21*$E$14*Annahmen!$B$20</f>
        <v>87.834325797141</v>
      </c>
      <c r="AC138" s="41" t="n">
        <f aca="false">AB138*(1-Annahmen!$B$32*$C$14)+AC$21*$E$14*Annahmen!$B$20</f>
        <v>93.1792960232267</v>
      </c>
      <c r="AD138" s="41" t="n">
        <f aca="false">AC138*(1-Annahmen!$B$32*$C$14)+AD$21*$E$14*Annahmen!$B$20</f>
        <v>99.1619171425299</v>
      </c>
      <c r="AE138" s="41" t="n">
        <f aca="false">AD138*(1-Annahmen!$B$32*$C$14)+AE$21*$E$14*Annahmen!$B$20</f>
        <v>104.965059628254</v>
      </c>
      <c r="AF138" s="41" t="n">
        <f aca="false">AE138*(1-Annahmen!$B$32*$C$14)+AF$21*$E$14*Annahmen!$B$20</f>
        <v>110.594107839406</v>
      </c>
      <c r="AG138" s="41" t="n">
        <f aca="false">AF138*(1-Annahmen!$B$32*$C$14)+AG$21*$E$14*Annahmen!$B$20</f>
        <v>116.852284604224</v>
      </c>
      <c r="AH138" s="41" t="n">
        <f aca="false">AG138*(1-Annahmen!$B$32*$C$14)+AH$21*$E$14*Annahmen!$B$20</f>
        <v>122.922716066097</v>
      </c>
      <c r="AI138" s="41" t="n">
        <f aca="false">AH138*(1-Annahmen!$B$32*$C$14)+AI$21*$E$14*Annahmen!$B$20</f>
        <v>128.811034584115</v>
      </c>
      <c r="AJ138" s="41" t="n">
        <f aca="false">AI138*(1-Annahmen!$B$32*$C$14)+AJ$21*$E$14*Annahmen!$B$20</f>
        <v>135.586703546591</v>
      </c>
      <c r="AK138" s="41" t="n">
        <f aca="false">AJ138*(1-Annahmen!$B$32*$C$14)+AK$21*$E$14*Annahmen!$B$20</f>
        <v>142.159102440193</v>
      </c>
      <c r="AL138" s="41" t="n">
        <f aca="false">AK138*(1-Annahmen!$B$32*$C$14)+AL$21*$E$14*Annahmen!$B$20</f>
        <v>148.534329366988</v>
      </c>
      <c r="AM138" s="41" t="n">
        <f aca="false">AL138*(1-Annahmen!$B$32*$C$14)+AM$21*$E$14*Annahmen!$B$20</f>
        <v>156.048299485978</v>
      </c>
      <c r="AN138" s="41" t="n">
        <f aca="false">AM138*(1-Annahmen!$B$32*$C$14)+AN$21*$E$14*Annahmen!$B$20</f>
        <v>163.336850501399</v>
      </c>
      <c r="AO138" s="41" t="n">
        <f aca="false">AN138*(1-Annahmen!$B$32*$C$14)+AO$21*$E$14*Annahmen!$B$20</f>
        <v>170.406744986357</v>
      </c>
      <c r="AP138" s="41" t="n">
        <f aca="false">AO138*(1-Annahmen!$B$32*$C$14)+AP$21*$E$14*Annahmen!$B$20</f>
        <v>177.264542636766</v>
      </c>
      <c r="AQ138" s="41" t="n">
        <f aca="false">AP138*(1-Annahmen!$B$32*$C$14)+AQ$21*$E$14*Annahmen!$B$20</f>
        <v>183.916606357663</v>
      </c>
      <c r="AR138" s="41" t="n">
        <f aca="false">AQ138*(1-Annahmen!$B$32*$C$14)+AR$21*$E$14*Annahmen!$B$20</f>
        <v>190.369108166933</v>
      </c>
      <c r="AS138" s="41" t="n">
        <f aca="false">AR138*(1-Annahmen!$B$32*$C$14)+AS$21*$E$14*Annahmen!$B$20</f>
        <v>196.628034921925</v>
      </c>
      <c r="AT138" s="41" t="n">
        <f aca="false">AS138*(1-Annahmen!$B$32*$C$14)+AT$21*$E$14*Annahmen!$B$20</f>
        <v>202.699193874267</v>
      </c>
      <c r="AU138" s="41" t="n">
        <f aca="false">AT138*(1-Annahmen!$B$32*$C$14)+AU$21*$E$14*Annahmen!$B$20</f>
        <v>208.588218058039</v>
      </c>
      <c r="AV138" s="41" t="n">
        <f aca="false">AU138*(1-Annahmen!$B$32*$C$14)+AV$21*$E$14*Annahmen!$B$20</f>
        <v>214.300571516298</v>
      </c>
      <c r="AW138" s="41" t="n">
        <f aca="false">AV138*(1-Annahmen!$B$32*$C$14)+AW$21*$E$14*Annahmen!$B$20</f>
        <v>219.841554370809</v>
      </c>
      <c r="AX138" s="41" t="n">
        <f aca="false">AW138*(1-Annahmen!$B$32*$C$14)+AX$21*$E$14*Annahmen!$B$20</f>
        <v>225.216307739685</v>
      </c>
      <c r="AY138" s="41" t="n">
        <f aca="false">AX138*(1-Annahmen!$B$32*$C$14)+AY$21*$E$14*Annahmen!$B$20</f>
        <v>233.089818507494</v>
      </c>
      <c r="AZ138" s="41" t="n">
        <f aca="false">AY138*(1-Annahmen!$B$32*$C$14)+AZ$21*$E$14*Annahmen!$B$20</f>
        <v>240.727123952269</v>
      </c>
      <c r="BA138" s="41" t="n">
        <f aca="false">AZ138*(1-Annahmen!$B$32*$C$14)+BA$21*$E$14*Annahmen!$B$20</f>
        <v>248.135310233701</v>
      </c>
      <c r="BB138" s="41" t="n">
        <f aca="false">BA138*(1-Annahmen!$B$32*$C$14)+BB$21*$E$14*Annahmen!$B$20</f>
        <v>255.32125092669</v>
      </c>
      <c r="BC138" s="41" t="n">
        <f aca="false">BB138*(1-Annahmen!$B$32*$C$14)+BC$21*$E$14*Annahmen!$B$20</f>
        <v>262.29161339889</v>
      </c>
      <c r="BD138" s="41" t="n">
        <f aca="false">BC138*(1-Annahmen!$B$32*$C$14)+BD$21*$E$14*Annahmen!$B$20</f>
        <v>269.052864996923</v>
      </c>
      <c r="BE138" s="41" t="n">
        <f aca="false">BD138*(1-Annahmen!$B$32*$C$14)+BE$21*$E$14*Annahmen!$B$20</f>
        <v>275.611279047015</v>
      </c>
      <c r="BF138" s="41" t="n">
        <f aca="false">BE138*(1-Annahmen!$B$32*$C$14)+BF$21*$E$14*Annahmen!$B$20</f>
        <v>281.972940675605</v>
      </c>
      <c r="BG138" s="41" t="n">
        <f aca="false">BF138*(1-Annahmen!$B$32*$C$14)+BG$21*$E$14*Annahmen!$B$20</f>
        <v>288.143752455337</v>
      </c>
      <c r="BH138" s="41" t="n">
        <f aca="false">BG138*(1-Annahmen!$B$32*$C$14)+BH$21*$E$14*Annahmen!$B$20</f>
        <v>294.129439881677</v>
      </c>
      <c r="BI138" s="41" t="n">
        <f aca="false">BH138*(1-Annahmen!$B$32*$C$14)+BI$21*$E$14*Annahmen!$B$20</f>
        <v>299.935556685226</v>
      </c>
      <c r="BJ138" s="41" t="n">
        <f aca="false">BI138*(1-Annahmen!$B$32*$C$14)+BJ$21*$E$14*Annahmen!$B$20</f>
        <v>305.567489984669</v>
      </c>
    </row>
    <row r="139" customFormat="false" ht="15" hidden="false" customHeight="false" outlineLevel="0" collapsed="false">
      <c r="B139" s="5" t="s">
        <v>398</v>
      </c>
      <c r="C139" s="41" t="n">
        <f aca="false">Annahmen!$B$7*Annahmen!$B$21*(1-Annahmen!$B$33*$C$14)+C$21*$E$14*Annahmen!$B$21</f>
        <v>0.8412</v>
      </c>
      <c r="D139" s="41" t="n">
        <f aca="false">C139*(1-Annahmen!$B$33*$C$14)+D$21*$E$14*Annahmen!$B$21</f>
        <v>1.0780584</v>
      </c>
      <c r="E139" s="41" t="n">
        <f aca="false">D139*(1-Annahmen!$B$33*$C$14)+E$21*$E$14*Annahmen!$B$21</f>
        <v>1.3106533488</v>
      </c>
      <c r="F139" s="41" t="n">
        <f aca="false">E139*(1-Annahmen!$B$33*$C$14)+F$21*$E$14*Annahmen!$B$21</f>
        <v>1.7910615885216</v>
      </c>
      <c r="G139" s="41" t="n">
        <f aca="false">F139*(1-Annahmen!$B$33*$C$14)+G$21*$E$14*Annahmen!$B$21</f>
        <v>2.26282247992821</v>
      </c>
      <c r="H139" s="41" t="n">
        <f aca="false">G139*(1-Annahmen!$B$33*$C$14)+H$21*$E$14*Annahmen!$B$21</f>
        <v>2.7260916752895</v>
      </c>
      <c r="I139" s="41" t="n">
        <f aca="false">H139*(1-Annahmen!$B$33*$C$14)+I$21*$E$14*Annahmen!$B$21</f>
        <v>3.43302202513429</v>
      </c>
      <c r="J139" s="41" t="n">
        <f aca="false">I139*(1-Annahmen!$B$33*$C$14)+J$21*$E$14*Annahmen!$B$21</f>
        <v>4.12722762868187</v>
      </c>
      <c r="K139" s="41" t="n">
        <f aca="false">J139*(1-Annahmen!$B$33*$C$14)+K$21*$E$14*Annahmen!$B$21</f>
        <v>4.8089375313656</v>
      </c>
      <c r="L139" s="41" t="n">
        <f aca="false">K139*(1-Annahmen!$B$33*$C$14)+L$21*$E$14*Annahmen!$B$21</f>
        <v>5.73037665580102</v>
      </c>
      <c r="M139" s="41" t="n">
        <f aca="false">L139*(1-Annahmen!$B$33*$C$14)+M$21*$E$14*Annahmen!$B$21</f>
        <v>6.6352298759966</v>
      </c>
      <c r="N139" s="41" t="n">
        <f aca="false">M139*(1-Annahmen!$B$33*$C$14)+N$21*$E$14*Annahmen!$B$21</f>
        <v>7.52379573822866</v>
      </c>
      <c r="O139" s="41" t="n">
        <f aca="false">N139*(1-Annahmen!$B$33*$C$14)+O$21*$E$14*Annahmen!$B$21</f>
        <v>8.73236741494055</v>
      </c>
      <c r="P139" s="41" t="n">
        <f aca="false">O139*(1-Annahmen!$B$33*$C$14)+P$21*$E$14*Annahmen!$B$21</f>
        <v>9.91918480147162</v>
      </c>
      <c r="Q139" s="41" t="n">
        <f aca="false">P139*(1-Annahmen!$B$33*$C$14)+Q$21*$E$14*Annahmen!$B$21</f>
        <v>11.0846394750451</v>
      </c>
      <c r="R139" s="41" t="n">
        <f aca="false">Q139*(1-Annahmen!$B$33*$C$14)+R$21*$E$14*Annahmen!$B$21</f>
        <v>12.5651159644943</v>
      </c>
      <c r="S139" s="41" t="n">
        <f aca="false">R139*(1-Annahmen!$B$33*$C$14)+S$21*$E$14*Annahmen!$B$21</f>
        <v>14.0189438771334</v>
      </c>
      <c r="T139" s="41" t="n">
        <f aca="false">S139*(1-Annahmen!$B$33*$C$14)+T$21*$E$14*Annahmen!$B$21</f>
        <v>15.446602887345</v>
      </c>
      <c r="U139" s="41" t="n">
        <f aca="false">T139*(1-Annahmen!$B$33*$C$14)+U$21*$E$14*Annahmen!$B$21</f>
        <v>17.1845640353728</v>
      </c>
      <c r="V139" s="41" t="n">
        <f aca="false">U139*(1-Annahmen!$B$33*$C$14)+V$21*$E$14*Annahmen!$B$21</f>
        <v>18.8912418827361</v>
      </c>
      <c r="W139" s="41" t="n">
        <f aca="false">V139*(1-Annahmen!$B$33*$C$14)+W$21*$E$14*Annahmen!$B$21</f>
        <v>20.5671995288468</v>
      </c>
      <c r="X139" s="41" t="n">
        <f aca="false">W139*(1-Annahmen!$B$33*$C$14)+X$21*$E$14*Annahmen!$B$21</f>
        <v>22.5489899373276</v>
      </c>
      <c r="Y139" s="41" t="n">
        <f aca="false">X139*(1-Annahmen!$B$33*$C$14)+Y$21*$E$14*Annahmen!$B$21</f>
        <v>24.4951081184557</v>
      </c>
      <c r="Z139" s="41" t="n">
        <f aca="false">Y139*(1-Annahmen!$B$33*$C$14)+Z$21*$E$14*Annahmen!$B$21</f>
        <v>26.4061961723235</v>
      </c>
      <c r="AA139" s="41" t="n">
        <f aca="false">Z139*(1-Annahmen!$B$33*$C$14)+AA$21*$E$14*Annahmen!$B$21</f>
        <v>28.4508846412217</v>
      </c>
      <c r="AB139" s="41" t="n">
        <f aca="false">AA139*(1-Annahmen!$B$33*$C$14)+AB$21*$E$14*Annahmen!$B$21</f>
        <v>30.4587687176797</v>
      </c>
      <c r="AC139" s="41" t="n">
        <f aca="false">AB139*(1-Annahmen!$B$33*$C$14)+AC$21*$E$14*Annahmen!$B$21</f>
        <v>32.4305108807614</v>
      </c>
      <c r="AD139" s="41" t="n">
        <f aca="false">AC139*(1-Annahmen!$B$33*$C$14)+AD$21*$E$14*Annahmen!$B$21</f>
        <v>34.6187616849077</v>
      </c>
      <c r="AE139" s="41" t="n">
        <f aca="false">AD139*(1-Annahmen!$B$33*$C$14)+AE$21*$E$14*Annahmen!$B$21</f>
        <v>36.7676239745794</v>
      </c>
      <c r="AF139" s="41" t="n">
        <f aca="false">AE139*(1-Annahmen!$B$33*$C$14)+AF$21*$E$14*Annahmen!$B$21</f>
        <v>38.877806743037</v>
      </c>
      <c r="AG139" s="41" t="n">
        <f aca="false">AF139*(1-Annahmen!$B$33*$C$14)+AG$21*$E$14*Annahmen!$B$21</f>
        <v>41.2020062216623</v>
      </c>
      <c r="AH139" s="41" t="n">
        <f aca="false">AG139*(1-Annahmen!$B$33*$C$14)+AH$21*$E$14*Annahmen!$B$21</f>
        <v>43.4843701096724</v>
      </c>
      <c r="AI139" s="41" t="n">
        <f aca="false">AH139*(1-Annahmen!$B$33*$C$14)+AI$21*$E$14*Annahmen!$B$21</f>
        <v>45.7256514476983</v>
      </c>
      <c r="AJ139" s="41" t="n">
        <f aca="false">AI139*(1-Annahmen!$B$33*$C$14)+AJ$21*$E$14*Annahmen!$B$21</f>
        <v>48.2625897216397</v>
      </c>
      <c r="AK139" s="41" t="n">
        <f aca="false">AJ139*(1-Annahmen!$B$33*$C$14)+AK$21*$E$14*Annahmen!$B$21</f>
        <v>50.7538631066502</v>
      </c>
      <c r="AL139" s="41" t="n">
        <f aca="false">AK139*(1-Annahmen!$B$33*$C$14)+AL$21*$E$14*Annahmen!$B$21</f>
        <v>53.2002935707305</v>
      </c>
      <c r="AM139" s="41" t="n">
        <f aca="false">AL139*(1-Annahmen!$B$33*$C$14)+AM$21*$E$14*Annahmen!$B$21</f>
        <v>56.0226882864573</v>
      </c>
      <c r="AN139" s="41" t="n">
        <f aca="false">AM139*(1-Annahmen!$B$33*$C$14)+AN$21*$E$14*Annahmen!$B$21</f>
        <v>58.7942798973011</v>
      </c>
      <c r="AO139" s="41" t="n">
        <f aca="false">AN139*(1-Annahmen!$B$33*$C$14)+AO$21*$E$14*Annahmen!$B$21</f>
        <v>61.5159828591497</v>
      </c>
      <c r="AP139" s="41" t="n">
        <f aca="false">AO139*(1-Annahmen!$B$33*$C$14)+AP$21*$E$14*Annahmen!$B$21</f>
        <v>64.188695167685</v>
      </c>
      <c r="AQ139" s="41" t="n">
        <f aca="false">AP139*(1-Annahmen!$B$33*$C$14)+AQ$21*$E$14*Annahmen!$B$21</f>
        <v>66.8132986546667</v>
      </c>
      <c r="AR139" s="41" t="n">
        <f aca="false">AQ139*(1-Annahmen!$B$33*$C$14)+AR$21*$E$14*Annahmen!$B$21</f>
        <v>69.3906592788827</v>
      </c>
      <c r="AS139" s="41" t="n">
        <f aca="false">AR139*(1-Annahmen!$B$33*$C$14)+AS$21*$E$14*Annahmen!$B$21</f>
        <v>71.9216274118628</v>
      </c>
      <c r="AT139" s="41" t="n">
        <f aca="false">AS139*(1-Annahmen!$B$33*$C$14)+AT$21*$E$14*Annahmen!$B$21</f>
        <v>74.4070381184492</v>
      </c>
      <c r="AU139" s="41" t="n">
        <f aca="false">AT139*(1-Annahmen!$B$33*$C$14)+AU$21*$E$14*Annahmen!$B$21</f>
        <v>76.8477114323172</v>
      </c>
      <c r="AV139" s="41" t="n">
        <f aca="false">AU139*(1-Annahmen!$B$33*$C$14)+AV$21*$E$14*Annahmen!$B$21</f>
        <v>79.2444526265355</v>
      </c>
      <c r="AW139" s="41" t="n">
        <f aca="false">AV139*(1-Annahmen!$B$33*$C$14)+AW$21*$E$14*Annahmen!$B$21</f>
        <v>81.5980524792578</v>
      </c>
      <c r="AX139" s="41" t="n">
        <f aca="false">AW139*(1-Annahmen!$B$33*$C$14)+AX$21*$E$14*Annahmen!$B$21</f>
        <v>83.9092875346312</v>
      </c>
      <c r="AY139" s="41" t="n">
        <f aca="false">AX139*(1-Annahmen!$B$33*$C$14)+AY$21*$E$14*Annahmen!$B$21</f>
        <v>87.0189203590078</v>
      </c>
      <c r="AZ139" s="41" t="n">
        <f aca="false">AY139*(1-Annahmen!$B$33*$C$14)+AZ$21*$E$14*Annahmen!$B$21</f>
        <v>90.0725797925457</v>
      </c>
      <c r="BA139" s="41" t="n">
        <f aca="false">AZ139*(1-Annahmen!$B$33*$C$14)+BA$21*$E$14*Annahmen!$B$21</f>
        <v>93.0712733562799</v>
      </c>
      <c r="BB139" s="41" t="n">
        <f aca="false">BA139*(1-Annahmen!$B$33*$C$14)+BB$21*$E$14*Annahmen!$B$21</f>
        <v>96.0159904358668</v>
      </c>
      <c r="BC139" s="41" t="n">
        <f aca="false">BB139*(1-Annahmen!$B$33*$C$14)+BC$21*$E$14*Annahmen!$B$21</f>
        <v>98.9077026080212</v>
      </c>
      <c r="BD139" s="41" t="n">
        <f aca="false">BC139*(1-Annahmen!$B$33*$C$14)+BD$21*$E$14*Annahmen!$B$21</f>
        <v>101.747363961077</v>
      </c>
      <c r="BE139" s="41" t="n">
        <f aca="false">BD139*(1-Annahmen!$B$33*$C$14)+BE$21*$E$14*Annahmen!$B$21</f>
        <v>104.535911409777</v>
      </c>
      <c r="BF139" s="41" t="n">
        <f aca="false">BE139*(1-Annahmen!$B$33*$C$14)+BF$21*$E$14*Annahmen!$B$21</f>
        <v>107.274265004401</v>
      </c>
      <c r="BG139" s="41" t="n">
        <f aca="false">BF139*(1-Annahmen!$B$33*$C$14)+BG$21*$E$14*Annahmen!$B$21</f>
        <v>109.963328234322</v>
      </c>
      <c r="BH139" s="41" t="n">
        <f aca="false">BG139*(1-Annahmen!$B$33*$C$14)+BH$21*$E$14*Annahmen!$B$21</f>
        <v>112.603988326104</v>
      </c>
      <c r="BI139" s="41" t="n">
        <f aca="false">BH139*(1-Annahmen!$B$33*$C$14)+BI$21*$E$14*Annahmen!$B$21</f>
        <v>115.197116536235</v>
      </c>
      <c r="BJ139" s="41" t="n">
        <f aca="false">BI139*(1-Annahmen!$B$33*$C$14)+BJ$21*$E$14*Annahmen!$B$21</f>
        <v>117.743568438582</v>
      </c>
    </row>
    <row r="140" customFormat="false" ht="15" hidden="false" customHeight="false" outlineLevel="0" collapsed="false">
      <c r="B140" s="5" t="s">
        <v>399</v>
      </c>
      <c r="C140" s="41" t="n">
        <f aca="false">Annahmen!$B$7*Annahmen!$B$21*Annahmen!$B$24*(1-Annahmen!$B$33*$C$14)+C$21*$E$14*Annahmen!$B$21*Annahmen!$B$24</f>
        <v>0.16824</v>
      </c>
      <c r="D140" s="41" t="n">
        <f aca="false">C140*(1-Annahmen!$B$33*$C$14)+D$21*$E$14*Annahmen!$B$21*Annahmen!$B$24</f>
        <v>0.21561168</v>
      </c>
      <c r="E140" s="41" t="n">
        <f aca="false">D140*(1-Annahmen!$B$33*$C$14)+E$21*$E$14*Annahmen!$B$21*Annahmen!$B$24</f>
        <v>0.26213066976</v>
      </c>
      <c r="F140" s="41" t="n">
        <f aca="false">E140*(1-Annahmen!$B$33*$C$14)+F$21*$E$14*Annahmen!$B$21*Annahmen!$B$24</f>
        <v>0.35821231770432</v>
      </c>
      <c r="G140" s="41" t="n">
        <f aca="false">F140*(1-Annahmen!$B$33*$C$14)+G$21*$E$14*Annahmen!$B$21*Annahmen!$B$24</f>
        <v>0.452564495985642</v>
      </c>
      <c r="H140" s="41" t="n">
        <f aca="false">G140*(1-Annahmen!$B$33*$C$14)+H$21*$E$14*Annahmen!$B$21*Annahmen!$B$24</f>
        <v>0.545218335057901</v>
      </c>
      <c r="I140" s="41" t="n">
        <f aca="false">H140*(1-Annahmen!$B$33*$C$14)+I$21*$E$14*Annahmen!$B$21*Annahmen!$B$24</f>
        <v>0.686604405026858</v>
      </c>
      <c r="J140" s="41" t="n">
        <f aca="false">I140*(1-Annahmen!$B$33*$C$14)+J$21*$E$14*Annahmen!$B$21*Annahmen!$B$24</f>
        <v>0.825445525736375</v>
      </c>
      <c r="K140" s="41" t="n">
        <f aca="false">J140*(1-Annahmen!$B$33*$C$14)+K$21*$E$14*Annahmen!$B$21*Annahmen!$B$24</f>
        <v>0.96178750627312</v>
      </c>
      <c r="L140" s="41" t="n">
        <f aca="false">K140*(1-Annahmen!$B$33*$C$14)+L$21*$E$14*Annahmen!$B$21*Annahmen!$B$24</f>
        <v>1.1460753311602</v>
      </c>
      <c r="M140" s="41" t="n">
        <f aca="false">L140*(1-Annahmen!$B$33*$C$14)+M$21*$E$14*Annahmen!$B$21*Annahmen!$B$24</f>
        <v>1.32704597519932</v>
      </c>
      <c r="N140" s="41" t="n">
        <f aca="false">M140*(1-Annahmen!$B$33*$C$14)+N$21*$E$14*Annahmen!$B$21*Annahmen!$B$24</f>
        <v>1.50475914764573</v>
      </c>
      <c r="O140" s="41" t="n">
        <f aca="false">N140*(1-Annahmen!$B$33*$C$14)+O$21*$E$14*Annahmen!$B$21*Annahmen!$B$24</f>
        <v>1.74647348298811</v>
      </c>
      <c r="P140" s="41" t="n">
        <f aca="false">O140*(1-Annahmen!$B$33*$C$14)+P$21*$E$14*Annahmen!$B$21*Annahmen!$B$24</f>
        <v>1.98383696029432</v>
      </c>
      <c r="Q140" s="41" t="n">
        <f aca="false">P140*(1-Annahmen!$B$33*$C$14)+Q$21*$E$14*Annahmen!$B$21*Annahmen!$B$24</f>
        <v>2.21692789500903</v>
      </c>
      <c r="R140" s="41" t="n">
        <f aca="false">Q140*(1-Annahmen!$B$33*$C$14)+R$21*$E$14*Annahmen!$B$21*Annahmen!$B$24</f>
        <v>2.51302319289886</v>
      </c>
      <c r="S140" s="41" t="n">
        <f aca="false">R140*(1-Annahmen!$B$33*$C$14)+S$21*$E$14*Annahmen!$B$21*Annahmen!$B$24</f>
        <v>2.80378877542668</v>
      </c>
      <c r="T140" s="41" t="n">
        <f aca="false">S140*(1-Annahmen!$B$33*$C$14)+T$21*$E$14*Annahmen!$B$21*Annahmen!$B$24</f>
        <v>3.089320577469</v>
      </c>
      <c r="U140" s="41" t="n">
        <f aca="false">T140*(1-Annahmen!$B$33*$C$14)+U$21*$E$14*Annahmen!$B$21*Annahmen!$B$24</f>
        <v>3.43691280707456</v>
      </c>
      <c r="V140" s="41" t="n">
        <f aca="false">U140*(1-Annahmen!$B$33*$C$14)+V$21*$E$14*Annahmen!$B$21*Annahmen!$B$24</f>
        <v>3.77824837654722</v>
      </c>
      <c r="W140" s="41" t="n">
        <f aca="false">V140*(1-Annahmen!$B$33*$C$14)+W$21*$E$14*Annahmen!$B$21*Annahmen!$B$24</f>
        <v>4.11343990576937</v>
      </c>
      <c r="X140" s="41" t="n">
        <f aca="false">W140*(1-Annahmen!$B$33*$C$14)+X$21*$E$14*Annahmen!$B$21*Annahmen!$B$24</f>
        <v>4.50979798746552</v>
      </c>
      <c r="Y140" s="41" t="n">
        <f aca="false">X140*(1-Annahmen!$B$33*$C$14)+Y$21*$E$14*Annahmen!$B$21*Annahmen!$B$24</f>
        <v>4.89902162369114</v>
      </c>
      <c r="Z140" s="41" t="n">
        <f aca="false">Y140*(1-Annahmen!$B$33*$C$14)+Z$21*$E$14*Annahmen!$B$21*Annahmen!$B$24</f>
        <v>5.2812392344647</v>
      </c>
      <c r="AA140" s="41" t="n">
        <f aca="false">Z140*(1-Annahmen!$B$33*$C$14)+AA$21*$E$14*Annahmen!$B$21*Annahmen!$B$24</f>
        <v>5.69017692824433</v>
      </c>
      <c r="AB140" s="41" t="n">
        <f aca="false">AA140*(1-Annahmen!$B$33*$C$14)+AB$21*$E$14*Annahmen!$B$21*Annahmen!$B$24</f>
        <v>6.09175374353594</v>
      </c>
      <c r="AC140" s="41" t="n">
        <f aca="false">AB140*(1-Annahmen!$B$33*$C$14)+AC$21*$E$14*Annahmen!$B$21*Annahmen!$B$24</f>
        <v>6.48610217615229</v>
      </c>
      <c r="AD140" s="41" t="n">
        <f aca="false">AC140*(1-Annahmen!$B$33*$C$14)+AD$21*$E$14*Annahmen!$B$21*Annahmen!$B$24</f>
        <v>6.92375233698155</v>
      </c>
      <c r="AE140" s="41" t="n">
        <f aca="false">AD140*(1-Annahmen!$B$33*$C$14)+AE$21*$E$14*Annahmen!$B$21*Annahmen!$B$24</f>
        <v>7.35352479491588</v>
      </c>
      <c r="AF140" s="41" t="n">
        <f aca="false">AE140*(1-Annahmen!$B$33*$C$14)+AF$21*$E$14*Annahmen!$B$21*Annahmen!$B$24</f>
        <v>7.77556134860739</v>
      </c>
      <c r="AG140" s="41" t="n">
        <f aca="false">AF140*(1-Annahmen!$B$33*$C$14)+AG$21*$E$14*Annahmen!$B$21*Annahmen!$B$24</f>
        <v>8.24040124433246</v>
      </c>
      <c r="AH140" s="41" t="n">
        <f aca="false">AG140*(1-Annahmen!$B$33*$C$14)+AH$21*$E$14*Annahmen!$B$21*Annahmen!$B$24</f>
        <v>8.69687402193448</v>
      </c>
      <c r="AI140" s="41" t="n">
        <f aca="false">AH140*(1-Annahmen!$B$33*$C$14)+AI$21*$E$14*Annahmen!$B$21*Annahmen!$B$24</f>
        <v>9.14513028953965</v>
      </c>
      <c r="AJ140" s="41" t="n">
        <f aca="false">AI140*(1-Annahmen!$B$33*$C$14)+AJ$21*$E$14*Annahmen!$B$21*Annahmen!$B$24</f>
        <v>9.65251794432794</v>
      </c>
      <c r="AK140" s="41" t="n">
        <f aca="false">AJ140*(1-Annahmen!$B$33*$C$14)+AK$21*$E$14*Annahmen!$B$21*Annahmen!$B$24</f>
        <v>10.15077262133</v>
      </c>
      <c r="AL140" s="41" t="n">
        <f aca="false">AK140*(1-Annahmen!$B$33*$C$14)+AL$21*$E$14*Annahmen!$B$21*Annahmen!$B$24</f>
        <v>10.6400587141461</v>
      </c>
      <c r="AM140" s="41" t="n">
        <f aca="false">AL140*(1-Annahmen!$B$33*$C$14)+AM$21*$E$14*Annahmen!$B$21*Annahmen!$B$24</f>
        <v>11.2045376572915</v>
      </c>
      <c r="AN140" s="41" t="n">
        <f aca="false">AM140*(1-Annahmen!$B$33*$C$14)+AN$21*$E$14*Annahmen!$B$21*Annahmen!$B$24</f>
        <v>11.7588559794602</v>
      </c>
      <c r="AO140" s="41" t="n">
        <f aca="false">AN140*(1-Annahmen!$B$33*$C$14)+AO$21*$E$14*Annahmen!$B$21*Annahmen!$B$24</f>
        <v>12.3031965718299</v>
      </c>
      <c r="AP140" s="41" t="n">
        <f aca="false">AO140*(1-Annahmen!$B$33*$C$14)+AP$21*$E$14*Annahmen!$B$21*Annahmen!$B$24</f>
        <v>12.837739033537</v>
      </c>
      <c r="AQ140" s="41" t="n">
        <f aca="false">AP140*(1-Annahmen!$B$33*$C$14)+AQ$21*$E$14*Annahmen!$B$21*Annahmen!$B$24</f>
        <v>13.3626597309333</v>
      </c>
      <c r="AR140" s="41" t="n">
        <f aca="false">AQ140*(1-Annahmen!$B$33*$C$14)+AR$21*$E$14*Annahmen!$B$21*Annahmen!$B$24</f>
        <v>13.8781318557765</v>
      </c>
      <c r="AS140" s="41" t="n">
        <f aca="false">AR140*(1-Annahmen!$B$33*$C$14)+AS$21*$E$14*Annahmen!$B$21*Annahmen!$B$24</f>
        <v>14.3843254823726</v>
      </c>
      <c r="AT140" s="41" t="n">
        <f aca="false">AS140*(1-Annahmen!$B$33*$C$14)+AT$21*$E$14*Annahmen!$B$21*Annahmen!$B$24</f>
        <v>14.8814076236899</v>
      </c>
      <c r="AU140" s="41" t="n">
        <f aca="false">AT140*(1-Annahmen!$B$33*$C$14)+AU$21*$E$14*Annahmen!$B$21*Annahmen!$B$24</f>
        <v>15.3695422864634</v>
      </c>
      <c r="AV140" s="41" t="n">
        <f aca="false">AU140*(1-Annahmen!$B$33*$C$14)+AV$21*$E$14*Annahmen!$B$21*Annahmen!$B$24</f>
        <v>15.8488905253071</v>
      </c>
      <c r="AW140" s="41" t="n">
        <f aca="false">AV140*(1-Annahmen!$B$33*$C$14)+AW$21*$E$14*Annahmen!$B$21*Annahmen!$B$24</f>
        <v>16.3196104958516</v>
      </c>
      <c r="AX140" s="41" t="n">
        <f aca="false">AW140*(1-Annahmen!$B$33*$C$14)+AX$21*$E$14*Annahmen!$B$21*Annahmen!$B$24</f>
        <v>16.7818575069262</v>
      </c>
      <c r="AY140" s="41" t="n">
        <f aca="false">AX140*(1-Annahmen!$B$33*$C$14)+AY$21*$E$14*Annahmen!$B$21*Annahmen!$B$24</f>
        <v>17.4037840718016</v>
      </c>
      <c r="AZ140" s="41" t="n">
        <f aca="false">AY140*(1-Annahmen!$B$33*$C$14)+AZ$21*$E$14*Annahmen!$B$21*Annahmen!$B$24</f>
        <v>18.0145159585091</v>
      </c>
      <c r="BA140" s="41" t="n">
        <f aca="false">AZ140*(1-Annahmen!$B$33*$C$14)+BA$21*$E$14*Annahmen!$B$21*Annahmen!$B$24</f>
        <v>18.614254671256</v>
      </c>
      <c r="BB140" s="41" t="n">
        <f aca="false">BA140*(1-Annahmen!$B$33*$C$14)+BB$21*$E$14*Annahmen!$B$21*Annahmen!$B$24</f>
        <v>19.2031980871734</v>
      </c>
      <c r="BC140" s="41" t="n">
        <f aca="false">BB140*(1-Annahmen!$B$33*$C$14)+BC$21*$E$14*Annahmen!$B$21*Annahmen!$B$24</f>
        <v>19.7815405216042</v>
      </c>
      <c r="BD140" s="41" t="n">
        <f aca="false">BC140*(1-Annahmen!$B$33*$C$14)+BD$21*$E$14*Annahmen!$B$21*Annahmen!$B$24</f>
        <v>20.3494727922154</v>
      </c>
      <c r="BE140" s="41" t="n">
        <f aca="false">BD140*(1-Annahmen!$B$33*$C$14)+BE$21*$E$14*Annahmen!$B$21*Annahmen!$B$24</f>
        <v>20.9071822819555</v>
      </c>
      <c r="BF140" s="41" t="n">
        <f aca="false">BE140*(1-Annahmen!$B$33*$C$14)+BF$21*$E$14*Annahmen!$B$21*Annahmen!$B$24</f>
        <v>21.4548530008803</v>
      </c>
      <c r="BG140" s="41" t="n">
        <f aca="false">BF140*(1-Annahmen!$B$33*$C$14)+BG$21*$E$14*Annahmen!$B$21*Annahmen!$B$24</f>
        <v>21.9926656468644</v>
      </c>
      <c r="BH140" s="41" t="n">
        <f aca="false">BG140*(1-Annahmen!$B$33*$C$14)+BH$21*$E$14*Annahmen!$B$21*Annahmen!$B$24</f>
        <v>22.5207976652209</v>
      </c>
      <c r="BI140" s="41" t="n">
        <f aca="false">BH140*(1-Annahmen!$B$33*$C$14)+BI$21*$E$14*Annahmen!$B$21*Annahmen!$B$24</f>
        <v>23.0394233072469</v>
      </c>
      <c r="BJ140" s="41" t="n">
        <f aca="false">BI140*(1-Annahmen!$B$33*$C$14)+BJ$21*$E$14*Annahmen!$B$21*Annahmen!$B$24</f>
        <v>23.5487136877165</v>
      </c>
    </row>
    <row r="141" customFormat="false" ht="15" hidden="false" customHeight="false" outlineLevel="0" collapsed="false">
      <c r="B141" s="5" t="s">
        <v>223</v>
      </c>
      <c r="C141" s="38" t="n">
        <f aca="false">C137+C138+C139</f>
        <v>6.9197</v>
      </c>
      <c r="D141" s="38" t="n">
        <f aca="false">D137+D138+D139</f>
        <v>8.7706409</v>
      </c>
      <c r="E141" s="38" t="n">
        <f aca="false">E137+E138+E139</f>
        <v>10.5554661863</v>
      </c>
      <c r="F141" s="38" t="n">
        <f aca="false">F137+F138+F139</f>
        <v>14.3767125018341</v>
      </c>
      <c r="G141" s="38" t="n">
        <f aca="false">G137+G138+G139</f>
        <v>18.0610881160366</v>
      </c>
      <c r="H141" s="38" t="n">
        <f aca="false">H137+H138+H139</f>
        <v>21.6138553012512</v>
      </c>
      <c r="I141" s="38" t="n">
        <f aca="false">I137+I138+I139</f>
        <v>27.1400636331015</v>
      </c>
      <c r="J141" s="38" t="n">
        <f aca="false">J137+J138+J139</f>
        <v>32.4688328891092</v>
      </c>
      <c r="K141" s="38" t="n">
        <f aca="false">K137+K138+K139</f>
        <v>37.6077396641477</v>
      </c>
      <c r="L141" s="38" t="n">
        <f aca="false">L137+L138+L139</f>
        <v>44.6640547284097</v>
      </c>
      <c r="M141" s="38" t="n">
        <f aca="false">M137+M138+M139</f>
        <v>51.4690298100657</v>
      </c>
      <c r="N141" s="38" t="n">
        <f aca="false">N137+N138+N139</f>
        <v>58.0322879287506</v>
      </c>
      <c r="O141" s="38" t="n">
        <f aca="false">O137+O138+O139</f>
        <v>67.1630643127703</v>
      </c>
      <c r="P141" s="38" t="n">
        <f aca="false">P137+P138+P139</f>
        <v>75.9692545891039</v>
      </c>
      <c r="Q141" s="38" t="n">
        <f aca="false">Q137+Q138+Q139</f>
        <v>84.4632677449328</v>
      </c>
      <c r="R141" s="38" t="n">
        <f aca="false">R137+R138+R139</f>
        <v>95.4570132362548</v>
      </c>
      <c r="S141" s="38" t="n">
        <f aca="false">S137+S138+S139</f>
        <v>106.060953827462</v>
      </c>
      <c r="T141" s="38" t="n">
        <f aca="false">T137+T138+T139</f>
        <v>116.289963004032</v>
      </c>
      <c r="U141" s="38" t="n">
        <f aca="false">U137+U138+U139</f>
        <v>128.958316342509</v>
      </c>
      <c r="V141" s="38" t="n">
        <f aca="false">V137+V138+V139</f>
        <v>141.178748429879</v>
      </c>
      <c r="W141" s="38" t="n">
        <f aca="false">W137+W138+W139</f>
        <v>152.968314182383</v>
      </c>
      <c r="X141" s="38" t="n">
        <f aca="false">X137+X138+X139</f>
        <v>167.143383955438</v>
      </c>
      <c r="Y141" s="38" t="n">
        <f aca="false">Y137+Y138+Y139</f>
        <v>180.818704044015</v>
      </c>
      <c r="Z141" s="38" t="n">
        <f aca="false">Z137+Z138+Z139</f>
        <v>194.013261430348</v>
      </c>
      <c r="AA141" s="38" t="n">
        <f aca="false">AA137+AA138+AA139</f>
        <v>208.145282177278</v>
      </c>
      <c r="AB141" s="38" t="n">
        <f aca="false">AB137+AB138+AB139</f>
        <v>221.781779072816</v>
      </c>
      <c r="AC141" s="38" t="n">
        <f aca="false">AC137+AC138+AC139</f>
        <v>234.941500656874</v>
      </c>
      <c r="AD141" s="38" t="n">
        <f aca="false">AD137+AD138+AD139</f>
        <v>249.742446361444</v>
      </c>
      <c r="AE141" s="38" t="n">
        <f aca="false">AE137+AE138+AE139</f>
        <v>264.026171597809</v>
      </c>
      <c r="AF141" s="38" t="n">
        <f aca="false">AF137+AF138+AF139</f>
        <v>277.812195617645</v>
      </c>
      <c r="AG141" s="38" t="n">
        <f aca="false">AG137+AG138+AG139</f>
        <v>293.219259214504</v>
      </c>
      <c r="AH141" s="38" t="n">
        <f aca="false">AH137+AH138+AH139</f>
        <v>308.0896309869</v>
      </c>
      <c r="AI141" s="38" t="n">
        <f aca="false">AI137+AI138+AI139</f>
        <v>322.443516326442</v>
      </c>
      <c r="AJ141" s="38" t="n">
        <f aca="false">AJ137+AJ138+AJ139</f>
        <v>339.100316199602</v>
      </c>
      <c r="AK141" s="38" t="n">
        <f aca="false">AK137+AK138+AK139</f>
        <v>355.177692446303</v>
      </c>
      <c r="AL141" s="38" t="n">
        <f aca="false">AL137+AL138+AL139</f>
        <v>370.697437126702</v>
      </c>
      <c r="AM141" s="38" t="n">
        <f aca="false">AM137+AM138+AM139</f>
        <v>389.180475322915</v>
      </c>
      <c r="AN141" s="38" t="n">
        <f aca="false">AN137+AN138+AN139</f>
        <v>407.020691009407</v>
      </c>
      <c r="AO141" s="38" t="n">
        <f aca="false">AO137+AO138+AO139</f>
        <v>424.242258228732</v>
      </c>
      <c r="AP141" s="38" t="n">
        <f aca="false">AP137+AP138+AP139</f>
        <v>440.868389320432</v>
      </c>
      <c r="AQ141" s="38" t="n">
        <f aca="false">AQ137+AQ138+AQ139</f>
        <v>456.921374710091</v>
      </c>
      <c r="AR141" s="38" t="n">
        <f aca="false">AR137+AR138+AR139</f>
        <v>472.422621007178</v>
      </c>
      <c r="AS141" s="38" t="n">
        <f aca="false">AS137+AS138+AS139</f>
        <v>487.392687484889</v>
      </c>
      <c r="AT141" s="38" t="n">
        <f aca="false">AT137+AT138+AT139</f>
        <v>501.851321012018</v>
      </c>
      <c r="AU141" s="38" t="n">
        <f aca="false">AU137+AU138+AU139</f>
        <v>515.817489503789</v>
      </c>
      <c r="AV141" s="38" t="n">
        <f aca="false">AV137+AV138+AV139</f>
        <v>529.309413955662</v>
      </c>
      <c r="AW141" s="38" t="n">
        <f aca="false">AW137+AW138+AW139</f>
        <v>542.344599121318</v>
      </c>
      <c r="AX141" s="38" t="n">
        <f aca="false">AX137+AX138+AX139</f>
        <v>554.939862893361</v>
      </c>
      <c r="AY141" s="38" t="n">
        <f aca="false">AY137+AY138+AY139</f>
        <v>574.11136444269</v>
      </c>
      <c r="AZ141" s="38" t="n">
        <f aca="false">AZ137+AZ138+AZ139</f>
        <v>592.622211170074</v>
      </c>
      <c r="BA141" s="38" t="n">
        <f aca="false">BA137+BA138+BA139</f>
        <v>610.497078181104</v>
      </c>
      <c r="BB141" s="38" t="n">
        <f aca="false">BB137+BB138+BB139</f>
        <v>627.759663697079</v>
      </c>
      <c r="BC141" s="38" t="n">
        <f aca="false">BC137+BC138+BC139</f>
        <v>644.43272933638</v>
      </c>
      <c r="BD141" s="38" t="n">
        <f aca="false">BD137+BD138+BD139</f>
        <v>660.538138687642</v>
      </c>
      <c r="BE141" s="38" t="n">
        <f aca="false">BE137+BE138+BE139</f>
        <v>676.096894248601</v>
      </c>
      <c r="BF141" s="38" t="n">
        <f aca="false">BF137+BF138+BF139</f>
        <v>691.129172801183</v>
      </c>
      <c r="BG141" s="38" t="n">
        <f aca="false">BG137+BG138+BG139</f>
        <v>705.654359290383</v>
      </c>
      <c r="BH141" s="38" t="n">
        <f aca="false">BH137+BH138+BH139</f>
        <v>719.691079271473</v>
      </c>
      <c r="BI141" s="38" t="n">
        <f aca="false">BI137+BI138+BI139</f>
        <v>733.257229987286</v>
      </c>
      <c r="BJ141" s="38" t="n">
        <f aca="false">BJ137+BJ138+BJ139</f>
        <v>746.370010134615</v>
      </c>
    </row>
    <row r="142" customFormat="false" ht="15" hidden="false" customHeight="false" outlineLevel="0" collapsed="false">
      <c r="B142" s="5" t="s">
        <v>400</v>
      </c>
      <c r="C142" s="37" t="n">
        <f aca="false">(C137*Annahmen!$B$10+C138*(Annahmen!$B$11+Annahmen!$B$13*Annahmen!$B$22)+C139*(Annahmen!$B$12+Annahmen!$B$14*Annahmen!$B$23)+C140*Annahmen!$B$16)*$D$14</f>
        <v>747.240804</v>
      </c>
      <c r="D142" s="37" t="n">
        <f aca="false">(D137*Annahmen!$B$10+D138*(Annahmen!$B$11+Annahmen!$B$13*Annahmen!$B$22)+D139*(Annahmen!$B$12+Annahmen!$B$14*Annahmen!$B$23)+D140*Annahmen!$B$16)*$D$14</f>
        <v>951.320247678</v>
      </c>
      <c r="E142" s="37" t="n">
        <f aca="false">(E137*Annahmen!$B$10+E138*(Annahmen!$B$11+Annahmen!$B$13*Annahmen!$B$22)+E139*(Annahmen!$B$12+Annahmen!$B$14*Annahmen!$B$23)+E140*Annahmen!$B$16)*$D$14</f>
        <v>1149.57731389405</v>
      </c>
      <c r="F142" s="37" t="n">
        <f aca="false">(F137*Annahmen!$B$10+F138*(Annahmen!$B$11+Annahmen!$B$13*Annahmen!$B$22)+F139*(Annahmen!$B$12+Annahmen!$B$14*Annahmen!$B$23)+F140*Annahmen!$B$16)*$D$14</f>
        <v>1567.79900459563</v>
      </c>
      <c r="G142" s="37" t="n">
        <f aca="false">(G137*Annahmen!$B$10+G138*(Annahmen!$B$11+Annahmen!$B$13*Annahmen!$B$22)+G139*(Annahmen!$B$12+Annahmen!$B$14*Annahmen!$B$23)+G140*Annahmen!$B$16)*$D$14</f>
        <v>1974.0490405378</v>
      </c>
      <c r="H142" s="37" t="n">
        <f aca="false">(H137*Annahmen!$B$10+H138*(Annahmen!$B$11+Annahmen!$B$13*Annahmen!$B$22)+H139*(Annahmen!$B$12+Annahmen!$B$14*Annahmen!$B$23)+H140*Annahmen!$B$16)*$D$14</f>
        <v>2368.70955890556</v>
      </c>
      <c r="I142" s="37" t="n">
        <f aca="false">(I137*Annahmen!$B$10+I138*(Annahmen!$B$11+Annahmen!$B$13*Annahmen!$B$22)+I139*(Annahmen!$B$12+Annahmen!$B$14*Annahmen!$B$23)+I140*Annahmen!$B$16)*$D$14</f>
        <v>2977.75105880646</v>
      </c>
      <c r="J142" s="37" t="n">
        <f aca="false">(J137*Annahmen!$B$10+J138*(Annahmen!$B$11+Annahmen!$B$13*Annahmen!$B$22)+J139*(Annahmen!$B$12+Annahmen!$B$14*Annahmen!$B$23)+J140*Annahmen!$B$16)*$D$14</f>
        <v>3569.41435145266</v>
      </c>
      <c r="K142" s="37" t="n">
        <f aca="false">(K137*Annahmen!$B$10+K138*(Annahmen!$B$11+Annahmen!$B$13*Annahmen!$B$22)+K139*(Annahmen!$B$12+Annahmen!$B$14*Annahmen!$B$23)+K140*Annahmen!$B$16)*$D$14</f>
        <v>4144.25249830582</v>
      </c>
      <c r="L142" s="37" t="n">
        <f aca="false">(L137*Annahmen!$B$10+L138*(Annahmen!$B$11+Annahmen!$B$13*Annahmen!$B$22)+L139*(Annahmen!$B$12+Annahmen!$B$14*Annahmen!$B$23)+L140*Annahmen!$B$16)*$D$14</f>
        <v>4928.40098756283</v>
      </c>
      <c r="M142" s="37" t="n">
        <f aca="false">(M137*Annahmen!$B$10+M138*(Annahmen!$B$11+Annahmen!$B$13*Annahmen!$B$22)+M139*(Annahmen!$B$12+Annahmen!$B$14*Annahmen!$B$23)+M140*Annahmen!$B$16)*$D$14</f>
        <v>5690.25990619388</v>
      </c>
      <c r="N142" s="37" t="n">
        <f aca="false">(N137*Annahmen!$B$10+N138*(Annahmen!$B$11+Annahmen!$B$13*Annahmen!$B$22)+N139*(Annahmen!$B$12+Annahmen!$B$14*Annahmen!$B$23)+N140*Annahmen!$B$16)*$D$14</f>
        <v>6430.53609118248</v>
      </c>
      <c r="O142" s="37" t="n">
        <f aca="false">(O137*Annahmen!$B$10+O138*(Annahmen!$B$11+Annahmen!$B$13*Annahmen!$B$22)+O139*(Annahmen!$B$12+Annahmen!$B$14*Annahmen!$B$23)+O140*Annahmen!$B$16)*$D$14</f>
        <v>7450.71409070508</v>
      </c>
      <c r="P142" s="37" t="n">
        <f aca="false">(P137*Annahmen!$B$10+P138*(Annahmen!$B$11+Annahmen!$B$13*Annahmen!$B$22)+P139*(Annahmen!$B$12+Annahmen!$B$14*Annahmen!$B$23)+P140*Annahmen!$B$16)*$D$14</f>
        <v>8441.96568176682</v>
      </c>
      <c r="Q142" s="37" t="n">
        <f aca="false">(Q137*Annahmen!$B$10+Q138*(Annahmen!$B$11+Annahmen!$B$13*Annahmen!$B$22)+Q139*(Annahmen!$B$12+Annahmen!$B$14*Annahmen!$B$23)+Q140*Annahmen!$B$16)*$D$14</f>
        <v>9405.20602862485</v>
      </c>
      <c r="R142" s="37" t="n">
        <f aca="false">(R137*Annahmen!$B$10+R138*(Annahmen!$B$11+Annahmen!$B$13*Annahmen!$B$22)+R139*(Annahmen!$B$12+Annahmen!$B$14*Annahmen!$B$23)+R140*Annahmen!$B$16)*$D$14</f>
        <v>10642.1208162378</v>
      </c>
      <c r="S142" s="37" t="n">
        <f aca="false">(S137*Annahmen!$B$10+S138*(Annahmen!$B$11+Annahmen!$B$13*Annahmen!$B$22)+S139*(Annahmen!$B$12+Annahmen!$B$14*Annahmen!$B$23)+S140*Annahmen!$B$16)*$D$14</f>
        <v>11844.076035409</v>
      </c>
      <c r="T142" s="37" t="n">
        <f aca="false">(T137*Annahmen!$B$10+T138*(Annahmen!$B$11+Annahmen!$B$13*Annahmen!$B$22)+T139*(Annahmen!$B$12+Annahmen!$B$14*Annahmen!$B$23)+T140*Annahmen!$B$16)*$D$14</f>
        <v>13012.1743981903</v>
      </c>
      <c r="U142" s="37" t="n">
        <f aca="false">(U137*Annahmen!$B$10+U138*(Annahmen!$B$11+Annahmen!$B$13*Annahmen!$B$22)+U139*(Annahmen!$B$12+Annahmen!$B$14*Annahmen!$B$23)+U140*Annahmen!$B$16)*$D$14</f>
        <v>14448.2827182185</v>
      </c>
      <c r="V142" s="37" t="n">
        <f aca="false">(V137*Annahmen!$B$10+V138*(Annahmen!$B$11+Annahmen!$B$13*Annahmen!$B$22)+V139*(Annahmen!$B$12+Annahmen!$B$14*Annahmen!$B$23)+V140*Annahmen!$B$16)*$D$14</f>
        <v>15843.9419330624</v>
      </c>
      <c r="W142" s="37" t="n">
        <f aca="false">(W137*Annahmen!$B$10+W138*(Annahmen!$B$11+Annahmen!$B$13*Annahmen!$B$22)+W139*(Annahmen!$B$12+Annahmen!$B$14*Annahmen!$B$23)+W140*Annahmen!$B$16)*$D$14</f>
        <v>17200.4237475463</v>
      </c>
      <c r="X142" s="37" t="n">
        <f aca="false">(X137*Annahmen!$B$10+X138*(Annahmen!$B$11+Annahmen!$B$13*Annahmen!$B$22)+X139*(Annahmen!$B$12+Annahmen!$B$14*Annahmen!$B$23)+X140*Annahmen!$B$16)*$D$14</f>
        <v>18819.7582330974</v>
      </c>
      <c r="Y142" s="37" t="n">
        <f aca="false">(Y137*Annahmen!$B$10+Y138*(Annahmen!$B$11+Annahmen!$B$13*Annahmen!$B$22)+Y139*(Annahmen!$B$12+Annahmen!$B$14*Annahmen!$B$23)+Y140*Annahmen!$B$16)*$D$14</f>
        <v>20393.6440605624</v>
      </c>
      <c r="Z142" s="37" t="n">
        <f aca="false">(Z137*Annahmen!$B$10+Z138*(Annahmen!$B$11+Annahmen!$B$13*Annahmen!$B$22)+Z139*(Annahmen!$B$12+Annahmen!$B$14*Annahmen!$B$23)+Z140*Annahmen!$B$16)*$D$14</f>
        <v>21923.5053458034</v>
      </c>
      <c r="AA142" s="37" t="n">
        <f aca="false">(AA137*Annahmen!$B$10+AA138*(Annahmen!$B$11+Annahmen!$B$13*Annahmen!$B$22)+AA139*(Annahmen!$B$12+Annahmen!$B$14*Annahmen!$B$23)+AA140*Annahmen!$B$16)*$D$14</f>
        <v>23561.1182834558</v>
      </c>
      <c r="AB142" s="37" t="n">
        <f aca="false">(AB137*Annahmen!$B$10+AB138*(Annahmen!$B$11+Annahmen!$B$13*Annahmen!$B$22)+AB139*(Annahmen!$B$12+Annahmen!$B$14*Annahmen!$B$23)+AB140*Annahmen!$B$16)*$D$14</f>
        <v>25153.0672686927</v>
      </c>
      <c r="AC142" s="37" t="n">
        <f aca="false">(AC137*Annahmen!$B$10+AC138*(Annahmen!$B$11+Annahmen!$B$13*Annahmen!$B$22)+AC139*(Annahmen!$B$12+Annahmen!$B$14*Annahmen!$B$23)+AC140*Annahmen!$B$16)*$D$14</f>
        <v>26700.774285907</v>
      </c>
      <c r="AD142" s="37" t="n">
        <f aca="false">(AD137*Annahmen!$B$10+AD138*(Annahmen!$B$11+Annahmen!$B$13*Annahmen!$B$22)+AD139*(Annahmen!$B$12+Annahmen!$B$14*Annahmen!$B$23)+AD140*Annahmen!$B$16)*$D$14</f>
        <v>28431.2143136205</v>
      </c>
      <c r="AE142" s="37" t="n">
        <f aca="false">(AE137*Annahmen!$B$10+AE138*(Annahmen!$B$11+Annahmen!$B$13*Annahmen!$B$22)+AE139*(Annahmen!$B$12+Annahmen!$B$14*Annahmen!$B$23)+AE140*Annahmen!$B$16)*$D$14</f>
        <v>30113.5985750057</v>
      </c>
      <c r="AF142" s="37" t="n">
        <f aca="false">(AF137*Annahmen!$B$10+AF138*(Annahmen!$B$11+Annahmen!$B$13*Annahmen!$B$22)+AF139*(Annahmen!$B$12+Annahmen!$B$14*Annahmen!$B$23)+AF140*Annahmen!$B$16)*$D$14</f>
        <v>31749.417725664</v>
      </c>
      <c r="AG142" s="37" t="n">
        <f aca="false">(AG137*Annahmen!$B$10+AG138*(Annahmen!$B$11+Annahmen!$B$13*Annahmen!$B$22)+AG139*(Annahmen!$B$12+Annahmen!$B$14*Annahmen!$B$23)+AG140*Annahmen!$B$16)*$D$14</f>
        <v>33565.7132311026</v>
      </c>
      <c r="AH142" s="37" t="n">
        <f aca="false">(AH137*Annahmen!$B$10+AH138*(Annahmen!$B$11+Annahmen!$B$13*Annahmen!$B$22)+AH139*(Annahmen!$B$12+Annahmen!$B$14*Annahmen!$B$23)+AH140*Annahmen!$B$16)*$D$14</f>
        <v>35331.7606930977</v>
      </c>
      <c r="AI142" s="37" t="n">
        <f aca="false">(AI137*Annahmen!$B$10+AI138*(Annahmen!$B$11+Annahmen!$B$13*Annahmen!$B$22)+AI139*(Annahmen!$B$12+Annahmen!$B$14*Annahmen!$B$23)+AI140*Annahmen!$B$16)*$D$14</f>
        <v>37049.1131104902</v>
      </c>
      <c r="AJ142" s="37" t="n">
        <f aca="false">(AJ137*Annahmen!$B$10+AJ138*(Annahmen!$B$11+Annahmen!$B$13*Annahmen!$B$22)+AJ139*(Annahmen!$B$12+Annahmen!$B$14*Annahmen!$B$23)+AJ140*Annahmen!$B$16)*$D$14</f>
        <v>39020.0729069651</v>
      </c>
      <c r="AK142" s="37" t="n">
        <f aca="false">(AK137*Annahmen!$B$10+AK138*(Annahmen!$B$11+Annahmen!$B$13*Annahmen!$B$22)+AK139*(Annahmen!$B$12+Annahmen!$B$14*Annahmen!$B$23)+AK140*Annahmen!$B$16)*$D$14</f>
        <v>40936.6024740721</v>
      </c>
      <c r="AL142" s="37" t="n">
        <f aca="false">(AL137*Annahmen!$B$10+AL138*(Annahmen!$B$11+Annahmen!$B$13*Annahmen!$B$22)+AL139*(Annahmen!$B$12+Annahmen!$B$14*Annahmen!$B$23)+AL140*Annahmen!$B$16)*$D$14</f>
        <v>42800.3813154832</v>
      </c>
      <c r="AM142" s="37" t="n">
        <f aca="false">(AM137*Annahmen!$B$10+AM138*(Annahmen!$B$11+Annahmen!$B$13*Annahmen!$B$22)+AM139*(Annahmen!$B$12+Annahmen!$B$14*Annahmen!$B$23)+AM140*Annahmen!$B$16)*$D$14</f>
        <v>44989.0347083254</v>
      </c>
      <c r="AN142" s="37" t="n">
        <f aca="false">(AN137*Annahmen!$B$10+AN138*(Annahmen!$B$11+Annahmen!$B$13*Annahmen!$B$22)+AN139*(Annahmen!$B$12+Annahmen!$B$14*Annahmen!$B$23)+AN140*Annahmen!$B$16)*$D$14</f>
        <v>47117.2715487436</v>
      </c>
      <c r="AO142" s="37" t="n">
        <f aca="false">(AO137*Annahmen!$B$10+AO138*(Annahmen!$B$11+Annahmen!$B$13*Annahmen!$B$22)+AO139*(Annahmen!$B$12+Annahmen!$B$14*Annahmen!$B$23)+AO140*Annahmen!$B$16)*$D$14</f>
        <v>49186.9554620816</v>
      </c>
      <c r="AP142" s="37" t="n">
        <f aca="false">(AP137*Annahmen!$B$10+AP138*(Annahmen!$B$11+Annahmen!$B$13*Annahmen!$B$22)+AP139*(Annahmen!$B$12+Annahmen!$B$14*Annahmen!$B$23)+AP140*Annahmen!$B$16)*$D$14</f>
        <v>51199.8866969404</v>
      </c>
      <c r="AQ142" s="37" t="n">
        <f aca="false">(AQ137*Annahmen!$B$10+AQ138*(Annahmen!$B$11+Annahmen!$B$13*Annahmen!$B$22)+AQ139*(Annahmen!$B$12+Annahmen!$B$14*Annahmen!$B$23)+AQ140*Annahmen!$B$16)*$D$14</f>
        <v>53157.8044555488</v>
      </c>
      <c r="AR142" s="37" t="n">
        <f aca="false">(AR137*Annahmen!$B$10+AR138*(Annahmen!$B$11+Annahmen!$B$13*Annahmen!$B$22)+AR139*(Annahmen!$B$12+Annahmen!$B$14*Annahmen!$B$23)+AR140*Annahmen!$B$16)*$D$14</f>
        <v>55062.3891332414</v>
      </c>
      <c r="AS142" s="37" t="n">
        <f aca="false">(AS137*Annahmen!$B$10+AS138*(Annahmen!$B$11+Annahmen!$B$13*Annahmen!$B$22)+AS139*(Annahmen!$B$12+Annahmen!$B$14*Annahmen!$B$23)+AS140*Annahmen!$B$16)*$D$14</f>
        <v>56915.2644707432</v>
      </c>
      <c r="AT142" s="37" t="n">
        <f aca="false">(AT137*Annahmen!$B$10+AT138*(Annahmen!$B$11+Annahmen!$B$13*Annahmen!$B$22)+AT139*(Annahmen!$B$12+Annahmen!$B$14*Annahmen!$B$23)+AT140*Annahmen!$B$16)*$D$14</f>
        <v>58717.999622809</v>
      </c>
      <c r="AU142" s="37" t="n">
        <f aca="false">(AU137*Annahmen!$B$10+AU138*(Annahmen!$B$11+Annahmen!$B$13*Annahmen!$B$22)+AU139*(Annahmen!$B$12+Annahmen!$B$14*Annahmen!$B$23)+AU140*Annahmen!$B$16)*$D$14</f>
        <v>60472.1111466122</v>
      </c>
      <c r="AV142" s="37" t="n">
        <f aca="false">(AV137*Annahmen!$B$10+AV138*(Annahmen!$B$11+Annahmen!$B$13*Annahmen!$B$22)+AV139*(Annahmen!$B$12+Annahmen!$B$14*Annahmen!$B$23)+AV140*Annahmen!$B$16)*$D$14</f>
        <v>62179.064913139</v>
      </c>
      <c r="AW142" s="37" t="n">
        <f aca="false">(AW137*Annahmen!$B$10+AW138*(Annahmen!$B$11+Annahmen!$B$13*Annahmen!$B$22)+AW139*(Annahmen!$B$12+Annahmen!$B$14*Annahmen!$B$23)+AW140*Annahmen!$B$16)*$D$14</f>
        <v>63840.2779447059</v>
      </c>
      <c r="AX142" s="37" t="n">
        <f aca="false">(AX137*Annahmen!$B$10+AX138*(Annahmen!$B$11+Annahmen!$B$13*Annahmen!$B$22)+AX139*(Annahmen!$B$12+Annahmen!$B$14*Annahmen!$B$23)+AX140*Annahmen!$B$16)*$D$14</f>
        <v>65457.1201815887</v>
      </c>
      <c r="AY142" s="37" t="n">
        <f aca="false">(AY137*Annahmen!$B$10+AY138*(Annahmen!$B$11+Annahmen!$B$13*Annahmen!$B$22)+AY139*(Annahmen!$B$12+Annahmen!$B$14*Annahmen!$B$23)+AY140*Annahmen!$B$16)*$D$14</f>
        <v>67782.9219806255</v>
      </c>
      <c r="AZ142" s="37" t="n">
        <f aca="false">(AZ137*Annahmen!$B$10+AZ138*(Annahmen!$B$11+Annahmen!$B$13*Annahmen!$B$22)+AZ139*(Annahmen!$B$12+Annahmen!$B$14*Annahmen!$B$23)+AZ140*Annahmen!$B$16)*$D$14</f>
        <v>70045.2472381373</v>
      </c>
      <c r="BA142" s="37" t="n">
        <f aca="false">(BA137*Annahmen!$B$10+BA138*(Annahmen!$B$11+Annahmen!$B$13*Annahmen!$B$22)+BA139*(Annahmen!$B$12+Annahmen!$B$14*Annahmen!$B$23)+BA140*Annahmen!$B$16)*$D$14</f>
        <v>72246.0331433131</v>
      </c>
      <c r="BB142" s="37" t="n">
        <f aca="false">(BB137*Annahmen!$B$10+BB138*(Annahmen!$B$11+Annahmen!$B$13*Annahmen!$B$22)+BB139*(Annahmen!$B$12+Annahmen!$B$14*Annahmen!$B$23)+BB140*Annahmen!$B$16)*$D$14</f>
        <v>74387.1515964257</v>
      </c>
      <c r="BC142" s="37" t="n">
        <f aca="false">(BC137*Annahmen!$B$10+BC138*(Annahmen!$B$11+Annahmen!$B$13*Annahmen!$B$22)+BC139*(Annahmen!$B$12+Annahmen!$B$14*Annahmen!$B$23)+BC140*Annahmen!$B$16)*$D$14</f>
        <v>76470.4115927702</v>
      </c>
      <c r="BD142" s="37" t="n">
        <f aca="false">(BD137*Annahmen!$B$10+BD138*(Annahmen!$B$11+Annahmen!$B$13*Annahmen!$B$22)+BD139*(Annahmen!$B$12+Annahmen!$B$14*Annahmen!$B$23)+BD140*Annahmen!$B$16)*$D$14</f>
        <v>78497.5615141021</v>
      </c>
      <c r="BE142" s="37" t="n">
        <f aca="false">(BE137*Annahmen!$B$10+BE138*(Annahmen!$B$11+Annahmen!$B$13*Annahmen!$B$22)+BE139*(Annahmen!$B$12+Annahmen!$B$14*Annahmen!$B$23)+BE140*Annahmen!$B$16)*$D$14</f>
        <v>80470.2913313289</v>
      </c>
      <c r="BF142" s="37" t="n">
        <f aca="false">(BF137*Annahmen!$B$10+BF138*(Annahmen!$B$11+Annahmen!$B$13*Annahmen!$B$22)+BF139*(Annahmen!$B$12+Annahmen!$B$14*Annahmen!$B$23)+BF140*Annahmen!$B$16)*$D$14</f>
        <v>82390.2347220478</v>
      </c>
      <c r="BG142" s="37" t="n">
        <f aca="false">(BG137*Annahmen!$B$10+BG138*(Annahmen!$B$11+Annahmen!$B$13*Annahmen!$B$22)+BG139*(Annahmen!$B$12+Annahmen!$B$14*Annahmen!$B$23)+BG140*Annahmen!$B$16)*$D$14</f>
        <v>84258.9711063779</v>
      </c>
      <c r="BH142" s="37" t="n">
        <f aca="false">(BH137*Annahmen!$B$10+BH138*(Annahmen!$B$11+Annahmen!$B$13*Annahmen!$B$22)+BH139*(Annahmen!$B$12+Annahmen!$B$14*Annahmen!$B$23)+BH140*Annahmen!$B$16)*$D$14</f>
        <v>86078.027604384</v>
      </c>
      <c r="BI142" s="37" t="n">
        <f aca="false">(BI137*Annahmen!$B$10+BI138*(Annahmen!$B$11+Annahmen!$B$13*Annahmen!$B$22)+BI139*(Annahmen!$B$12+Annahmen!$B$14*Annahmen!$B$23)+BI140*Annahmen!$B$16)*$D$14</f>
        <v>87848.8809182578</v>
      </c>
      <c r="BJ142" s="37" t="n">
        <f aca="false">(BJ137*Annahmen!$B$10+BJ138*(Annahmen!$B$11+Annahmen!$B$13*Annahmen!$B$22)+BJ139*(Annahmen!$B$12+Annahmen!$B$14*Annahmen!$B$23)+BJ140*Annahmen!$B$16)*$D$14</f>
        <v>89572.9591422861</v>
      </c>
    </row>
    <row r="143" customFormat="false" ht="15" hidden="false" customHeight="false" outlineLevel="0" collapsed="false">
      <c r="B143" s="5" t="s">
        <v>228</v>
      </c>
      <c r="C143" s="37" t="n">
        <f aca="false">C142*(1-Annahmen!$B$27)+C$21*$E$14*Annahmen!$B$21*Annahmen!$B$24*Annahmen!$B$15*$D$14</f>
        <v>800.1451638</v>
      </c>
      <c r="D143" s="37" t="n">
        <f aca="false">D142*(1-Annahmen!$B$27)+D$21*$E$14*Annahmen!$B$21*Annahmen!$B$24*Annahmen!$B$15*$D$14</f>
        <v>994.0206352941</v>
      </c>
      <c r="E143" s="37" t="n">
        <f aca="false">E142*(1-Annahmen!$B$27)+E$21*$E$14*Annahmen!$B$21*Annahmen!$B$24*Annahmen!$B$15*$D$14</f>
        <v>1182.36484819934</v>
      </c>
      <c r="F143" s="37" t="n">
        <f aca="false">F142*(1-Annahmen!$B$27)+F$21*$E$14*Annahmen!$B$21*Annahmen!$B$24*Annahmen!$B$15*$D$14</f>
        <v>1669.94185436585</v>
      </c>
      <c r="G143" s="37" t="n">
        <f aca="false">G142*(1-Annahmen!$B$27)+G$21*$E$14*Annahmen!$B$21*Annahmen!$B$24*Annahmen!$B$15*$D$14</f>
        <v>2055.87938851091</v>
      </c>
      <c r="H143" s="37" t="n">
        <f aca="false">H142*(1-Annahmen!$B$27)+H$21*$E$14*Annahmen!$B$21*Annahmen!$B$24*Annahmen!$B$15*$D$14</f>
        <v>2430.80688096028</v>
      </c>
      <c r="I143" s="37" t="n">
        <f aca="false">I142*(1-Annahmen!$B$27)+I$21*$E$14*Annahmen!$B$21*Annahmen!$B$24*Annahmen!$B$15*$D$14</f>
        <v>3099.66270586614</v>
      </c>
      <c r="J143" s="37" t="n">
        <f aca="false">J142*(1-Annahmen!$B$27)+J$21*$E$14*Annahmen!$B$21*Annahmen!$B$24*Annahmen!$B$15*$D$14</f>
        <v>3661.74283388003</v>
      </c>
      <c r="K143" s="37" t="n">
        <f aca="false">K142*(1-Annahmen!$B$27)+K$21*$E$14*Annahmen!$B$21*Annahmen!$B$24*Annahmen!$B$15*$D$14</f>
        <v>4207.83907339053</v>
      </c>
      <c r="L143" s="37" t="n">
        <f aca="false">L142*(1-Annahmen!$B$27)+L$21*$E$14*Annahmen!$B$21*Annahmen!$B$24*Annahmen!$B$15*$D$14</f>
        <v>5043.04653818469</v>
      </c>
      <c r="M143" s="37" t="n">
        <f aca="false">M142*(1-Annahmen!$B$27)+M$21*$E$14*Annahmen!$B$21*Annahmen!$B$24*Annahmen!$B$15*$D$14</f>
        <v>5766.81251088418</v>
      </c>
      <c r="N143" s="37" t="n">
        <f aca="false">N142*(1-Annahmen!$B$27)+N$21*$E$14*Annahmen!$B$21*Annahmen!$B$24*Annahmen!$B$15*$D$14</f>
        <v>6470.07488662335</v>
      </c>
      <c r="O143" s="37" t="n">
        <f aca="false">O142*(1-Annahmen!$B$27)+O$21*$E$14*Annahmen!$B$21*Annahmen!$B$24*Annahmen!$B$15*$D$14</f>
        <v>7559.59918616982</v>
      </c>
      <c r="P143" s="37" t="n">
        <f aca="false">P142*(1-Annahmen!$B$27)+P$21*$E$14*Annahmen!$B$21*Annahmen!$B$24*Annahmen!$B$15*$D$14</f>
        <v>8501.28819767848</v>
      </c>
      <c r="Q143" s="37" t="n">
        <f aca="false">Q142*(1-Annahmen!$B$27)+Q$21*$E$14*Annahmen!$B$21*Annahmen!$B$24*Annahmen!$B$15*$D$14</f>
        <v>9416.36652719361</v>
      </c>
      <c r="R143" s="37" t="n">
        <f aca="false">R142*(1-Annahmen!$B$27)+R$21*$E$14*Annahmen!$B$21*Annahmen!$B$24*Annahmen!$B$15*$D$14</f>
        <v>10711.7907754259</v>
      </c>
      <c r="S143" s="37" t="n">
        <f aca="false">S142*(1-Annahmen!$B$27)+S$21*$E$14*Annahmen!$B$21*Annahmen!$B$24*Annahmen!$B$15*$D$14</f>
        <v>11853.6482336385</v>
      </c>
      <c r="T143" s="37" t="n">
        <f aca="false">T142*(1-Annahmen!$B$27)+T$21*$E$14*Annahmen!$B$21*Annahmen!$B$24*Annahmen!$B$15*$D$14</f>
        <v>12963.3416782808</v>
      </c>
      <c r="U143" s="37" t="n">
        <f aca="false">U142*(1-Annahmen!$B$27)+U$21*$E$14*Annahmen!$B$21*Annahmen!$B$24*Annahmen!$B$15*$D$14</f>
        <v>14447.9997823076</v>
      </c>
      <c r="V143" s="37" t="n">
        <f aca="false">V142*(1-Annahmen!$B$27)+V$21*$E$14*Annahmen!$B$21*Annahmen!$B$24*Annahmen!$B$15*$D$14</f>
        <v>15773.8760364093</v>
      </c>
      <c r="W143" s="37" t="n">
        <f aca="false">W142*(1-Annahmen!$B$27)+W$21*$E$14*Annahmen!$B$21*Annahmen!$B$24*Annahmen!$B$15*$D$14</f>
        <v>17062.533760169</v>
      </c>
      <c r="X143" s="37" t="n">
        <f aca="false">X142*(1-Annahmen!$B$27)+X$21*$E$14*Annahmen!$B$21*Annahmen!$B$24*Annahmen!$B$15*$D$14</f>
        <v>18721.2567214425</v>
      </c>
      <c r="Y143" s="37" t="n">
        <f aca="false">Y142*(1-Annahmen!$B$27)+Y$21*$E$14*Annahmen!$B$21*Annahmen!$B$24*Annahmen!$B$15*$D$14</f>
        <v>20216.4482575343</v>
      </c>
      <c r="Z143" s="37" t="n">
        <f aca="false">Z142*(1-Annahmen!$B$27)+Z$21*$E$14*Annahmen!$B$21*Annahmen!$B$24*Annahmen!$B$15*$D$14</f>
        <v>21669.8164785132</v>
      </c>
      <c r="AA143" s="37" t="n">
        <f aca="false">AA142*(1-Annahmen!$B$27)+AA$21*$E$14*Annahmen!$B$21*Annahmen!$B$24*Annahmen!$B$15*$D$14</f>
        <v>23285.726369283</v>
      </c>
      <c r="AB143" s="37" t="n">
        <f aca="false">AB142*(1-Annahmen!$B$27)+AB$21*$E$14*Annahmen!$B$21*Annahmen!$B$24*Annahmen!$B$15*$D$14</f>
        <v>24798.077905258</v>
      </c>
      <c r="AC143" s="37" t="n">
        <f aca="false">AC142*(1-Annahmen!$B$27)+AC$21*$E$14*Annahmen!$B$21*Annahmen!$B$24*Annahmen!$B$15*$D$14</f>
        <v>26268.3995716117</v>
      </c>
      <c r="AD143" s="37" t="n">
        <f aca="false">AD142*(1-Annahmen!$B$27)+AD$21*$E$14*Annahmen!$B$21*Annahmen!$B$24*Annahmen!$B$15*$D$14</f>
        <v>28002.5839979395</v>
      </c>
      <c r="AE143" s="37" t="n">
        <f aca="false">AE142*(1-Annahmen!$B$27)+AE$21*$E$14*Annahmen!$B$21*Annahmen!$B$24*Annahmen!$B$15*$D$14</f>
        <v>29600.8490462554</v>
      </c>
      <c r="AF143" s="37" t="n">
        <f aca="false">AF142*(1-Annahmen!$B$27)+AF$21*$E$14*Annahmen!$B$21*Annahmen!$B$24*Annahmen!$B$15*$D$14</f>
        <v>31154.8772393808</v>
      </c>
      <c r="AG143" s="37" t="n">
        <f aca="false">AG142*(1-Annahmen!$B$27)+AG$21*$E$14*Annahmen!$B$21*Annahmen!$B$24*Annahmen!$B$15*$D$14</f>
        <v>32970.6243695475</v>
      </c>
      <c r="AH143" s="37" t="n">
        <f aca="false">AH142*(1-Annahmen!$B$27)+AH$21*$E$14*Annahmen!$B$21*Annahmen!$B$24*Annahmen!$B$15*$D$14</f>
        <v>34648.3694584428</v>
      </c>
      <c r="AI143" s="37" t="n">
        <f aca="false">AI142*(1-Annahmen!$B$27)+AI$21*$E$14*Annahmen!$B$21*Annahmen!$B$24*Annahmen!$B$15*$D$14</f>
        <v>36279.8542549657</v>
      </c>
      <c r="AJ143" s="37" t="n">
        <f aca="false">AJ142*(1-Annahmen!$B$27)+AJ$21*$E$14*Annahmen!$B$21*Annahmen!$B$24*Annahmen!$B$15*$D$14</f>
        <v>38272.6212616169</v>
      </c>
      <c r="AK143" s="37" t="n">
        <f aca="false">AK142*(1-Annahmen!$B$27)+AK$21*$E$14*Annahmen!$B$21*Annahmen!$B$24*Annahmen!$B$15*$D$14</f>
        <v>40093.3243503685</v>
      </c>
      <c r="AL143" s="37" t="n">
        <f aca="false">AL142*(1-Annahmen!$B$27)+AL$21*$E$14*Annahmen!$B$21*Annahmen!$B$24*Annahmen!$B$15*$D$14</f>
        <v>41863.914249709</v>
      </c>
      <c r="AM143" s="37" t="n">
        <f aca="false">AM142*(1-Annahmen!$B$27)+AM$21*$E$14*Annahmen!$B$21*Annahmen!$B$24*Annahmen!$B$15*$D$14</f>
        <v>44093.5789729091</v>
      </c>
      <c r="AN143" s="37" t="n">
        <f aca="false">AN142*(1-Annahmen!$B$27)+AN$21*$E$14*Annahmen!$B$21*Annahmen!$B$24*Annahmen!$B$15*$D$14</f>
        <v>46115.4039713064</v>
      </c>
      <c r="AO143" s="37" t="n">
        <f aca="false">AO142*(1-Annahmen!$B$27)+AO$21*$E$14*Annahmen!$B$21*Annahmen!$B$24*Annahmen!$B$15*$D$14</f>
        <v>48081.6036889775</v>
      </c>
      <c r="AP143" s="37" t="n">
        <f aca="false">AP142*(1-Annahmen!$B$27)+AP$21*$E$14*Annahmen!$B$21*Annahmen!$B$24*Annahmen!$B$15*$D$14</f>
        <v>49993.8883620934</v>
      </c>
      <c r="AQ143" s="37" t="n">
        <f aca="false">AQ142*(1-Annahmen!$B$27)+AQ$21*$E$14*Annahmen!$B$21*Annahmen!$B$24*Annahmen!$B$15*$D$14</f>
        <v>51853.9102327714</v>
      </c>
      <c r="AR143" s="37" t="n">
        <f aca="false">AR142*(1-Annahmen!$B$27)+AR$21*$E$14*Annahmen!$B$21*Annahmen!$B$24*Annahmen!$B$15*$D$14</f>
        <v>53663.2656765793</v>
      </c>
      <c r="AS143" s="37" t="n">
        <f aca="false">AS142*(1-Annahmen!$B$27)+AS$21*$E$14*Annahmen!$B$21*Annahmen!$B$24*Annahmen!$B$15*$D$14</f>
        <v>55423.497247206</v>
      </c>
      <c r="AT143" s="37" t="n">
        <f aca="false">AT142*(1-Annahmen!$B$27)+AT$21*$E$14*Annahmen!$B$21*Annahmen!$B$24*Annahmen!$B$15*$D$14</f>
        <v>57136.0956416686</v>
      </c>
      <c r="AU143" s="37" t="n">
        <f aca="false">AU142*(1-Annahmen!$B$27)+AU$21*$E$14*Annahmen!$B$21*Annahmen!$B$24*Annahmen!$B$15*$D$14</f>
        <v>58802.5015892816</v>
      </c>
      <c r="AV143" s="37" t="n">
        <f aca="false">AV142*(1-Annahmen!$B$27)+AV$21*$E$14*Annahmen!$B$21*Annahmen!$B$24*Annahmen!$B$15*$D$14</f>
        <v>60424.107667482</v>
      </c>
      <c r="AW143" s="37" t="n">
        <f aca="false">AW142*(1-Annahmen!$B$27)+AW$21*$E$14*Annahmen!$B$21*Annahmen!$B$24*Annahmen!$B$15*$D$14</f>
        <v>62002.2600474706</v>
      </c>
      <c r="AX143" s="37" t="n">
        <f aca="false">AX142*(1-Annahmen!$B$27)+AX$21*$E$14*Annahmen!$B$21*Annahmen!$B$24*Annahmen!$B$15*$D$14</f>
        <v>63538.2601725093</v>
      </c>
      <c r="AY143" s="37" t="n">
        <f aca="false">AY142*(1-Annahmen!$B$27)+AY$21*$E$14*Annahmen!$B$21*Annahmen!$B$24*Annahmen!$B$15*$D$14</f>
        <v>66048.6598815943</v>
      </c>
      <c r="AZ143" s="37" t="n">
        <f aca="false">AZ142*(1-Annahmen!$B$27)+AZ$21*$E$14*Annahmen!$B$21*Annahmen!$B$24*Annahmen!$B$15*$D$14</f>
        <v>68197.8688762304</v>
      </c>
      <c r="BA143" s="37" t="n">
        <f aca="false">BA142*(1-Annahmen!$B$27)+BA$21*$E$14*Annahmen!$B$21*Annahmen!$B$24*Annahmen!$B$15*$D$14</f>
        <v>70288.6154861474</v>
      </c>
      <c r="BB143" s="37" t="n">
        <f aca="false">BB142*(1-Annahmen!$B$27)+BB$21*$E$14*Annahmen!$B$21*Annahmen!$B$24*Annahmen!$B$15*$D$14</f>
        <v>72322.6780166044</v>
      </c>
      <c r="BC143" s="37" t="n">
        <f aca="false">BC142*(1-Annahmen!$B$27)+BC$21*$E$14*Annahmen!$B$21*Annahmen!$B$24*Annahmen!$B$15*$D$14</f>
        <v>74301.7750131317</v>
      </c>
      <c r="BD143" s="37" t="n">
        <f aca="false">BD142*(1-Annahmen!$B$27)+BD$21*$E$14*Annahmen!$B$21*Annahmen!$B$24*Annahmen!$B$15*$D$14</f>
        <v>76227.567438397</v>
      </c>
      <c r="BE143" s="37" t="n">
        <f aca="false">BE142*(1-Annahmen!$B$27)+BE$21*$E$14*Annahmen!$B$21*Annahmen!$B$24*Annahmen!$B$15*$D$14</f>
        <v>78101.6607647624</v>
      </c>
      <c r="BF143" s="37" t="n">
        <f aca="false">BF142*(1-Annahmen!$B$27)+BF$21*$E$14*Annahmen!$B$21*Annahmen!$B$24*Annahmen!$B$15*$D$14</f>
        <v>79925.6069859454</v>
      </c>
      <c r="BG143" s="37" t="n">
        <f aca="false">BG142*(1-Annahmen!$B$27)+BG$21*$E$14*Annahmen!$B$21*Annahmen!$B$24*Annahmen!$B$15*$D$14</f>
        <v>81700.906551059</v>
      </c>
      <c r="BH143" s="37" t="n">
        <f aca="false">BH142*(1-Annahmen!$B$27)+BH$21*$E$14*Annahmen!$B$21*Annahmen!$B$24*Annahmen!$B$15*$D$14</f>
        <v>83429.0102241648</v>
      </c>
      <c r="BI143" s="37" t="n">
        <f aca="false">BI142*(1-Annahmen!$B$27)+BI$21*$E$14*Annahmen!$B$21*Annahmen!$B$24*Annahmen!$B$15*$D$14</f>
        <v>85111.3208723449</v>
      </c>
      <c r="BJ143" s="37" t="n">
        <f aca="false">BJ142*(1-Annahmen!$B$27)+BJ$21*$E$14*Annahmen!$B$21*Annahmen!$B$24*Annahmen!$B$15*$D$14</f>
        <v>86749.1951851718</v>
      </c>
    </row>
    <row r="144" customFormat="false" ht="15" hidden="false" customHeight="false" outlineLevel="0" collapsed="false">
      <c r="B144" s="5" t="s">
        <v>239</v>
      </c>
      <c r="C144" s="37" t="n">
        <f aca="false">C137*Annahmen!$B$52+C138*Annahmen!$B$53+C139*Annahmen!$B$54+C143*Annahmen!$B$55+C141*Annahmen!$B$56+C143*INDEX(Annahmen!$B$58:$F$58,1,C$20)*Annahmen!$B$57+C$21*$E$14*Annahmen!$B$21*Annahmen!$B$24*Annahmen!$B$59</f>
        <v>28.6210563104</v>
      </c>
      <c r="D144" s="37" t="n">
        <f aca="false">D137*Annahmen!$B$52+D138*Annahmen!$B$53+D139*Annahmen!$B$54+D143*Annahmen!$B$55+D141*Annahmen!$B$56+D143*INDEX(Annahmen!$B$58:$F$58,1,D$20)*Annahmen!$B$57+D$21*$E$14*Annahmen!$B$21*Annahmen!$B$24*Annahmen!$B$59</f>
        <v>34.1579713973528</v>
      </c>
      <c r="E144" s="37" t="n">
        <f aca="false">E137*Annahmen!$B$52+E138*Annahmen!$B$53+E139*Annahmen!$B$54+E143*Annahmen!$B$55+E141*Annahmen!$B$56+E143*INDEX(Annahmen!$B$58:$F$58,1,E$20)*Annahmen!$B$57+E$21*$E$14*Annahmen!$B$21*Annahmen!$B$24*Annahmen!$B$59</f>
        <v>39.5308212447997</v>
      </c>
      <c r="F144" s="37" t="n">
        <f aca="false">F137*Annahmen!$B$52+F138*Annahmen!$B$53+F139*Annahmen!$B$54+F143*Annahmen!$B$55+F141*Annahmen!$B$56+F143*INDEX(Annahmen!$B$58:$F$58,1,F$20)*Annahmen!$B$57+F$21*$E$14*Annahmen!$B$21*Annahmen!$B$24*Annahmen!$B$59</f>
        <v>59.1727339954267</v>
      </c>
      <c r="G144" s="37" t="n">
        <f aca="false">G137*Annahmen!$B$52+G138*Annahmen!$B$53+G139*Annahmen!$B$54+G143*Annahmen!$B$55+G141*Annahmen!$B$56+G143*INDEX(Annahmen!$B$58:$F$58,1,G$20)*Annahmen!$B$57+G$21*$E$14*Annahmen!$B$21*Annahmen!$B$24*Annahmen!$B$59</f>
        <v>70.1947363354799</v>
      </c>
      <c r="H144" s="37" t="n">
        <f aca="false">H137*Annahmen!$B$52+H138*Annahmen!$B$53+H139*Annahmen!$B$54+H143*Annahmen!$B$55+H141*Annahmen!$B$56+H143*INDEX(Annahmen!$B$58:$F$58,1,H$20)*Annahmen!$B$57+H$21*$E$14*Annahmen!$B$21*Annahmen!$B$24*Annahmen!$B$59</f>
        <v>80.8901612942415</v>
      </c>
      <c r="I144" s="37" t="n">
        <f aca="false">I137*Annahmen!$B$52+I138*Annahmen!$B$53+I139*Annahmen!$B$54+I143*Annahmen!$B$55+I141*Annahmen!$B$56+I143*INDEX(Annahmen!$B$58:$F$58,1,I$20)*Annahmen!$B$57+I$21*$E$14*Annahmen!$B$21*Annahmen!$B$24*Annahmen!$B$59</f>
        <v>105.697509316047</v>
      </c>
      <c r="J144" s="37" t="n">
        <f aca="false">J137*Annahmen!$B$52+J138*Annahmen!$B$53+J139*Annahmen!$B$54+J143*Annahmen!$B$55+J141*Annahmen!$B$56+J143*INDEX(Annahmen!$B$58:$F$58,1,J$20)*Annahmen!$B$57+J$21*$E$14*Annahmen!$B$21*Annahmen!$B$24*Annahmen!$B$59</f>
        <v>121.732985259902</v>
      </c>
      <c r="K144" s="37" t="n">
        <f aca="false">K137*Annahmen!$B$52+K138*Annahmen!$B$53+K139*Annahmen!$B$54+K143*Annahmen!$B$55+K141*Annahmen!$B$56+K143*INDEX(Annahmen!$B$58:$F$58,1,K$20)*Annahmen!$B$57+K$21*$E$14*Annahmen!$B$21*Annahmen!$B$24*Annahmen!$B$59</f>
        <v>137.294913696775</v>
      </c>
      <c r="L144" s="37" t="n">
        <f aca="false">L137*Annahmen!$B$52+L138*Annahmen!$B$53+L139*Annahmen!$B$54+L143*Annahmen!$B$55+L141*Annahmen!$B$56+L143*INDEX(Annahmen!$B$58:$F$58,1,L$20)*Annahmen!$B$57+L$21*$E$14*Annahmen!$B$21*Annahmen!$B$24*Annahmen!$B$59</f>
        <v>166.826607175734</v>
      </c>
      <c r="M144" s="37" t="n">
        <f aca="false">M137*Annahmen!$B$52+M138*Annahmen!$B$53+M139*Annahmen!$B$54+M143*Annahmen!$B$55+M141*Annahmen!$B$56+M143*INDEX(Annahmen!$B$58:$F$58,1,M$20)*Annahmen!$B$57+M$21*$E$14*Annahmen!$B$21*Annahmen!$B$24*Annahmen!$B$59</f>
        <v>187.448910126709</v>
      </c>
      <c r="N144" s="37" t="n">
        <f aca="false">N137*Annahmen!$B$52+N138*Annahmen!$B$53+N139*Annahmen!$B$54+N143*Annahmen!$B$55+N141*Annahmen!$B$56+N143*INDEX(Annahmen!$B$58:$F$58,1,N$20)*Annahmen!$B$57+N$21*$E$14*Annahmen!$B$21*Annahmen!$B$24*Annahmen!$B$59</f>
        <v>207.464620782118</v>
      </c>
      <c r="O144" s="37" t="n">
        <f aca="false">O137*Annahmen!$B$52+O138*Annahmen!$B$53+O139*Annahmen!$B$54+O143*Annahmen!$B$55+O141*Annahmen!$B$56+O143*INDEX(Annahmen!$B$58:$F$58,1,O$20)*Annahmen!$B$57+O$21*$E$14*Annahmen!$B$21*Annahmen!$B$24*Annahmen!$B$59</f>
        <v>435.120580262433</v>
      </c>
      <c r="P144" s="37" t="n">
        <f aca="false">P137*Annahmen!$B$52+P138*Annahmen!$B$53+P139*Annahmen!$B$54+P143*Annahmen!$B$55+P141*Annahmen!$B$56+P143*INDEX(Annahmen!$B$58:$F$58,1,P$20)*Annahmen!$B$57+P$21*$E$14*Annahmen!$B$21*Annahmen!$B$24*Annahmen!$B$59</f>
        <v>485.472659282941</v>
      </c>
      <c r="Q144" s="37" t="n">
        <f aca="false">Q137*Annahmen!$B$52+Q138*Annahmen!$B$53+Q139*Annahmen!$B$54+Q143*Annahmen!$B$55+Q141*Annahmen!$B$56+Q143*INDEX(Annahmen!$B$58:$F$58,1,Q$20)*Annahmen!$B$57+Q$21*$E$14*Annahmen!$B$21*Annahmen!$B$24*Annahmen!$B$59</f>
        <v>534.372921020675</v>
      </c>
      <c r="R144" s="37" t="n">
        <f aca="false">R137*Annahmen!$B$52+R138*Annahmen!$B$53+R139*Annahmen!$B$54+R143*Annahmen!$B$55+R141*Annahmen!$B$56+R143*INDEX(Annahmen!$B$58:$F$58,1,R$20)*Annahmen!$B$57+R$21*$E$14*Annahmen!$B$21*Annahmen!$B$24*Annahmen!$B$59</f>
        <v>611.257992325406</v>
      </c>
      <c r="S144" s="37" t="n">
        <f aca="false">S137*Annahmen!$B$52+S138*Annahmen!$B$53+S139*Annahmen!$B$54+S143*Annahmen!$B$55+S141*Annahmen!$B$56+S143*INDEX(Annahmen!$B$58:$F$58,1,S$20)*Annahmen!$B$57+S$21*$E$14*Annahmen!$B$21*Annahmen!$B$24*Annahmen!$B$59</f>
        <v>672.279302025481</v>
      </c>
      <c r="T144" s="37" t="n">
        <f aca="false">T137*Annahmen!$B$52+T138*Annahmen!$B$53+T139*Annahmen!$B$54+T143*Annahmen!$B$55+T141*Annahmen!$B$56+T143*INDEX(Annahmen!$B$58:$F$58,1,T$20)*Annahmen!$B$57+T$21*$E$14*Annahmen!$B$21*Annahmen!$B$24*Annahmen!$B$59</f>
        <v>731.546936620724</v>
      </c>
      <c r="U144" s="37" t="n">
        <f aca="false">U137*Annahmen!$B$52+U138*Annahmen!$B$53+U139*Annahmen!$B$54+U143*Annahmen!$B$55+U141*Annahmen!$B$56+U143*INDEX(Annahmen!$B$58:$F$58,1,U$20)*Annahmen!$B$57+U$21*$E$14*Annahmen!$B$21*Annahmen!$B$24*Annahmen!$B$59</f>
        <v>818.507073064894</v>
      </c>
      <c r="V144" s="37" t="n">
        <f aca="false">V137*Annahmen!$B$52+V138*Annahmen!$B$53+V139*Annahmen!$B$54+V143*Annahmen!$B$55+V141*Annahmen!$B$56+V143*INDEX(Annahmen!$B$58:$F$58,1,V$20)*Annahmen!$B$57+V$21*$E$14*Annahmen!$B$21*Annahmen!$B$24*Annahmen!$B$59</f>
        <v>889.320357884464</v>
      </c>
      <c r="W144" s="37" t="n">
        <f aca="false">W137*Annahmen!$B$52+W138*Annahmen!$B$53+W139*Annahmen!$B$54+W143*Annahmen!$B$55+W141*Annahmen!$B$56+W143*INDEX(Annahmen!$B$58:$F$58,1,W$20)*Annahmen!$B$57+W$21*$E$14*Annahmen!$B$21*Annahmen!$B$24*Annahmen!$B$59</f>
        <v>958.105775335143</v>
      </c>
      <c r="X144" s="37" t="n">
        <f aca="false">X137*Annahmen!$B$52+X138*Annahmen!$B$53+X139*Annahmen!$B$54+X143*Annahmen!$B$55+X141*Annahmen!$B$56+X143*INDEX(Annahmen!$B$58:$F$58,1,X$20)*Annahmen!$B$57+X$21*$E$14*Annahmen!$B$21*Annahmen!$B$24*Annahmen!$B$59</f>
        <v>1054.31809215424</v>
      </c>
      <c r="Y144" s="37" t="n">
        <f aca="false">Y137*Annahmen!$B$52+Y138*Annahmen!$B$53+Y139*Annahmen!$B$54+Y143*Annahmen!$B$55+Y141*Annahmen!$B$56+Y143*INDEX(Annahmen!$B$58:$F$58,1,Y$20)*Annahmen!$B$57+Y$21*$E$14*Annahmen!$B$21*Annahmen!$B$24*Annahmen!$B$59</f>
        <v>1134.12624817604</v>
      </c>
      <c r="Z144" s="37" t="n">
        <f aca="false">Z137*Annahmen!$B$52+Z138*Annahmen!$B$53+Z139*Annahmen!$B$54+Z143*Annahmen!$B$55+Z141*Annahmen!$B$56+Z143*INDEX(Annahmen!$B$58:$F$58,1,Z$20)*Annahmen!$B$57+Z$21*$E$14*Annahmen!$B$21*Annahmen!$B$24*Annahmen!$B$59</f>
        <v>1211.65723553099</v>
      </c>
      <c r="AA144" s="37" t="n">
        <f aca="false">AA137*Annahmen!$B$52+AA138*Annahmen!$B$53+AA139*Annahmen!$B$54+AA143*Annahmen!$B$55+AA141*Annahmen!$B$56+AA143*INDEX(Annahmen!$B$58:$F$58,1,AA$20)*Annahmen!$B$57+AA$21*$E$14*Annahmen!$B$21*Annahmen!$B$24*Annahmen!$B$59</f>
        <v>1883.82177607167</v>
      </c>
      <c r="AB144" s="37" t="n">
        <f aca="false">AB137*Annahmen!$B$52+AB138*Annahmen!$B$53+AB139*Annahmen!$B$54+AB143*Annahmen!$B$55+AB141*Annahmen!$B$56+AB143*INDEX(Annahmen!$B$58:$F$58,1,AB$20)*Annahmen!$B$57+AB$21*$E$14*Annahmen!$B$21*Annahmen!$B$24*Annahmen!$B$59</f>
        <v>2002.26558400953</v>
      </c>
      <c r="AC144" s="37" t="n">
        <f aca="false">AC137*Annahmen!$B$52+AC138*Annahmen!$B$53+AC139*Annahmen!$B$54+AC143*Annahmen!$B$55+AC141*Annahmen!$B$56+AC143*INDEX(Annahmen!$B$58:$F$58,1,AC$20)*Annahmen!$B$57+AC$21*$E$14*Annahmen!$B$21*Annahmen!$B$24*Annahmen!$B$59</f>
        <v>2117.37320183595</v>
      </c>
      <c r="AD144" s="37" t="n">
        <f aca="false">AD137*Annahmen!$B$52+AD138*Annahmen!$B$53+AD139*Annahmen!$B$54+AD143*Annahmen!$B$55+AD141*Annahmen!$B$56+AD143*INDEX(Annahmen!$B$58:$F$58,1,AD$20)*Annahmen!$B$57+AD$21*$E$14*Annahmen!$B$21*Annahmen!$B$24*Annahmen!$B$59</f>
        <v>2258.9067848438</v>
      </c>
      <c r="AE144" s="37" t="n">
        <f aca="false">AE137*Annahmen!$B$52+AE138*Annahmen!$B$53+AE139*Annahmen!$B$54+AE143*Annahmen!$B$55+AE141*Annahmen!$B$56+AE143*INDEX(Annahmen!$B$58:$F$58,1,AE$20)*Annahmen!$B$57+AE$21*$E$14*Annahmen!$B$21*Annahmen!$B$24*Annahmen!$B$59</f>
        <v>2384.02143426743</v>
      </c>
      <c r="AF144" s="37" t="n">
        <f aca="false">AF137*Annahmen!$B$52+AF138*Annahmen!$B$53+AF139*Annahmen!$B$54+AF143*Annahmen!$B$55+AF141*Annahmen!$B$56+AF143*INDEX(Annahmen!$B$58:$F$58,1,AF$20)*Annahmen!$B$57+AF$21*$E$14*Annahmen!$B$21*Annahmen!$B$24*Annahmen!$B$59</f>
        <v>2505.62662257242</v>
      </c>
      <c r="AG144" s="37" t="n">
        <f aca="false">AG137*Annahmen!$B$52+AG138*Annahmen!$B$53+AG139*Annahmen!$B$54+AG143*Annahmen!$B$55+AG141*Annahmen!$B$56+AG143*INDEX(Annahmen!$B$58:$F$58,1,AG$20)*Annahmen!$B$57+AG$21*$E$14*Annahmen!$B$21*Annahmen!$B$24*Annahmen!$B$59</f>
        <v>2653.48952918649</v>
      </c>
      <c r="AH144" s="37" t="n">
        <f aca="false">AH137*Annahmen!$B$52+AH138*Annahmen!$B$53+AH139*Annahmen!$B$54+AH143*Annahmen!$B$55+AH141*Annahmen!$B$56+AH143*INDEX(Annahmen!$B$58:$F$58,1,AH$20)*Annahmen!$B$57+AH$21*$E$14*Annahmen!$B$21*Annahmen!$B$24*Annahmen!$B$59</f>
        <v>2784.77011796456</v>
      </c>
      <c r="AI144" s="37" t="n">
        <f aca="false">AI137*Annahmen!$B$52+AI138*Annahmen!$B$53+AI139*Annahmen!$B$54+AI143*Annahmen!$B$55+AI141*Annahmen!$B$56+AI143*INDEX(Annahmen!$B$58:$F$58,1,AI$20)*Annahmen!$B$57+AI$21*$E$14*Annahmen!$B$21*Annahmen!$B$24*Annahmen!$B$59</f>
        <v>2912.38256814469</v>
      </c>
      <c r="AJ144" s="37" t="n">
        <f aca="false">AJ137*Annahmen!$B$52+AJ138*Annahmen!$B$53+AJ139*Annahmen!$B$54+AJ143*Annahmen!$B$55+AJ141*Annahmen!$B$56+AJ143*INDEX(Annahmen!$B$58:$F$58,1,AJ$20)*Annahmen!$B$57+AJ$21*$E$14*Annahmen!$B$21*Annahmen!$B$24*Annahmen!$B$59</f>
        <v>3075.98431789012</v>
      </c>
      <c r="AK144" s="37" t="n">
        <f aca="false">AK137*Annahmen!$B$52+AK138*Annahmen!$B$53+AK139*Annahmen!$B$54+AK143*Annahmen!$B$55+AK141*Annahmen!$B$56+AK143*INDEX(Annahmen!$B$58:$F$58,1,AK$20)*Annahmen!$B$57+AK$21*$E$14*Annahmen!$B$21*Annahmen!$B$24*Annahmen!$B$59</f>
        <v>3218.42430661078</v>
      </c>
      <c r="AL144" s="37" t="n">
        <f aca="false">AL137*Annahmen!$B$52+AL138*Annahmen!$B$53+AL139*Annahmen!$B$54+AL143*Annahmen!$B$55+AL141*Annahmen!$B$56+AL143*INDEX(Annahmen!$B$58:$F$58,1,AL$20)*Annahmen!$B$57+AL$21*$E$14*Annahmen!$B$21*Annahmen!$B$24*Annahmen!$B$59</f>
        <v>3356.89150741628</v>
      </c>
      <c r="AM144" s="37" t="n">
        <f aca="false">AM137*Annahmen!$B$52+AM138*Annahmen!$B$53+AM139*Annahmen!$B$54+AM143*Annahmen!$B$55+AM141*Annahmen!$B$56+AM143*INDEX(Annahmen!$B$58:$F$58,1,AM$20)*Annahmen!$B$57+AM$21*$E$14*Annahmen!$B$21*Annahmen!$B$24*Annahmen!$B$59</f>
        <v>4092.10811439774</v>
      </c>
      <c r="AN144" s="37" t="n">
        <f aca="false">AN137*Annahmen!$B$52+AN138*Annahmen!$B$53+AN139*Annahmen!$B$54+AN143*Annahmen!$B$55+AN141*Annahmen!$B$56+AN143*INDEX(Annahmen!$B$58:$F$58,1,AN$20)*Annahmen!$B$57+AN$21*$E$14*Annahmen!$B$21*Annahmen!$B$24*Annahmen!$B$59</f>
        <v>4275.54997080826</v>
      </c>
      <c r="AO144" s="37" t="n">
        <f aca="false">AO137*Annahmen!$B$52+AO138*Annahmen!$B$53+AO139*Annahmen!$B$54+AO143*Annahmen!$B$55+AO141*Annahmen!$B$56+AO143*INDEX(Annahmen!$B$58:$F$58,1,AO$20)*Annahmen!$B$57+AO$21*$E$14*Annahmen!$B$21*Annahmen!$B$24*Annahmen!$B$59</f>
        <v>4453.88687902801</v>
      </c>
      <c r="AP144" s="37" t="n">
        <f aca="false">AP137*Annahmen!$B$52+AP138*Annahmen!$B$53+AP139*Annahmen!$B$54+AP143*Annahmen!$B$55+AP141*Annahmen!$B$56+AP143*INDEX(Annahmen!$B$58:$F$58,1,AP$20)*Annahmen!$B$57+AP$21*$E$14*Annahmen!$B$21*Annahmen!$B$24*Annahmen!$B$59</f>
        <v>4627.27774811447</v>
      </c>
      <c r="AQ144" s="37" t="n">
        <f aca="false">AQ137*Annahmen!$B$52+AQ138*Annahmen!$B$53+AQ139*Annahmen!$B$54+AQ143*Annahmen!$B$55+AQ141*Annahmen!$B$56+AQ143*INDEX(Annahmen!$B$58:$F$58,1,AQ$20)*Annahmen!$B$57+AQ$21*$E$14*Annahmen!$B$21*Annahmen!$B$24*Annahmen!$B$59</f>
        <v>4795.87603430578</v>
      </c>
      <c r="AR144" s="37" t="n">
        <f aca="false">AR137*Annahmen!$B$52+AR138*Annahmen!$B$53+AR139*Annahmen!$B$54+AR143*Annahmen!$B$55+AR141*Annahmen!$B$56+AR143*INDEX(Annahmen!$B$58:$F$58,1,AR$20)*Annahmen!$B$57+AR$21*$E$14*Annahmen!$B$21*Annahmen!$B$24*Annahmen!$B$59</f>
        <v>4959.82994312872</v>
      </c>
      <c r="AS144" s="37" t="n">
        <f aca="false">AS137*Annahmen!$B$52+AS138*Annahmen!$B$53+AS139*Annahmen!$B$54+AS143*Annahmen!$B$55+AS141*Annahmen!$B$56+AS143*INDEX(Annahmen!$B$58:$F$58,1,AS$20)*Annahmen!$B$57+AS$21*$E$14*Annahmen!$B$21*Annahmen!$B$24*Annahmen!$B$59</f>
        <v>5119.28262357178</v>
      </c>
      <c r="AT144" s="37" t="n">
        <f aca="false">AT137*Annahmen!$B$52+AT138*Annahmen!$B$53+AT139*Annahmen!$B$54+AT143*Annahmen!$B$55+AT141*Annahmen!$B$56+AT143*INDEX(Annahmen!$B$58:$F$58,1,AT$20)*Annahmen!$B$57+AT$21*$E$14*Annahmen!$B$21*Annahmen!$B$24*Annahmen!$B$59</f>
        <v>5274.37235464806</v>
      </c>
      <c r="AU144" s="37" t="n">
        <f aca="false">AU137*Annahmen!$B$52+AU138*Annahmen!$B$53+AU139*Annahmen!$B$54+AU143*Annahmen!$B$55+AU141*Annahmen!$B$56+AU143*INDEX(Annahmen!$B$58:$F$58,1,AU$20)*Annahmen!$B$57+AU$21*$E$14*Annahmen!$B$21*Annahmen!$B$24*Annahmen!$B$59</f>
        <v>5425.23272465909</v>
      </c>
      <c r="AV144" s="37" t="n">
        <f aca="false">AV137*Annahmen!$B$52+AV138*Annahmen!$B$53+AV139*Annahmen!$B$54+AV143*Annahmen!$B$55+AV141*Annahmen!$B$56+AV143*INDEX(Annahmen!$B$58:$F$58,1,AV$20)*Annahmen!$B$57+AV$21*$E$14*Annahmen!$B$21*Annahmen!$B$24*Annahmen!$B$59</f>
        <v>5571.9928034575</v>
      </c>
      <c r="AW144" s="37" t="n">
        <f aca="false">AW137*Annahmen!$B$52+AW138*Annahmen!$B$53+AW139*Annahmen!$B$54+AW143*Annahmen!$B$55+AW141*Annahmen!$B$56+AW143*INDEX(Annahmen!$B$58:$F$58,1,AW$20)*Annahmen!$B$57+AW$21*$E$14*Annahmen!$B$21*Annahmen!$B$24*Annahmen!$B$59</f>
        <v>5714.77730799404</v>
      </c>
      <c r="AX144" s="37" t="n">
        <f aca="false">AX137*Annahmen!$B$52+AX138*Annahmen!$B$53+AX139*Annahmen!$B$54+AX143*Annahmen!$B$55+AX141*Annahmen!$B$56+AX143*INDEX(Annahmen!$B$58:$F$58,1,AX$20)*Annahmen!$B$57+AX$21*$E$14*Annahmen!$B$21*Annahmen!$B$24*Annahmen!$B$59</f>
        <v>5853.70676142234</v>
      </c>
      <c r="AY144" s="37" t="n">
        <f aca="false">AY137*Annahmen!$B$52+AY138*Annahmen!$B$53+AY139*Annahmen!$B$54+AY143*Annahmen!$B$55+AY141*Annahmen!$B$56+AY143*INDEX(Annahmen!$B$58:$F$58,1,AY$20)*Annahmen!$B$57+AY$21*$E$14*Annahmen!$B$21*Annahmen!$B$24*Annahmen!$B$59</f>
        <v>6926.05408699824</v>
      </c>
      <c r="AZ144" s="37" t="n">
        <f aca="false">AZ137*Annahmen!$B$52+AZ138*Annahmen!$B$53+AZ139*Annahmen!$B$54+AZ143*Annahmen!$B$55+AZ141*Annahmen!$B$56+AZ143*INDEX(Annahmen!$B$58:$F$58,1,AZ$20)*Annahmen!$B$57+AZ$21*$E$14*Annahmen!$B$21*Annahmen!$B$24*Annahmen!$B$59</f>
        <v>7147.71604344413</v>
      </c>
      <c r="BA144" s="37" t="n">
        <f aca="false">BA137*Annahmen!$B$52+BA138*Annahmen!$B$53+BA139*Annahmen!$B$54+BA143*Annahmen!$B$55+BA141*Annahmen!$B$56+BA143*INDEX(Annahmen!$B$58:$F$58,1,BA$20)*Annahmen!$B$57+BA$21*$E$14*Annahmen!$B$21*Annahmen!$B$24*Annahmen!$B$59</f>
        <v>7363.28844563532</v>
      </c>
      <c r="BB144" s="37" t="n">
        <f aca="false">BB137*Annahmen!$B$52+BB138*Annahmen!$B$53+BB139*Annahmen!$B$54+BB143*Annahmen!$B$55+BB141*Annahmen!$B$56+BB143*INDEX(Annahmen!$B$58:$F$58,1,BB$20)*Annahmen!$B$57+BB$21*$E$14*Annahmen!$B$21*Annahmen!$B$24*Annahmen!$B$59</f>
        <v>7572.95854957248</v>
      </c>
      <c r="BC144" s="37" t="n">
        <f aca="false">BC137*Annahmen!$B$52+BC138*Annahmen!$B$53+BC139*Annahmen!$B$54+BC143*Annahmen!$B$55+BC141*Annahmen!$B$56+BC143*INDEX(Annahmen!$B$58:$F$58,1,BC$20)*Annahmen!$B$57+BC$21*$E$14*Annahmen!$B$21*Annahmen!$B$24*Annahmen!$B$59</f>
        <v>7776.90725185912</v>
      </c>
      <c r="BD144" s="37" t="n">
        <f aca="false">BD137*Annahmen!$B$52+BD138*Annahmen!$B$53+BD139*Annahmen!$B$54+BD143*Annahmen!$B$55+BD141*Annahmen!$B$56+BD143*INDEX(Annahmen!$B$58:$F$58,1,BD$20)*Annahmen!$B$57+BD$21*$E$14*Annahmen!$B$21*Annahmen!$B$24*Annahmen!$B$59</f>
        <v>7975.30932351057</v>
      </c>
      <c r="BE144" s="37" t="n">
        <f aca="false">BE137*Annahmen!$B$52+BE138*Annahmen!$B$53+BE139*Annahmen!$B$54+BE143*Annahmen!$B$55+BE141*Annahmen!$B$56+BE143*INDEX(Annahmen!$B$58:$F$58,1,BE$20)*Annahmen!$B$57+BE$21*$E$14*Annahmen!$B$21*Annahmen!$B$24*Annahmen!$B$59</f>
        <v>8168.33363463866</v>
      </c>
      <c r="BF144" s="37" t="n">
        <f aca="false">BF137*Annahmen!$B$52+BF138*Annahmen!$B$53+BF139*Annahmen!$B$54+BF143*Annahmen!$B$55+BF141*Annahmen!$B$56+BF143*INDEX(Annahmen!$B$58:$F$58,1,BF$20)*Annahmen!$B$57+BF$21*$E$14*Annahmen!$B$21*Annahmen!$B$24*Annahmen!$B$59</f>
        <v>8356.14337038404</v>
      </c>
      <c r="BG144" s="37" t="n">
        <f aca="false">BG137*Annahmen!$B$52+BG138*Annahmen!$B$53+BG139*Annahmen!$B$54+BG143*Annahmen!$B$55+BG141*Annahmen!$B$56+BG143*INDEX(Annahmen!$B$58:$F$58,1,BG$20)*Annahmen!$B$57+BG$21*$E$14*Annahmen!$B$21*Annahmen!$B$24*Annahmen!$B$59</f>
        <v>8538.89623845239</v>
      </c>
      <c r="BH144" s="37" t="n">
        <f aca="false">BH137*Annahmen!$B$52+BH138*Annahmen!$B$53+BH139*Annahmen!$B$54+BH143*Annahmen!$B$55+BH141*Annahmen!$B$56+BH143*INDEX(Annahmen!$B$58:$F$58,1,BH$20)*Annahmen!$B$57+BH$21*$E$14*Annahmen!$B$21*Annahmen!$B$24*Annahmen!$B$59</f>
        <v>8716.74466859552</v>
      </c>
      <c r="BI144" s="37" t="n">
        <f aca="false">BI137*Annahmen!$B$52+BI138*Annahmen!$B$53+BI139*Annahmen!$B$54+BI143*Annahmen!$B$55+BI141*Annahmen!$B$56+BI143*INDEX(Annahmen!$B$58:$F$58,1,BI$20)*Annahmen!$B$57+BI$21*$E$14*Annahmen!$B$21*Annahmen!$B$24*Annahmen!$B$59</f>
        <v>8889.83600436446</v>
      </c>
      <c r="BJ144" s="37" t="n">
        <f aca="false">BJ137*Annahmen!$B$52+BJ138*Annahmen!$B$53+BJ139*Annahmen!$B$54+BJ143*Annahmen!$B$55+BJ141*Annahmen!$B$56+BJ143*INDEX(Annahmen!$B$58:$F$58,1,BJ$20)*Annahmen!$B$57+BJ$21*$E$14*Annahmen!$B$21*Annahmen!$B$24*Annahmen!$B$59</f>
        <v>9058.31268744772</v>
      </c>
    </row>
    <row r="145" customFormat="false" ht="15" hidden="false" customHeight="false" outlineLevel="0" collapsed="false">
      <c r="B145" s="5" t="s">
        <v>267</v>
      </c>
      <c r="C145" s="37" t="n">
        <f aca="false">C143-C144-C$22</f>
        <v>-16188.4758925104</v>
      </c>
      <c r="D145" s="37" t="n">
        <f aca="false">D143-D144-D$22</f>
        <v>-6200.13733610325</v>
      </c>
      <c r="E145" s="37" t="n">
        <f aca="false">E143-E144-E$22</f>
        <v>-6817.16597304546</v>
      </c>
      <c r="F145" s="37" t="n">
        <f aca="false">F143-F144-F$22</f>
        <v>-14549.2308796296</v>
      </c>
      <c r="G145" s="37" t="n">
        <f aca="false">G143-G144-G$22</f>
        <v>-5174.31534782457</v>
      </c>
      <c r="H145" s="37" t="n">
        <f aca="false">H143-H144-H$22</f>
        <v>-4810.08328033396</v>
      </c>
      <c r="I145" s="37" t="n">
        <f aca="false">I143-I144-I$22</f>
        <v>-10604.0348034499</v>
      </c>
      <c r="J145" s="37" t="n">
        <f aca="false">J143-J144-J$22</f>
        <v>-8257.99015137988</v>
      </c>
      <c r="K145" s="37" t="n">
        <f aca="false">K143-K144-K$22</f>
        <v>-7727.45584030624</v>
      </c>
      <c r="L145" s="37" t="n">
        <f aca="false">L143-L144-L$22</f>
        <v>-17553.780068991</v>
      </c>
      <c r="M145" s="37" t="n">
        <f aca="false">M143-M144-M$22</f>
        <v>-12550.6363992425</v>
      </c>
      <c r="N145" s="37" t="n">
        <f aca="false">N143-N144-N$22</f>
        <v>-11867.3897341588</v>
      </c>
      <c r="O145" s="37" t="n">
        <f aca="false">O143-O144-O$22</f>
        <v>-26270.7613940926</v>
      </c>
      <c r="P145" s="37" t="n">
        <f aca="false">P143-P144-P$22</f>
        <v>-21779.4244616045</v>
      </c>
      <c r="Q145" s="37" t="n">
        <f aca="false">Q143-Q144-Q$22</f>
        <v>-27913.2463938271</v>
      </c>
      <c r="R145" s="37" t="n">
        <f aca="false">R143-R144-R$22</f>
        <v>-19694.7072168995</v>
      </c>
      <c r="S145" s="37" t="n">
        <f aca="false">S143-S144-S$22</f>
        <v>-18613.871068387</v>
      </c>
      <c r="T145" s="37" t="n">
        <f aca="false">T143-T144-T$22</f>
        <v>-17563.4452583399</v>
      </c>
      <c r="U145" s="37" t="n">
        <f aca="false">U143-U144-U$22</f>
        <v>-16165.7472907573</v>
      </c>
      <c r="V145" s="37" t="n">
        <f aca="false">V143-V144-V$22</f>
        <v>-14910.6843214751</v>
      </c>
      <c r="W145" s="37" t="n">
        <f aca="false">W143-W144-W$22</f>
        <v>-27690.8120151662</v>
      </c>
      <c r="X145" s="37" t="n">
        <f aca="false">X143-X144-X$22</f>
        <v>-23449.0613707117</v>
      </c>
      <c r="Y145" s="37" t="n">
        <f aca="false">Y143-Y144-Y$22</f>
        <v>-17233.6779906417</v>
      </c>
      <c r="Z145" s="37" t="n">
        <f aca="false">Z143-Z144-Z$22</f>
        <v>-15857.8407570178</v>
      </c>
      <c r="AA145" s="37" t="n">
        <f aca="false">AA143-AA144-AA$22</f>
        <v>-21231.8754067886</v>
      </c>
      <c r="AB145" s="37" t="n">
        <f aca="false">AB143-AB144-AB$22</f>
        <v>-19837.9676787515</v>
      </c>
      <c r="AC145" s="37" t="n">
        <f aca="false">AC143-AC144-AC$22</f>
        <v>-18482.7536302243</v>
      </c>
      <c r="AD145" s="37" t="n">
        <f aca="false">AD143-AD144-AD$22</f>
        <v>-38608.1209869043</v>
      </c>
      <c r="AE145" s="37" t="n">
        <f aca="false">AE143-AE144-AE$22</f>
        <v>-20334.970588012</v>
      </c>
      <c r="AF145" s="37" t="n">
        <f aca="false">AF143-AF144-AF$22</f>
        <v>-18902.5475831916</v>
      </c>
      <c r="AG145" s="37" t="n">
        <f aca="false">AG143-AG144-AG$22</f>
        <v>-24209.419359639</v>
      </c>
      <c r="AH145" s="37" t="n">
        <f aca="false">AH143-AH144-AH$22</f>
        <v>-20862.9548595217</v>
      </c>
      <c r="AI145" s="37" t="n">
        <f aca="false">AI143-AI144-AI$22</f>
        <v>-19359.082513179</v>
      </c>
      <c r="AJ145" s="37" t="n">
        <f aca="false">AJ143-AJ144-AJ$22</f>
        <v>-21529.9172562733</v>
      </c>
      <c r="AK145" s="37" t="n">
        <f aca="false">AK143-AK144-AK$22</f>
        <v>-15851.6541562423</v>
      </c>
      <c r="AL145" s="37" t="n">
        <f aca="false">AL143-AL144-AL$22</f>
        <v>-14219.5314577073</v>
      </c>
      <c r="AM145" s="37" t="n">
        <f aca="false">AM143-AM144-AM$22</f>
        <v>-34948.7967994886</v>
      </c>
      <c r="AN145" s="37" t="n">
        <f aca="false">AN143-AN144-AN$22</f>
        <v>-29510.4136575019</v>
      </c>
      <c r="AO145" s="37" t="n">
        <f aca="false">AO143-AO144-AO$22</f>
        <v>-37722.5508480505</v>
      </c>
      <c r="AP145" s="37" t="n">
        <f aca="false">AP143-AP144-AP$22</f>
        <v>-25983.6570440211</v>
      </c>
      <c r="AQ145" s="37" t="n">
        <f aca="false">AQ143-AQ144-AQ$22</f>
        <v>-24292.2334595344</v>
      </c>
      <c r="AR145" s="37" t="n">
        <f aca="false">AR143-AR144-AR$22</f>
        <v>-22646.8319245494</v>
      </c>
      <c r="AS145" s="37" t="n">
        <f aca="false">AS143-AS144-AS$22</f>
        <v>-27910.4117803657</v>
      </c>
      <c r="AT145" s="37" t="n">
        <f aca="false">AT143-AT144-AT$22</f>
        <v>-24552.9031169795</v>
      </c>
      <c r="AU145" s="37" t="n">
        <f aca="false">AU143-AU144-AU$22</f>
        <v>-41037.3575393775</v>
      </c>
      <c r="AV145" s="37" t="n">
        <f aca="false">AV143-AV144-AV$22</f>
        <v>-21562.5115399755</v>
      </c>
      <c r="AW145" s="37" t="n">
        <f aca="false">AW143-AW144-AW$22</f>
        <v>-20127.1436645235</v>
      </c>
      <c r="AX145" s="37" t="n">
        <f aca="false">AX143-AX144-AX$22</f>
        <v>-18730.0729929131</v>
      </c>
      <c r="AY145" s="37" t="n">
        <f aca="false">AY143-AY144-AY$22</f>
        <v>-36541.692154244</v>
      </c>
      <c r="AZ145" s="37" t="n">
        <f aca="false">AZ143-AZ144-AZ$22</f>
        <v>-31014.1451160537</v>
      </c>
      <c r="BA145" s="37" t="n">
        <f aca="false">BA143-BA144-BA$22</f>
        <v>-29138.9709083279</v>
      </c>
      <c r="BB145" s="37" t="n">
        <f aca="false">BB143-BB144-BB$22</f>
        <v>-45314.5784818081</v>
      </c>
      <c r="BC145" s="37" t="n">
        <f aca="false">BC143-BC144-BC$22</f>
        <v>-25539.4301875675</v>
      </c>
      <c r="BD145" s="37" t="n">
        <f aca="false">BD143-BD144-BD$22</f>
        <v>-23812.0398339536</v>
      </c>
      <c r="BE145" s="37" t="n">
        <f aca="false">BE143-BE144-BE$22</f>
        <v>-22130.9708187162</v>
      </c>
      <c r="BF145" s="37" t="n">
        <f aca="false">BF143-BF144-BF$22</f>
        <v>-20494.8343332786</v>
      </c>
      <c r="BG145" s="37" t="n">
        <f aca="false">BG143-BG144-BG$22</f>
        <v>-18902.2876362334</v>
      </c>
      <c r="BH145" s="37" t="n">
        <f aca="false">BH143-BH144-BH$22</f>
        <v>-22352.0323932708</v>
      </c>
      <c r="BI145" s="37" t="n">
        <f aca="false">BI143-BI144-BI$22</f>
        <v>-15842.8130808596</v>
      </c>
      <c r="BJ145" s="37" t="n">
        <f aca="false">BJ143-BJ144-BJ$22</f>
        <v>-14373.4154511159</v>
      </c>
    </row>
    <row r="146" customFormat="false" ht="15" hidden="false" customHeight="false" outlineLevel="0" collapsed="false">
      <c r="B146" s="5" t="s">
        <v>401</v>
      </c>
      <c r="C146" s="37" t="n">
        <f aca="false">0+C145-C$23-C$24</f>
        <v>-16605.1425591771</v>
      </c>
      <c r="D146" s="37" t="n">
        <f aca="false">C146+D145-D$23-D$24</f>
        <v>-23221.946561947</v>
      </c>
      <c r="E146" s="37" t="n">
        <f aca="false">D146+E145-E$23-E$24</f>
        <v>-30455.7792016591</v>
      </c>
      <c r="F146" s="37" t="n">
        <f aca="false">E146+F145-F$23-F$24</f>
        <v>-45421.6767479554</v>
      </c>
      <c r="G146" s="37" t="n">
        <f aca="false">F146+G145-G$23-G$24</f>
        <v>-51012.6587624466</v>
      </c>
      <c r="H146" s="37" t="n">
        <f aca="false">G146+H145-H$23-H$24</f>
        <v>-56239.4087094472</v>
      </c>
      <c r="I146" s="37" t="n">
        <f aca="false">H146+I145-I$23-I$24</f>
        <v>-67260.1101795638</v>
      </c>
      <c r="J146" s="37" t="n">
        <f aca="false">I146+J145-J$23-J$24</f>
        <v>-75934.7669976104</v>
      </c>
      <c r="K146" s="37" t="n">
        <f aca="false">J146+K145-K$23-K$24</f>
        <v>-84078.8895045833</v>
      </c>
      <c r="L146" s="37" t="n">
        <f aca="false">K146+L145-L$23-L$24</f>
        <v>-102049.336240241</v>
      </c>
      <c r="M146" s="37" t="n">
        <f aca="false">L146+M145-M$23-M$24</f>
        <v>-115016.63930615</v>
      </c>
      <c r="N146" s="37" t="n">
        <f aca="false">M146+N145-N$23-N$24</f>
        <v>-127300.695706976</v>
      </c>
      <c r="O146" s="37" t="n">
        <f aca="false">N146+O145-O$23-O$24</f>
        <v>-153988.123767735</v>
      </c>
      <c r="P146" s="37" t="n">
        <f aca="false">O146+P145-P$23-P$24</f>
        <v>-176184.214896006</v>
      </c>
      <c r="Q146" s="37" t="n">
        <f aca="false">P146+Q145-Q$23-Q$24</f>
        <v>-204514.1279565</v>
      </c>
      <c r="R146" s="37" t="n">
        <f aca="false">Q146+R145-R$23-R$24</f>
        <v>-224625.501840066</v>
      </c>
      <c r="S146" s="37" t="n">
        <f aca="false">R146+S145-S$23-S$24</f>
        <v>-243656.039575119</v>
      </c>
      <c r="T146" s="37" t="n">
        <f aca="false">S146+T145-T$23-T$24</f>
        <v>-261636.151500126</v>
      </c>
      <c r="U146" s="37" t="n">
        <f aca="false">T146+U145-U$23-U$24</f>
        <v>-278218.56545755</v>
      </c>
      <c r="V146" s="37" t="n">
        <f aca="false">U146+V145-V$23-V$24</f>
        <v>-293545.916445692</v>
      </c>
      <c r="W146" s="37" t="n">
        <f aca="false">V146+W145-W$23-W$24</f>
        <v>-321653.395127525</v>
      </c>
      <c r="X146" s="37" t="n">
        <f aca="false">W146+X145-X$23-X$24</f>
        <v>-345519.123164903</v>
      </c>
      <c r="Y146" s="37" t="n">
        <f aca="false">X146+Y145-Y$23-Y$24</f>
        <v>-363169.467822212</v>
      </c>
      <c r="Z146" s="37" t="n">
        <f aca="false">Y146+Z145-Z$23-Z$24</f>
        <v>-379443.975245896</v>
      </c>
      <c r="AA146" s="37" t="n">
        <f aca="false">Z146+AA145-AA$23-AA$24</f>
        <v>-402394.600652685</v>
      </c>
      <c r="AB146" s="37" t="n">
        <f aca="false">AA146+AB145-AB$23-AB$24</f>
        <v>-423946.978053658</v>
      </c>
      <c r="AC146" s="37" t="n">
        <f aca="false">AB146+AC145-AC$23-AC$24</f>
        <v>-444139.801128327</v>
      </c>
      <c r="AD146" s="37" t="n">
        <f aca="false">AC146+AD145-AD$23-AD$24</f>
        <v>-484453.651281898</v>
      </c>
      <c r="AE146" s="37" t="n">
        <f aca="false">AD146+AE145-AE$23-AE$24</f>
        <v>-506490.010758799</v>
      </c>
      <c r="AF146" s="37" t="n">
        <f aca="false">AE146+AF145-AF$23-AF$24</f>
        <v>-527089.606953102</v>
      </c>
      <c r="AG146" s="37" t="n">
        <f aca="false">AF146+AG145-AG$23-AG$24</f>
        <v>-552991.734646074</v>
      </c>
      <c r="AH146" s="37" t="n">
        <f aca="false">AG146+AH145-AH$23-AH$24</f>
        <v>-575543.057561151</v>
      </c>
      <c r="AI146" s="37" t="n">
        <f aca="false">AH146+AI145-AI$23-AI$24</f>
        <v>-596586.167852108</v>
      </c>
      <c r="AJ146" s="37" t="n">
        <f aca="false">AI146+AJ145-AJ$23-AJ$24</f>
        <v>-619795.772608381</v>
      </c>
      <c r="AK146" s="37" t="n">
        <f aca="false">AJ146+AK145-AK$23-AK$24</f>
        <v>-637322.773986846</v>
      </c>
      <c r="AL146" s="37" t="n">
        <f aca="false">AK146+AL145-AL$23-AL$24</f>
        <v>-653213.312388998</v>
      </c>
      <c r="AM146" s="37" t="n">
        <f aca="false">AL146+AM145-AM$23-AM$24</f>
        <v>-689828.775855153</v>
      </c>
      <c r="AN146" s="37" t="n">
        <f aca="false">AM146+AN145-AN$23-AN$24</f>
        <v>-721001.515901544</v>
      </c>
      <c r="AO146" s="37" t="n">
        <f aca="false">AN146+AO145-AO$23-AO$24</f>
        <v>-760382.052860705</v>
      </c>
      <c r="AP146" s="37" t="n">
        <f aca="false">AO146+AP145-AP$23-AP$24</f>
        <v>-788019.35573806</v>
      </c>
      <c r="AQ146" s="37" t="n">
        <f aca="false">AP146+AQ145-AQ$23-AQ$24</f>
        <v>-813960.89475315</v>
      </c>
      <c r="AR146" s="37" t="n">
        <f aca="false">AQ146+AR145-AR$23-AR$24</f>
        <v>-838252.691955477</v>
      </c>
      <c r="AS146" s="37" t="n">
        <f aca="false">AR146+AS145-AS$23-AS$24</f>
        <v>-867803.728735843</v>
      </c>
      <c r="AT146" s="37" t="n">
        <f aca="false">AS146+AT145-AT$23-AT$24</f>
        <v>-893992.916575045</v>
      </c>
      <c r="AU146" s="37" t="n">
        <f aca="false">AT146+AU145-AU$23-AU$24</f>
        <v>-936662.218558867</v>
      </c>
      <c r="AV146" s="37" t="n">
        <f aca="false">AU146+AV145-AV$23-AV$24</f>
        <v>-959852.334265509</v>
      </c>
      <c r="AW146" s="37" t="n">
        <f aca="false">AV146+AW145-AW$23-AW$24</f>
        <v>-981602.741818921</v>
      </c>
      <c r="AX146" s="37" t="n">
        <f aca="false">AW146+AX145-AX$23-AX$24</f>
        <v>-1001951.73842295</v>
      </c>
      <c r="AY146" s="37" t="n">
        <f aca="false">AX146+AY145-AY$23-AY$24</f>
        <v>-1040108.01391052</v>
      </c>
      <c r="AZ146" s="37" t="n">
        <f aca="false">AY146+AZ145-AZ$23-AZ$24</f>
        <v>-1072732.40208213</v>
      </c>
      <c r="BA146" s="37" t="n">
        <f aca="false">AZ146+BA145-BA$23-BA$24</f>
        <v>-1103477.27576824</v>
      </c>
      <c r="BB146" s="37" t="n">
        <f aca="false">BA146+BB145-BB$23-BB$24</f>
        <v>-1150393.41675005</v>
      </c>
      <c r="BC146" s="37" t="n">
        <f aca="false">BB146+BC145-BC$23-BC$24</f>
        <v>-1177530.06915984</v>
      </c>
      <c r="BD146" s="37" t="n">
        <f aca="false">BC146+BD145-BD$23-BD$24</f>
        <v>-1202934.99093823</v>
      </c>
      <c r="BE146" s="37" t="n">
        <f aca="false">BD146+BE145-BE$23-BE$24</f>
        <v>-1226654.50342362</v>
      </c>
      <c r="BF146" s="37" t="n">
        <f aca="false">BE146+BF145-BF$23-BF$24</f>
        <v>-1248733.53914578</v>
      </c>
      <c r="BG146" s="37" t="n">
        <f aca="false">BF146+BG145-BG$23-BG$24</f>
        <v>-1269215.68789313</v>
      </c>
      <c r="BH146" s="37" t="n">
        <f aca="false">BG146+BH145-BH$23-BH$24</f>
        <v>-1293143.24111973</v>
      </c>
      <c r="BI146" s="37" t="n">
        <f aca="false">BH146+BI145-BI$23-BI$24</f>
        <v>-1310557.23475615</v>
      </c>
      <c r="BJ146" s="37" t="n">
        <f aca="false">BI146+BJ145-BJ$23-BJ$24</f>
        <v>-1326497.49048504</v>
      </c>
    </row>
    <row r="147" customFormat="false" ht="15" hidden="false" customHeight="false" outlineLevel="0" collapsed="false">
      <c r="B147" s="5" t="s">
        <v>402</v>
      </c>
      <c r="C147" s="38" t="n">
        <f aca="false">IF(C145&gt;=0,C$19,999)</f>
        <v>999</v>
      </c>
      <c r="D147" s="38" t="n">
        <f aca="false">IF(D145&gt;=0,D$19,999)</f>
        <v>999</v>
      </c>
      <c r="E147" s="38" t="n">
        <f aca="false">IF(E145&gt;=0,E$19,999)</f>
        <v>999</v>
      </c>
      <c r="F147" s="38" t="n">
        <f aca="false">IF(F145&gt;=0,F$19,999)</f>
        <v>999</v>
      </c>
      <c r="G147" s="38" t="n">
        <f aca="false">IF(G145&gt;=0,G$19,999)</f>
        <v>999</v>
      </c>
      <c r="H147" s="38" t="n">
        <f aca="false">IF(H145&gt;=0,H$19,999)</f>
        <v>999</v>
      </c>
      <c r="I147" s="38" t="n">
        <f aca="false">IF(I145&gt;=0,I$19,999)</f>
        <v>999</v>
      </c>
      <c r="J147" s="38" t="n">
        <f aca="false">IF(J145&gt;=0,J$19,999)</f>
        <v>999</v>
      </c>
      <c r="K147" s="38" t="n">
        <f aca="false">IF(K145&gt;=0,K$19,999)</f>
        <v>999</v>
      </c>
      <c r="L147" s="38" t="n">
        <f aca="false">IF(L145&gt;=0,L$19,999)</f>
        <v>999</v>
      </c>
      <c r="M147" s="38" t="n">
        <f aca="false">IF(M145&gt;=0,M$19,999)</f>
        <v>999</v>
      </c>
      <c r="N147" s="38" t="n">
        <f aca="false">IF(N145&gt;=0,N$19,999)</f>
        <v>999</v>
      </c>
      <c r="O147" s="38" t="n">
        <f aca="false">IF(O145&gt;=0,O$19,999)</f>
        <v>999</v>
      </c>
      <c r="P147" s="38" t="n">
        <f aca="false">IF(P145&gt;=0,P$19,999)</f>
        <v>999</v>
      </c>
      <c r="Q147" s="38" t="n">
        <f aca="false">IF(Q145&gt;=0,Q$19,999)</f>
        <v>999</v>
      </c>
      <c r="R147" s="38" t="n">
        <f aca="false">IF(R145&gt;=0,R$19,999)</f>
        <v>999</v>
      </c>
      <c r="S147" s="38" t="n">
        <f aca="false">IF(S145&gt;=0,S$19,999)</f>
        <v>999</v>
      </c>
      <c r="T147" s="38" t="n">
        <f aca="false">IF(T145&gt;=0,T$19,999)</f>
        <v>999</v>
      </c>
      <c r="U147" s="38" t="n">
        <f aca="false">IF(U145&gt;=0,U$19,999)</f>
        <v>999</v>
      </c>
      <c r="V147" s="38" t="n">
        <f aca="false">IF(V145&gt;=0,V$19,999)</f>
        <v>999</v>
      </c>
      <c r="W147" s="38" t="n">
        <f aca="false">IF(W145&gt;=0,W$19,999)</f>
        <v>999</v>
      </c>
      <c r="X147" s="38" t="n">
        <f aca="false">IF(X145&gt;=0,X$19,999)</f>
        <v>999</v>
      </c>
      <c r="Y147" s="38" t="n">
        <f aca="false">IF(Y145&gt;=0,Y$19,999)</f>
        <v>999</v>
      </c>
      <c r="Z147" s="38" t="n">
        <f aca="false">IF(Z145&gt;=0,Z$19,999)</f>
        <v>999</v>
      </c>
      <c r="AA147" s="38" t="n">
        <f aca="false">IF(AA145&gt;=0,AA$19,999)</f>
        <v>999</v>
      </c>
      <c r="AB147" s="38" t="n">
        <f aca="false">IF(AB145&gt;=0,AB$19,999)</f>
        <v>999</v>
      </c>
      <c r="AC147" s="38" t="n">
        <f aca="false">IF(AC145&gt;=0,AC$19,999)</f>
        <v>999</v>
      </c>
      <c r="AD147" s="38" t="n">
        <f aca="false">IF(AD145&gt;=0,AD$19,999)</f>
        <v>999</v>
      </c>
      <c r="AE147" s="38" t="n">
        <f aca="false">IF(AE145&gt;=0,AE$19,999)</f>
        <v>999</v>
      </c>
      <c r="AF147" s="38" t="n">
        <f aca="false">IF(AF145&gt;=0,AF$19,999)</f>
        <v>999</v>
      </c>
      <c r="AG147" s="38" t="n">
        <f aca="false">IF(AG145&gt;=0,AG$19,999)</f>
        <v>999</v>
      </c>
      <c r="AH147" s="38" t="n">
        <f aca="false">IF(AH145&gt;=0,AH$19,999)</f>
        <v>999</v>
      </c>
      <c r="AI147" s="38" t="n">
        <f aca="false">IF(AI145&gt;=0,AI$19,999)</f>
        <v>999</v>
      </c>
      <c r="AJ147" s="38" t="n">
        <f aca="false">IF(AJ145&gt;=0,AJ$19,999)</f>
        <v>999</v>
      </c>
      <c r="AK147" s="38" t="n">
        <f aca="false">IF(AK145&gt;=0,AK$19,999)</f>
        <v>999</v>
      </c>
      <c r="AL147" s="38" t="n">
        <f aca="false">IF(AL145&gt;=0,AL$19,999)</f>
        <v>999</v>
      </c>
      <c r="AM147" s="38" t="n">
        <f aca="false">IF(AM145&gt;=0,AM$19,999)</f>
        <v>999</v>
      </c>
      <c r="AN147" s="38" t="n">
        <f aca="false">IF(AN145&gt;=0,AN$19,999)</f>
        <v>999</v>
      </c>
      <c r="AO147" s="38" t="n">
        <f aca="false">IF(AO145&gt;=0,AO$19,999)</f>
        <v>999</v>
      </c>
      <c r="AP147" s="38" t="n">
        <f aca="false">IF(AP145&gt;=0,AP$19,999)</f>
        <v>999</v>
      </c>
      <c r="AQ147" s="38" t="n">
        <f aca="false">IF(AQ145&gt;=0,AQ$19,999)</f>
        <v>999</v>
      </c>
      <c r="AR147" s="38" t="n">
        <f aca="false">IF(AR145&gt;=0,AR$19,999)</f>
        <v>999</v>
      </c>
      <c r="AS147" s="38" t="n">
        <f aca="false">IF(AS145&gt;=0,AS$19,999)</f>
        <v>999</v>
      </c>
      <c r="AT147" s="38" t="n">
        <f aca="false">IF(AT145&gt;=0,AT$19,999)</f>
        <v>999</v>
      </c>
      <c r="AU147" s="38" t="n">
        <f aca="false">IF(AU145&gt;=0,AU$19,999)</f>
        <v>999</v>
      </c>
      <c r="AV147" s="38" t="n">
        <f aca="false">IF(AV145&gt;=0,AV$19,999)</f>
        <v>999</v>
      </c>
      <c r="AW147" s="38" t="n">
        <f aca="false">IF(AW145&gt;=0,AW$19,999)</f>
        <v>999</v>
      </c>
      <c r="AX147" s="38" t="n">
        <f aca="false">IF(AX145&gt;=0,AX$19,999)</f>
        <v>999</v>
      </c>
      <c r="AY147" s="38" t="n">
        <f aca="false">IF(AY145&gt;=0,AY$19,999)</f>
        <v>999</v>
      </c>
      <c r="AZ147" s="38" t="n">
        <f aca="false">IF(AZ145&gt;=0,AZ$19,999)</f>
        <v>999</v>
      </c>
      <c r="BA147" s="38" t="n">
        <f aca="false">IF(BA145&gt;=0,BA$19,999)</f>
        <v>999</v>
      </c>
      <c r="BB147" s="38" t="n">
        <f aca="false">IF(BB145&gt;=0,BB$19,999)</f>
        <v>999</v>
      </c>
      <c r="BC147" s="38" t="n">
        <f aca="false">IF(BC145&gt;=0,BC$19,999)</f>
        <v>999</v>
      </c>
      <c r="BD147" s="38" t="n">
        <f aca="false">IF(BD145&gt;=0,BD$19,999)</f>
        <v>999</v>
      </c>
      <c r="BE147" s="38" t="n">
        <f aca="false">IF(BE145&gt;=0,BE$19,999)</f>
        <v>999</v>
      </c>
      <c r="BF147" s="38" t="n">
        <f aca="false">IF(BF145&gt;=0,BF$19,999)</f>
        <v>999</v>
      </c>
      <c r="BG147" s="38" t="n">
        <f aca="false">IF(BG145&gt;=0,BG$19,999)</f>
        <v>999</v>
      </c>
      <c r="BH147" s="38" t="n">
        <f aca="false">IF(BH145&gt;=0,BH$19,999)</f>
        <v>999</v>
      </c>
      <c r="BI147" s="38" t="n">
        <f aca="false">IF(BI145&gt;=0,BI$19,999)</f>
        <v>999</v>
      </c>
      <c r="BJ147" s="38" t="n">
        <f aca="false">IF(BJ145&gt;=0,BJ$19,999)</f>
        <v>999</v>
      </c>
    </row>
    <row r="148" customFormat="false" ht="15" hidden="false" customHeight="false" outlineLevel="0" collapsed="false">
      <c r="B148" s="19" t="str">
        <f aca="false">"Szenario "&amp;A15&amp;": "&amp;B15</f>
        <v>Szenario 11: Optimistisch (Churn ×0,8, Preis ×1,0, Wachstum ×1,2)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</row>
    <row r="149" customFormat="false" ht="15" hidden="false" customHeight="false" outlineLevel="0" collapsed="false">
      <c r="B149" s="5" t="s">
        <v>396</v>
      </c>
      <c r="C149" s="41" t="n">
        <f aca="false">Annahmen!$B$7*Annahmen!$B$19*(1-Annahmen!$B$31*$C$15)+C$21*$E$15*Annahmen!$B$19</f>
        <v>4.24</v>
      </c>
      <c r="D149" s="41" t="n">
        <f aca="false">C149*(1-Annahmen!$B$31*$C$15)+D$21*$E$15*Annahmen!$B$19</f>
        <v>5.93824</v>
      </c>
      <c r="E149" s="41" t="n">
        <f aca="false">D149*(1-Annahmen!$B$31*$C$15)+E$21*$E$15*Annahmen!$B$19</f>
        <v>7.59572224</v>
      </c>
      <c r="F149" s="41" t="n">
        <f aca="false">E149*(1-Annahmen!$B$31*$C$15)+F$21*$E$15*Annahmen!$B$19</f>
        <v>11.01342490624</v>
      </c>
      <c r="G149" s="41" t="n">
        <f aca="false">F149*(1-Annahmen!$B$31*$C$15)+G$21*$E$15*Annahmen!$B$19</f>
        <v>14.3491027084902</v>
      </c>
      <c r="H149" s="41" t="n">
        <f aca="false">G149*(1-Annahmen!$B$31*$C$15)+H$21*$E$15*Annahmen!$B$19</f>
        <v>17.6047242434865</v>
      </c>
      <c r="I149" s="41" t="n">
        <f aca="false">H149*(1-Annahmen!$B$31*$C$15)+I$21*$E$15*Annahmen!$B$19</f>
        <v>22.5822108616428</v>
      </c>
      <c r="J149" s="41" t="n">
        <f aca="false">I149*(1-Annahmen!$B$31*$C$15)+J$21*$E$15*Annahmen!$B$19</f>
        <v>27.4402378009634</v>
      </c>
      <c r="K149" s="41" t="n">
        <f aca="false">J149*(1-Annahmen!$B$31*$C$15)+K$21*$E$15*Annahmen!$B$19</f>
        <v>32.1816720937403</v>
      </c>
      <c r="L149" s="41" t="n">
        <f aca="false">K149*(1-Annahmen!$B$31*$C$15)+L$21*$E$15*Annahmen!$B$19</f>
        <v>38.6093119634905</v>
      </c>
      <c r="M149" s="41" t="n">
        <f aca="false">L149*(1-Annahmen!$B$31*$C$15)+M$21*$E$15*Annahmen!$B$19</f>
        <v>44.8826884763667</v>
      </c>
      <c r="N149" s="41" t="n">
        <f aca="false">M149*(1-Annahmen!$B$31*$C$15)+N$21*$E$15*Annahmen!$B$19</f>
        <v>51.0055039529339</v>
      </c>
      <c r="O149" s="41" t="n">
        <f aca="false">N149*(1-Annahmen!$B$31*$C$15)+O$21*$E$15*Annahmen!$B$19</f>
        <v>59.3813718580635</v>
      </c>
      <c r="P149" s="41" t="n">
        <f aca="false">O149*(1-Annahmen!$B$31*$C$15)+P$21*$E$15*Annahmen!$B$19</f>
        <v>67.55621893347</v>
      </c>
      <c r="Q149" s="41" t="n">
        <f aca="false">P149*(1-Annahmen!$B$31*$C$15)+Q$21*$E$15*Annahmen!$B$19</f>
        <v>75.5348696790667</v>
      </c>
      <c r="R149" s="41" t="n">
        <f aca="false">Q149*(1-Annahmen!$B$31*$C$15)+R$21*$E$15*Annahmen!$B$19</f>
        <v>85.7220328067691</v>
      </c>
      <c r="S149" s="41" t="n">
        <f aca="false">R149*(1-Annahmen!$B$31*$C$15)+S$21*$E$15*Annahmen!$B$19</f>
        <v>95.6647040194066</v>
      </c>
      <c r="T149" s="41" t="n">
        <f aca="false">S149*(1-Annahmen!$B$31*$C$15)+T$21*$E$15*Annahmen!$B$19</f>
        <v>105.368751122941</v>
      </c>
      <c r="U149" s="41" t="n">
        <f aca="false">T149*(1-Annahmen!$B$31*$C$15)+U$21*$E$15*Annahmen!$B$19</f>
        <v>117.23990109599</v>
      </c>
      <c r="V149" s="41" t="n">
        <f aca="false">U149*(1-Annahmen!$B$31*$C$15)+V$21*$E$15*Annahmen!$B$19</f>
        <v>128.826143469686</v>
      </c>
      <c r="W149" s="41" t="n">
        <f aca="false">V149*(1-Annahmen!$B$31*$C$15)+W$21*$E$15*Annahmen!$B$19</f>
        <v>140.134316026414</v>
      </c>
      <c r="X149" s="41" t="n">
        <f aca="false">W149*(1-Annahmen!$B$31*$C$15)+X$21*$E$15*Annahmen!$B$19</f>
        <v>153.57109244178</v>
      </c>
      <c r="Y149" s="41" t="n">
        <f aca="false">X149*(1-Annahmen!$B$31*$C$15)+Y$21*$E$15*Annahmen!$B$19</f>
        <v>166.685386223177</v>
      </c>
      <c r="Z149" s="41" t="n">
        <f aca="false">Y149*(1-Annahmen!$B$31*$C$15)+Z$21*$E$15*Annahmen!$B$19</f>
        <v>179.484936953821</v>
      </c>
      <c r="AA149" s="41" t="n">
        <f aca="false">Z149*(1-Annahmen!$B$31*$C$15)+AA$21*$E$15*Annahmen!$B$19</f>
        <v>193.177298466929</v>
      </c>
      <c r="AB149" s="41" t="n">
        <f aca="false">AA149*(1-Annahmen!$B$31*$C$15)+AB$21*$E$15*Annahmen!$B$19</f>
        <v>206.541043303723</v>
      </c>
      <c r="AC149" s="41" t="n">
        <f aca="false">AB149*(1-Annahmen!$B$31*$C$15)+AC$21*$E$15*Annahmen!$B$19</f>
        <v>219.584058264434</v>
      </c>
      <c r="AD149" s="41" t="n">
        <f aca="false">AC149*(1-Annahmen!$B$31*$C$15)+AD$21*$E$15*Annahmen!$B$19</f>
        <v>234.114040866087</v>
      </c>
      <c r="AE149" s="41" t="n">
        <f aca="false">AD149*(1-Annahmen!$B$31*$C$15)+AE$21*$E$15*Annahmen!$B$19</f>
        <v>248.295303885301</v>
      </c>
      <c r="AF149" s="41" t="n">
        <f aca="false">AE149*(1-Annahmen!$B$31*$C$15)+AF$21*$E$15*Annahmen!$B$19</f>
        <v>262.136216592054</v>
      </c>
      <c r="AG149" s="41" t="n">
        <f aca="false">AF149*(1-Annahmen!$B$31*$C$15)+AG$21*$E$15*Annahmen!$B$19</f>
        <v>277.444947393845</v>
      </c>
      <c r="AH149" s="41" t="n">
        <f aca="false">AG149*(1-Annahmen!$B$31*$C$15)+AH$21*$E$15*Annahmen!$B$19</f>
        <v>292.386268656393</v>
      </c>
      <c r="AI149" s="41" t="n">
        <f aca="false">AH149*(1-Annahmen!$B$31*$C$15)+AI$21*$E$15*Annahmen!$B$19</f>
        <v>306.968998208639</v>
      </c>
      <c r="AJ149" s="41" t="n">
        <f aca="false">AI149*(1-Annahmen!$B$31*$C$15)+AJ$21*$E$15*Annahmen!$B$19</f>
        <v>323.601742251632</v>
      </c>
      <c r="AK149" s="41" t="n">
        <f aca="false">AJ149*(1-Annahmen!$B$31*$C$15)+AK$21*$E$15*Annahmen!$B$19</f>
        <v>339.835300437593</v>
      </c>
      <c r="AL149" s="41" t="n">
        <f aca="false">AK149*(1-Annahmen!$B$31*$C$15)+AL$21*$E$15*Annahmen!$B$19</f>
        <v>355.67925322709</v>
      </c>
      <c r="AM149" s="41" t="n">
        <f aca="false">AL149*(1-Annahmen!$B$31*$C$15)+AM$21*$E$15*Annahmen!$B$19</f>
        <v>374.14295114964</v>
      </c>
      <c r="AN149" s="41" t="n">
        <f aca="false">AM149*(1-Annahmen!$B$31*$C$15)+AN$21*$E$15*Annahmen!$B$19</f>
        <v>392.163520322049</v>
      </c>
      <c r="AO149" s="41" t="n">
        <f aca="false">AN149*(1-Annahmen!$B$31*$C$15)+AO$21*$E$15*Annahmen!$B$19</f>
        <v>409.75159583432</v>
      </c>
      <c r="AP149" s="41" t="n">
        <f aca="false">AO149*(1-Annahmen!$B$31*$C$15)+AP$21*$E$15*Annahmen!$B$19</f>
        <v>426.917557534296</v>
      </c>
      <c r="AQ149" s="41" t="n">
        <f aca="false">AP149*(1-Annahmen!$B$31*$C$15)+AQ$21*$E$15*Annahmen!$B$19</f>
        <v>443.671536153473</v>
      </c>
      <c r="AR149" s="41" t="n">
        <f aca="false">AQ149*(1-Annahmen!$B$31*$C$15)+AR$21*$E$15*Annahmen!$B$19</f>
        <v>460.02341928579</v>
      </c>
      <c r="AS149" s="41" t="n">
        <f aca="false">AR149*(1-Annahmen!$B$31*$C$15)+AS$21*$E$15*Annahmen!$B$19</f>
        <v>475.982857222931</v>
      </c>
      <c r="AT149" s="41" t="n">
        <f aca="false">AS149*(1-Annahmen!$B$31*$C$15)+AT$21*$E$15*Annahmen!$B$19</f>
        <v>491.55926864958</v>
      </c>
      <c r="AU149" s="41" t="n">
        <f aca="false">AT149*(1-Annahmen!$B$31*$C$15)+AU$21*$E$15*Annahmen!$B$19</f>
        <v>506.76184620199</v>
      </c>
      <c r="AV149" s="41" t="n">
        <f aca="false">AU149*(1-Annahmen!$B$31*$C$15)+AV$21*$E$15*Annahmen!$B$19</f>
        <v>521.599561893142</v>
      </c>
      <c r="AW149" s="41" t="n">
        <f aca="false">AV149*(1-Annahmen!$B$31*$C$15)+AW$21*$E$15*Annahmen!$B$19</f>
        <v>536.081172407707</v>
      </c>
      <c r="AX149" s="41" t="n">
        <f aca="false">AW149*(1-Annahmen!$B$31*$C$15)+AX$21*$E$15*Annahmen!$B$19</f>
        <v>550.215224269922</v>
      </c>
      <c r="AY149" s="41" t="n">
        <f aca="false">AX149*(1-Annahmen!$B$31*$C$15)+AY$21*$E$15*Annahmen!$B$19</f>
        <v>570.010058887444</v>
      </c>
      <c r="AZ149" s="41" t="n">
        <f aca="false">AY149*(1-Annahmen!$B$31*$C$15)+AZ$21*$E$15*Annahmen!$B$19</f>
        <v>589.329817474145</v>
      </c>
      <c r="BA149" s="41" t="n">
        <f aca="false">AZ149*(1-Annahmen!$B$31*$C$15)+BA$21*$E$15*Annahmen!$B$19</f>
        <v>608.185901854766</v>
      </c>
      <c r="BB149" s="41" t="n">
        <f aca="false">BA149*(1-Annahmen!$B$31*$C$15)+BB$21*$E$15*Annahmen!$B$19</f>
        <v>626.589440210251</v>
      </c>
      <c r="BC149" s="41" t="n">
        <f aca="false">BB149*(1-Annahmen!$B$31*$C$15)+BC$21*$E$15*Annahmen!$B$19</f>
        <v>644.551293645205</v>
      </c>
      <c r="BD149" s="41" t="n">
        <f aca="false">BC149*(1-Annahmen!$B$31*$C$15)+BD$21*$E$15*Annahmen!$B$19</f>
        <v>662.08206259772</v>
      </c>
      <c r="BE149" s="41" t="n">
        <f aca="false">BD149*(1-Annahmen!$B$31*$C$15)+BE$21*$E$15*Annahmen!$B$19</f>
        <v>679.192093095375</v>
      </c>
      <c r="BF149" s="41" t="n">
        <f aca="false">BE149*(1-Annahmen!$B$31*$C$15)+BF$21*$E$15*Annahmen!$B$19</f>
        <v>695.891482861086</v>
      </c>
      <c r="BG149" s="41" t="n">
        <f aca="false">BF149*(1-Annahmen!$B$31*$C$15)+BG$21*$E$15*Annahmen!$B$19</f>
        <v>712.19008727242</v>
      </c>
      <c r="BH149" s="41" t="n">
        <f aca="false">BG149*(1-Annahmen!$B$31*$C$15)+BH$21*$E$15*Annahmen!$B$19</f>
        <v>728.097525177882</v>
      </c>
      <c r="BI149" s="41" t="n">
        <f aca="false">BH149*(1-Annahmen!$B$31*$C$15)+BI$21*$E$15*Annahmen!$B$19</f>
        <v>743.623184573613</v>
      </c>
      <c r="BJ149" s="41" t="n">
        <f aca="false">BI149*(1-Annahmen!$B$31*$C$15)+BJ$21*$E$15*Annahmen!$B$19</f>
        <v>758.776228143846</v>
      </c>
    </row>
    <row r="150" customFormat="false" ht="15" hidden="false" customHeight="false" outlineLevel="0" collapsed="false">
      <c r="B150" s="5" t="s">
        <v>397</v>
      </c>
      <c r="C150" s="41" t="n">
        <f aca="false">Annahmen!$B$7*Annahmen!$B$20*(1-Annahmen!$B$32*$C$15)+C$21*$E$15*Annahmen!$B$20</f>
        <v>3.2376</v>
      </c>
      <c r="D150" s="41" t="n">
        <f aca="false">C150*(1-Annahmen!$B$32*$C$15)+D$21*$E$15*Annahmen!$B$20</f>
        <v>4.5537984</v>
      </c>
      <c r="E150" s="41" t="n">
        <f aca="false">D150*(1-Annahmen!$B$32*$C$15)+E$21*$E$15*Annahmen!$B$20</f>
        <v>5.8489376256</v>
      </c>
      <c r="F150" s="41" t="n">
        <f aca="false">E150*(1-Annahmen!$B$32*$C$15)+F$21*$E$15*Annahmen!$B$20</f>
        <v>8.4913546235904</v>
      </c>
      <c r="G150" s="41" t="n">
        <f aca="false">F150*(1-Annahmen!$B$32*$C$15)+G$21*$E$15*Annahmen!$B$20</f>
        <v>11.091492949613</v>
      </c>
      <c r="H150" s="41" t="n">
        <f aca="false">G150*(1-Annahmen!$B$32*$C$15)+H$21*$E$15*Annahmen!$B$20</f>
        <v>13.6500290624191</v>
      </c>
      <c r="I150" s="41" t="n">
        <f aca="false">H150*(1-Annahmen!$B$32*$C$15)+I$21*$E$15*Annahmen!$B$20</f>
        <v>17.5356285974204</v>
      </c>
      <c r="J150" s="41" t="n">
        <f aca="false">I150*(1-Annahmen!$B$32*$C$15)+J$21*$E$15*Annahmen!$B$20</f>
        <v>21.3590585398617</v>
      </c>
      <c r="K150" s="41" t="n">
        <f aca="false">J150*(1-Annahmen!$B$32*$C$15)+K$21*$E$15*Annahmen!$B$20</f>
        <v>25.1213136032239</v>
      </c>
      <c r="L150" s="41" t="n">
        <f aca="false">K150*(1-Annahmen!$B$32*$C$15)+L$21*$E$15*Annahmen!$B$20</f>
        <v>30.1913725855723</v>
      </c>
      <c r="M150" s="41" t="n">
        <f aca="false">L150*(1-Annahmen!$B$32*$C$15)+M$21*$E$15*Annahmen!$B$20</f>
        <v>35.1803106242032</v>
      </c>
      <c r="N150" s="41" t="n">
        <f aca="false">M150*(1-Annahmen!$B$32*$C$15)+N$21*$E$15*Annahmen!$B$20</f>
        <v>40.0894256542159</v>
      </c>
      <c r="O150" s="41" t="n">
        <f aca="false">N150*(1-Annahmen!$B$32*$C$15)+O$21*$E$15*Annahmen!$B$20</f>
        <v>46.7439948437485</v>
      </c>
      <c r="P150" s="41" t="n">
        <f aca="false">O150*(1-Annahmen!$B$32*$C$15)+P$21*$E$15*Annahmen!$B$20</f>
        <v>53.2920909262485</v>
      </c>
      <c r="Q150" s="41" t="n">
        <f aca="false">P150*(1-Annahmen!$B$32*$C$15)+Q$21*$E$15*Annahmen!$B$20</f>
        <v>59.7354174714285</v>
      </c>
      <c r="R150" s="41" t="n">
        <f aca="false">Q150*(1-Annahmen!$B$32*$C$15)+R$21*$E$15*Annahmen!$B$20</f>
        <v>67.8996507918857</v>
      </c>
      <c r="S150" s="41" t="n">
        <f aca="false">R150*(1-Annahmen!$B$32*$C$15)+S$21*$E$15*Annahmen!$B$20</f>
        <v>75.9332563792155</v>
      </c>
      <c r="T150" s="41" t="n">
        <f aca="false">S150*(1-Annahmen!$B$32*$C$15)+T$21*$E$15*Annahmen!$B$20</f>
        <v>83.8383242771481</v>
      </c>
      <c r="U150" s="41" t="n">
        <f aca="false">T150*(1-Annahmen!$B$32*$C$15)+U$21*$E$15*Annahmen!$B$20</f>
        <v>93.4409110887137</v>
      </c>
      <c r="V150" s="41" t="n">
        <f aca="false">U150*(1-Annahmen!$B$32*$C$15)+V$21*$E$15*Annahmen!$B$20</f>
        <v>102.889856511294</v>
      </c>
      <c r="W150" s="41" t="n">
        <f aca="false">V150*(1-Annahmen!$B$32*$C$15)+W$21*$E$15*Annahmen!$B$20</f>
        <v>112.187618807114</v>
      </c>
      <c r="X150" s="41" t="n">
        <f aca="false">W150*(1-Annahmen!$B$32*$C$15)+X$21*$E$15*Annahmen!$B$20</f>
        <v>123.1606169062</v>
      </c>
      <c r="Y150" s="41" t="n">
        <f aca="false">X150*(1-Annahmen!$B$32*$C$15)+Y$21*$E$15*Annahmen!$B$20</f>
        <v>133.958047035701</v>
      </c>
      <c r="Z150" s="41" t="n">
        <f aca="false">Y150*(1-Annahmen!$B$32*$C$15)+Z$21*$E$15*Annahmen!$B$20</f>
        <v>144.582718283129</v>
      </c>
      <c r="AA150" s="41" t="n">
        <f aca="false">Z150*(1-Annahmen!$B$32*$C$15)+AA$21*$E$15*Annahmen!$B$20</f>
        <v>155.949394790599</v>
      </c>
      <c r="AB150" s="41" t="n">
        <f aca="false">AA150*(1-Annahmen!$B$32*$C$15)+AB$21*$E$15*Annahmen!$B$20</f>
        <v>167.13420447395</v>
      </c>
      <c r="AC150" s="41" t="n">
        <f aca="false">AB150*(1-Annahmen!$B$32*$C$15)+AC$21*$E$15*Annahmen!$B$20</f>
        <v>178.140057202366</v>
      </c>
      <c r="AD150" s="41" t="n">
        <f aca="false">AC150*(1-Annahmen!$B$32*$C$15)+AD$21*$E$15*Annahmen!$B$20</f>
        <v>190.337816287129</v>
      </c>
      <c r="AE150" s="41" t="n">
        <f aca="false">AD150*(1-Annahmen!$B$32*$C$15)+AE$21*$E$15*Annahmen!$B$20</f>
        <v>202.340411226535</v>
      </c>
      <c r="AF150" s="41" t="n">
        <f aca="false">AE150*(1-Annahmen!$B$32*$C$15)+AF$21*$E$15*Annahmen!$B$20</f>
        <v>214.15096464691</v>
      </c>
      <c r="AG150" s="41" t="n">
        <f aca="false">AF150*(1-Annahmen!$B$32*$C$15)+AG$21*$E$15*Annahmen!$B$20</f>
        <v>227.140549212559</v>
      </c>
      <c r="AH150" s="41" t="n">
        <f aca="false">AG150*(1-Annahmen!$B$32*$C$15)+AH$21*$E$15*Annahmen!$B$20</f>
        <v>239.922300425158</v>
      </c>
      <c r="AI150" s="41" t="n">
        <f aca="false">AH150*(1-Annahmen!$B$32*$C$15)+AI$21*$E$15*Annahmen!$B$20</f>
        <v>252.499543618356</v>
      </c>
      <c r="AJ150" s="41" t="n">
        <f aca="false">AI150*(1-Annahmen!$B$32*$C$15)+AJ$21*$E$15*Annahmen!$B$20</f>
        <v>266.699550920462</v>
      </c>
      <c r="AK150" s="41" t="n">
        <f aca="false">AJ150*(1-Annahmen!$B$32*$C$15)+AK$21*$E$15*Annahmen!$B$20</f>
        <v>280.672358105735</v>
      </c>
      <c r="AL150" s="41" t="n">
        <f aca="false">AK150*(1-Annahmen!$B$32*$C$15)+AL$21*$E$15*Annahmen!$B$20</f>
        <v>294.421600376043</v>
      </c>
      <c r="AM150" s="41" t="n">
        <f aca="false">AL150*(1-Annahmen!$B$32*$C$15)+AM$21*$E$15*Annahmen!$B$20</f>
        <v>310.230854770026</v>
      </c>
      <c r="AN150" s="41" t="n">
        <f aca="false">AM150*(1-Annahmen!$B$32*$C$15)+AN$21*$E$15*Annahmen!$B$20</f>
        <v>325.787161093706</v>
      </c>
      <c r="AO150" s="41" t="n">
        <f aca="false">AN150*(1-Annahmen!$B$32*$C$15)+AO$21*$E$15*Annahmen!$B$20</f>
        <v>341.094566516207</v>
      </c>
      <c r="AP150" s="41" t="n">
        <f aca="false">AO150*(1-Annahmen!$B$32*$C$15)+AP$21*$E$15*Annahmen!$B$20</f>
        <v>356.157053451947</v>
      </c>
      <c r="AQ150" s="41" t="n">
        <f aca="false">AP150*(1-Annahmen!$B$32*$C$15)+AQ$21*$E$15*Annahmen!$B$20</f>
        <v>370.978540596716</v>
      </c>
      <c r="AR150" s="41" t="n">
        <f aca="false">AQ150*(1-Annahmen!$B$32*$C$15)+AR$21*$E$15*Annahmen!$B$20</f>
        <v>385.562883947169</v>
      </c>
      <c r="AS150" s="41" t="n">
        <f aca="false">AR150*(1-Annahmen!$B$32*$C$15)+AS$21*$E$15*Annahmen!$B$20</f>
        <v>399.913877804014</v>
      </c>
      <c r="AT150" s="41" t="n">
        <f aca="false">AS150*(1-Annahmen!$B$32*$C$15)+AT$21*$E$15*Annahmen!$B$20</f>
        <v>414.03525575915</v>
      </c>
      <c r="AU150" s="41" t="n">
        <f aca="false">AT150*(1-Annahmen!$B$32*$C$15)+AU$21*$E$15*Annahmen!$B$20</f>
        <v>427.930691667003</v>
      </c>
      <c r="AV150" s="41" t="n">
        <f aca="false">AU150*(1-Annahmen!$B$32*$C$15)+AV$21*$E$15*Annahmen!$B$20</f>
        <v>441.603800600331</v>
      </c>
      <c r="AW150" s="41" t="n">
        <f aca="false">AV150*(1-Annahmen!$B$32*$C$15)+AW$21*$E$15*Annahmen!$B$20</f>
        <v>455.058139790726</v>
      </c>
      <c r="AX150" s="41" t="n">
        <f aca="false">AW150*(1-Annahmen!$B$32*$C$15)+AX$21*$E$15*Annahmen!$B$20</f>
        <v>468.297209554074</v>
      </c>
      <c r="AY150" s="41" t="n">
        <f aca="false">AX150*(1-Annahmen!$B$32*$C$15)+AY$21*$E$15*Annahmen!$B$20</f>
        <v>485.884454201209</v>
      </c>
      <c r="AZ150" s="41" t="n">
        <f aca="false">AY150*(1-Annahmen!$B$32*$C$15)+AZ$21*$E$15*Annahmen!$B$20</f>
        <v>503.19030293399</v>
      </c>
      <c r="BA150" s="41" t="n">
        <f aca="false">AZ150*(1-Annahmen!$B$32*$C$15)+BA$21*$E$15*Annahmen!$B$20</f>
        <v>520.219258087046</v>
      </c>
      <c r="BB150" s="41" t="n">
        <f aca="false">BA150*(1-Annahmen!$B$32*$C$15)+BB$21*$E$15*Annahmen!$B$20</f>
        <v>536.975749957653</v>
      </c>
      <c r="BC150" s="41" t="n">
        <f aca="false">BB150*(1-Annahmen!$B$32*$C$15)+BC$21*$E$15*Annahmen!$B$20</f>
        <v>553.464137958331</v>
      </c>
      <c r="BD150" s="41" t="n">
        <f aca="false">BC150*(1-Annahmen!$B$32*$C$15)+BD$21*$E$15*Annahmen!$B$20</f>
        <v>569.688711750997</v>
      </c>
      <c r="BE150" s="41" t="n">
        <f aca="false">BD150*(1-Annahmen!$B$32*$C$15)+BE$21*$E$15*Annahmen!$B$20</f>
        <v>585.653692362982</v>
      </c>
      <c r="BF150" s="41" t="n">
        <f aca="false">BE150*(1-Annahmen!$B$32*$C$15)+BF$21*$E$15*Annahmen!$B$20</f>
        <v>601.363233285174</v>
      </c>
      <c r="BG150" s="41" t="n">
        <f aca="false">BF150*(1-Annahmen!$B$32*$C$15)+BG$21*$E$15*Annahmen!$B$20</f>
        <v>616.821421552611</v>
      </c>
      <c r="BH150" s="41" t="n">
        <f aca="false">BG150*(1-Annahmen!$B$32*$C$15)+BH$21*$E$15*Annahmen!$B$20</f>
        <v>632.032278807769</v>
      </c>
      <c r="BI150" s="41" t="n">
        <f aca="false">BH150*(1-Annahmen!$B$32*$C$15)+BI$21*$E$15*Annahmen!$B$20</f>
        <v>646.999762346845</v>
      </c>
      <c r="BJ150" s="41" t="n">
        <f aca="false">BI150*(1-Annahmen!$B$32*$C$15)+BJ$21*$E$15*Annahmen!$B$20</f>
        <v>661.727766149296</v>
      </c>
    </row>
    <row r="151" customFormat="false" ht="15" hidden="false" customHeight="false" outlineLevel="0" collapsed="false">
      <c r="B151" s="5" t="s">
        <v>398</v>
      </c>
      <c r="C151" s="41" t="n">
        <f aca="false">Annahmen!$B$7*Annahmen!$B$21*(1-Annahmen!$B$33*$C$15)+C$21*$E$15*Annahmen!$B$21</f>
        <v>1.02624</v>
      </c>
      <c r="D151" s="41" t="n">
        <f aca="false">C151*(1-Annahmen!$B$33*$C$15)+D$21*$E$15*Annahmen!$B$21</f>
        <v>1.448388096</v>
      </c>
      <c r="E151" s="41" t="n">
        <f aca="false">D151*(1-Annahmen!$B$33*$C$15)+E$21*$E$15*Annahmen!$B$21</f>
        <v>1.8664835702784</v>
      </c>
      <c r="F151" s="41" t="n">
        <f aca="false">E151*(1-Annahmen!$B$33*$C$15)+F$21*$E$15*Annahmen!$B$21</f>
        <v>2.71256532800373</v>
      </c>
      <c r="G151" s="41" t="n">
        <f aca="false">F151*(1-Annahmen!$B$33*$C$15)+G$21*$E$15*Annahmen!$B$21</f>
        <v>3.55052470085489</v>
      </c>
      <c r="H151" s="41" t="n">
        <f aca="false">G151*(1-Annahmen!$B$33*$C$15)+H$21*$E$15*Annahmen!$B$21</f>
        <v>4.38043966372668</v>
      </c>
      <c r="I151" s="41" t="n">
        <f aca="false">H151*(1-Annahmen!$B$33*$C$15)+I$21*$E$15*Annahmen!$B$21</f>
        <v>5.63438744295491</v>
      </c>
      <c r="J151" s="41" t="n">
        <f aca="false">I151*(1-Annahmen!$B$33*$C$15)+J$21*$E$15*Annahmen!$B$21</f>
        <v>6.87629732350254</v>
      </c>
      <c r="K151" s="41" t="n">
        <f aca="false">J151*(1-Annahmen!$B$33*$C$15)+K$21*$E$15*Annahmen!$B$21</f>
        <v>8.10628486919691</v>
      </c>
      <c r="L151" s="41" t="n">
        <f aca="false">K151*(1-Annahmen!$B$33*$C$15)+L$21*$E$15*Annahmen!$B$21</f>
        <v>9.75646453445262</v>
      </c>
      <c r="M151" s="41" t="n">
        <f aca="false">L151*(1-Annahmen!$B$33*$C$15)+M$21*$E$15*Annahmen!$B$21</f>
        <v>11.3908024749219</v>
      </c>
      <c r="N151" s="41" t="n">
        <f aca="false">M151*(1-Annahmen!$B$33*$C$15)+N$21*$E$15*Annahmen!$B$21</f>
        <v>13.0094507711626</v>
      </c>
      <c r="O151" s="41" t="n">
        <f aca="false">N151*(1-Annahmen!$B$33*$C$15)+O$21*$E$15*Annahmen!$B$21</f>
        <v>15.1885600437595</v>
      </c>
      <c r="P151" s="41" t="n">
        <f aca="false">O151*(1-Annahmen!$B$33*$C$15)+P$21*$E$15*Annahmen!$B$21</f>
        <v>17.3467498673394</v>
      </c>
      <c r="Q151" s="41" t="n">
        <f aca="false">P151*(1-Annahmen!$B$33*$C$15)+Q$21*$E$15*Annahmen!$B$21</f>
        <v>19.4842210686129</v>
      </c>
      <c r="R151" s="41" t="n">
        <f aca="false">Q151*(1-Annahmen!$B$33*$C$15)+R$21*$E$15*Annahmen!$B$21</f>
        <v>22.1771725463542</v>
      </c>
      <c r="S151" s="41" t="n">
        <f aca="false">R151*(1-Annahmen!$B$33*$C$15)+S$21*$E$15*Annahmen!$B$21</f>
        <v>24.8442716899092</v>
      </c>
      <c r="T151" s="41" t="n">
        <f aca="false">S151*(1-Annahmen!$B$33*$C$15)+T$21*$E$15*Annahmen!$B$21</f>
        <v>27.4857666816861</v>
      </c>
      <c r="U151" s="41" t="n">
        <f aca="false">T151*(1-Annahmen!$B$33*$C$15)+U$21*$E$15*Annahmen!$B$21</f>
        <v>30.6779033215419</v>
      </c>
      <c r="V151" s="41" t="n">
        <f aca="false">U151*(1-Annahmen!$B$33*$C$15)+V$21*$E$15*Annahmen!$B$21</f>
        <v>33.8393954496551</v>
      </c>
      <c r="W151" s="41" t="n">
        <f aca="false">V151*(1-Annahmen!$B$33*$C$15)+W$21*$E$15*Annahmen!$B$21</f>
        <v>36.9705372533384</v>
      </c>
      <c r="X151" s="41" t="n">
        <f aca="false">W151*(1-Annahmen!$B$33*$C$15)+X$21*$E$15*Annahmen!$B$21</f>
        <v>40.6476200957064</v>
      </c>
      <c r="Y151" s="41" t="n">
        <f aca="false">X151*(1-Annahmen!$B$33*$C$15)+Y$21*$E$15*Annahmen!$B$21</f>
        <v>44.2894029427876</v>
      </c>
      <c r="Z151" s="41" t="n">
        <f aca="false">Y151*(1-Annahmen!$B$33*$C$15)+Z$21*$E$15*Annahmen!$B$21</f>
        <v>47.8962246745368</v>
      </c>
      <c r="AA151" s="41" t="n">
        <f aca="false">Z151*(1-Annahmen!$B$33*$C$15)+AA$21*$E$15*Annahmen!$B$21</f>
        <v>51.7564209176613</v>
      </c>
      <c r="AB151" s="41" t="n">
        <f aca="false">AA151*(1-Annahmen!$B$33*$C$15)+AB$21*$E$15*Annahmen!$B$21</f>
        <v>55.5795592768517</v>
      </c>
      <c r="AC151" s="41" t="n">
        <f aca="false">AB151*(1-Annahmen!$B$33*$C$15)+AC$21*$E$15*Annahmen!$B$21</f>
        <v>59.3659955077939</v>
      </c>
      <c r="AD151" s="41" t="n">
        <f aca="false">AC151*(1-Annahmen!$B$33*$C$15)+AD$21*$E$15*Annahmen!$B$21</f>
        <v>63.5480819509191</v>
      </c>
      <c r="AE151" s="41" t="n">
        <f aca="false">AD151*(1-Annahmen!$B$33*$C$15)+AE$21*$E$15*Annahmen!$B$21</f>
        <v>67.6900203641903</v>
      </c>
      <c r="AF151" s="41" t="n">
        <f aca="false">AE151*(1-Annahmen!$B$33*$C$15)+AF$21*$E$15*Annahmen!$B$21</f>
        <v>71.792196168694</v>
      </c>
      <c r="AG151" s="41" t="n">
        <f aca="false">AF151*(1-Annahmen!$B$33*$C$15)+AG$21*$E$15*Annahmen!$B$21</f>
        <v>76.2869910854746</v>
      </c>
      <c r="AH151" s="41" t="n">
        <f aca="false">AG151*(1-Annahmen!$B$33*$C$15)+AH$21*$E$15*Annahmen!$B$21</f>
        <v>80.738635971054</v>
      </c>
      <c r="AI151" s="41" t="n">
        <f aca="false">AH151*(1-Annahmen!$B$33*$C$15)+AI$21*$E$15*Annahmen!$B$21</f>
        <v>85.1475450657319</v>
      </c>
      <c r="AJ151" s="41" t="n">
        <f aca="false">AI151*(1-Annahmen!$B$33*$C$15)+AJ$21*$E$15*Annahmen!$B$21</f>
        <v>90.0901286331009</v>
      </c>
      <c r="AK151" s="41" t="n">
        <f aca="false">AJ151*(1-Annahmen!$B$33*$C$15)+AK$21*$E$15*Annahmen!$B$21</f>
        <v>94.9852633982231</v>
      </c>
      <c r="AL151" s="41" t="n">
        <f aca="false">AK151*(1-Annahmen!$B$33*$C$15)+AL$21*$E$15*Annahmen!$B$21</f>
        <v>99.8334048696002</v>
      </c>
      <c r="AM151" s="41" t="n">
        <f aca="false">AL151*(1-Annahmen!$B$33*$C$15)+AM$21*$E$15*Annahmen!$B$21</f>
        <v>105.355004182852</v>
      </c>
      <c r="AN151" s="41" t="n">
        <f aca="false">AM151*(1-Annahmen!$B$33*$C$15)+AN$21*$E$15*Annahmen!$B$21</f>
        <v>110.823596142697</v>
      </c>
      <c r="AO151" s="41" t="n">
        <f aca="false">AN151*(1-Annahmen!$B$33*$C$15)+AO$21*$E$15*Annahmen!$B$21</f>
        <v>116.239689619727</v>
      </c>
      <c r="AP151" s="41" t="n">
        <f aca="false">AO151*(1-Annahmen!$B$33*$C$15)+AP$21*$E$15*Annahmen!$B$21</f>
        <v>121.603788599377</v>
      </c>
      <c r="AQ151" s="41" t="n">
        <f aca="false">AP151*(1-Annahmen!$B$33*$C$15)+AQ$21*$E$15*Annahmen!$B$21</f>
        <v>126.916392228823</v>
      </c>
      <c r="AR151" s="41" t="n">
        <f aca="false">AQ151*(1-Annahmen!$B$33*$C$15)+AR$21*$E$15*Annahmen!$B$21</f>
        <v>132.177994863427</v>
      </c>
      <c r="AS151" s="41" t="n">
        <f aca="false">AR151*(1-Annahmen!$B$33*$C$15)+AS$21*$E$15*Annahmen!$B$21</f>
        <v>137.389086112738</v>
      </c>
      <c r="AT151" s="41" t="n">
        <f aca="false">AS151*(1-Annahmen!$B$33*$C$15)+AT$21*$E$15*Annahmen!$B$21</f>
        <v>142.550150886055</v>
      </c>
      <c r="AU151" s="41" t="n">
        <f aca="false">AT151*(1-Annahmen!$B$33*$C$15)+AU$21*$E$15*Annahmen!$B$21</f>
        <v>147.661669437549</v>
      </c>
      <c r="AV151" s="41" t="n">
        <f aca="false">AU151*(1-Annahmen!$B$33*$C$15)+AV$21*$E$15*Annahmen!$B$21</f>
        <v>152.724117410949</v>
      </c>
      <c r="AW151" s="41" t="n">
        <f aca="false">AV151*(1-Annahmen!$B$33*$C$15)+AW$21*$E$15*Annahmen!$B$21</f>
        <v>157.737965883804</v>
      </c>
      <c r="AX151" s="41" t="n">
        <f aca="false">AW151*(1-Annahmen!$B$33*$C$15)+AX$21*$E$15*Annahmen!$B$21</f>
        <v>162.703681411319</v>
      </c>
      <c r="AY151" s="41" t="n">
        <f aca="false">AX151*(1-Annahmen!$B$33*$C$15)+AY$21*$E$15*Annahmen!$B$21</f>
        <v>169.06172606977</v>
      </c>
      <c r="AZ151" s="41" t="n">
        <f aca="false">AY151*(1-Annahmen!$B$33*$C$15)+AZ$21*$E$15*Annahmen!$B$21</f>
        <v>175.358733499501</v>
      </c>
      <c r="BA151" s="41" t="n">
        <f aca="false">AZ151*(1-Annahmen!$B$33*$C$15)+BA$21*$E$15*Annahmen!$B$21</f>
        <v>181.595289657905</v>
      </c>
      <c r="BB151" s="41" t="n">
        <f aca="false">BA151*(1-Annahmen!$B$33*$C$15)+BB$21*$E$15*Annahmen!$B$21</f>
        <v>187.771974877189</v>
      </c>
      <c r="BC151" s="41" t="n">
        <f aca="false">BB151*(1-Annahmen!$B$33*$C$15)+BC$21*$E$15*Annahmen!$B$21</f>
        <v>193.889363918368</v>
      </c>
      <c r="BD151" s="41" t="n">
        <f aca="false">BC151*(1-Annahmen!$B$33*$C$15)+BD$21*$E$15*Annahmen!$B$21</f>
        <v>199.948026024752</v>
      </c>
      <c r="BE151" s="41" t="n">
        <f aca="false">BD151*(1-Annahmen!$B$33*$C$15)+BE$21*$E$15*Annahmen!$B$21</f>
        <v>205.948524974914</v>
      </c>
      <c r="BF151" s="41" t="n">
        <f aca="false">BE151*(1-Annahmen!$B$33*$C$15)+BF$21*$E$15*Annahmen!$B$21</f>
        <v>211.891419135155</v>
      </c>
      <c r="BG151" s="41" t="n">
        <f aca="false">BF151*(1-Annahmen!$B$33*$C$15)+BG$21*$E$15*Annahmen!$B$21</f>
        <v>217.777261511458</v>
      </c>
      <c r="BH151" s="41" t="n">
        <f aca="false">BG151*(1-Annahmen!$B$33*$C$15)+BH$21*$E$15*Annahmen!$B$21</f>
        <v>223.606599800948</v>
      </c>
      <c r="BI151" s="41" t="n">
        <f aca="false">BH151*(1-Annahmen!$B$33*$C$15)+BI$21*$E$15*Annahmen!$B$21</f>
        <v>229.379976442859</v>
      </c>
      <c r="BJ151" s="41" t="n">
        <f aca="false">BI151*(1-Annahmen!$B$33*$C$15)+BJ$21*$E$15*Annahmen!$B$21</f>
        <v>235.097928669007</v>
      </c>
    </row>
    <row r="152" customFormat="false" ht="15" hidden="false" customHeight="false" outlineLevel="0" collapsed="false">
      <c r="B152" s="5" t="s">
        <v>399</v>
      </c>
      <c r="C152" s="41" t="n">
        <f aca="false">Annahmen!$B$7*Annahmen!$B$21*Annahmen!$B$24*(1-Annahmen!$B$33*$C$15)+C$21*$E$15*Annahmen!$B$21*Annahmen!$B$24</f>
        <v>0.205248</v>
      </c>
      <c r="D152" s="41" t="n">
        <f aca="false">C152*(1-Annahmen!$B$33*$C$15)+D$21*$E$15*Annahmen!$B$21*Annahmen!$B$24</f>
        <v>0.2896776192</v>
      </c>
      <c r="E152" s="41" t="n">
        <f aca="false">D152*(1-Annahmen!$B$33*$C$15)+E$21*$E$15*Annahmen!$B$21*Annahmen!$B$24</f>
        <v>0.37329671405568</v>
      </c>
      <c r="F152" s="41" t="n">
        <f aca="false">E152*(1-Annahmen!$B$33*$C$15)+F$21*$E$15*Annahmen!$B$21*Annahmen!$B$24</f>
        <v>0.542513065600745</v>
      </c>
      <c r="G152" s="41" t="n">
        <f aca="false">F152*(1-Annahmen!$B$33*$C$15)+G$21*$E$15*Annahmen!$B$21*Annahmen!$B$24</f>
        <v>0.710104940170978</v>
      </c>
      <c r="H152" s="41" t="n">
        <f aca="false">G152*(1-Annahmen!$B$33*$C$15)+H$21*$E$15*Annahmen!$B$21*Annahmen!$B$24</f>
        <v>0.876087932745337</v>
      </c>
      <c r="I152" s="41" t="n">
        <f aca="false">H152*(1-Annahmen!$B$33*$C$15)+I$21*$E$15*Annahmen!$B$21*Annahmen!$B$24</f>
        <v>1.12687748859098</v>
      </c>
      <c r="J152" s="41" t="n">
        <f aca="false">I152*(1-Annahmen!$B$33*$C$15)+J$21*$E$15*Annahmen!$B$21*Annahmen!$B$24</f>
        <v>1.37525946470051</v>
      </c>
      <c r="K152" s="41" t="n">
        <f aca="false">J152*(1-Annahmen!$B$33*$C$15)+K$21*$E$15*Annahmen!$B$21*Annahmen!$B$24</f>
        <v>1.62125697383938</v>
      </c>
      <c r="L152" s="41" t="n">
        <f aca="false">K152*(1-Annahmen!$B$33*$C$15)+L$21*$E$15*Annahmen!$B$21*Annahmen!$B$24</f>
        <v>1.95129290689053</v>
      </c>
      <c r="M152" s="41" t="n">
        <f aca="false">L152*(1-Annahmen!$B$33*$C$15)+M$21*$E$15*Annahmen!$B$21*Annahmen!$B$24</f>
        <v>2.27816049498438</v>
      </c>
      <c r="N152" s="41" t="n">
        <f aca="false">M152*(1-Annahmen!$B$33*$C$15)+N$21*$E$15*Annahmen!$B$21*Annahmen!$B$24</f>
        <v>2.60189015423253</v>
      </c>
      <c r="O152" s="41" t="n">
        <f aca="false">N152*(1-Annahmen!$B$33*$C$15)+O$21*$E$15*Annahmen!$B$21*Annahmen!$B$24</f>
        <v>3.03771200875189</v>
      </c>
      <c r="P152" s="41" t="n">
        <f aca="false">O152*(1-Annahmen!$B$33*$C$15)+P$21*$E$15*Annahmen!$B$21*Annahmen!$B$24</f>
        <v>3.46934997346788</v>
      </c>
      <c r="Q152" s="41" t="n">
        <f aca="false">P152*(1-Annahmen!$B$33*$C$15)+Q$21*$E$15*Annahmen!$B$21*Annahmen!$B$24</f>
        <v>3.89684421372258</v>
      </c>
      <c r="R152" s="41" t="n">
        <f aca="false">Q152*(1-Annahmen!$B$33*$C$15)+R$21*$E$15*Annahmen!$B$21*Annahmen!$B$24</f>
        <v>4.43543450927085</v>
      </c>
      <c r="S152" s="41" t="n">
        <f aca="false">R152*(1-Annahmen!$B$33*$C$15)+S$21*$E$15*Annahmen!$B$21*Annahmen!$B$24</f>
        <v>4.96885433798185</v>
      </c>
      <c r="T152" s="41" t="n">
        <f aca="false">S152*(1-Annahmen!$B$33*$C$15)+T$21*$E$15*Annahmen!$B$21*Annahmen!$B$24</f>
        <v>5.49715333633722</v>
      </c>
      <c r="U152" s="41" t="n">
        <f aca="false">T152*(1-Annahmen!$B$33*$C$15)+U$21*$E$15*Annahmen!$B$21*Annahmen!$B$24</f>
        <v>6.13558066430838</v>
      </c>
      <c r="V152" s="41" t="n">
        <f aca="false">U152*(1-Annahmen!$B$33*$C$15)+V$21*$E$15*Annahmen!$B$21*Annahmen!$B$24</f>
        <v>6.76787908993102</v>
      </c>
      <c r="W152" s="41" t="n">
        <f aca="false">V152*(1-Annahmen!$B$33*$C$15)+W$21*$E$15*Annahmen!$B$21*Annahmen!$B$24</f>
        <v>7.39410745066768</v>
      </c>
      <c r="X152" s="41" t="n">
        <f aca="false">W152*(1-Annahmen!$B$33*$C$15)+X$21*$E$15*Annahmen!$B$21*Annahmen!$B$24</f>
        <v>8.12952401914127</v>
      </c>
      <c r="Y152" s="41" t="n">
        <f aca="false">X152*(1-Annahmen!$B$33*$C$15)+Y$21*$E$15*Annahmen!$B$21*Annahmen!$B$24</f>
        <v>8.85788058855752</v>
      </c>
      <c r="Z152" s="41" t="n">
        <f aca="false">Y152*(1-Annahmen!$B$33*$C$15)+Z$21*$E$15*Annahmen!$B$21*Annahmen!$B$24</f>
        <v>9.57924493490737</v>
      </c>
      <c r="AA152" s="41" t="n">
        <f aca="false">Z152*(1-Annahmen!$B$33*$C$15)+AA$21*$E$15*Annahmen!$B$21*Annahmen!$B$24</f>
        <v>10.3512841835323</v>
      </c>
      <c r="AB152" s="41" t="n">
        <f aca="false">AA152*(1-Annahmen!$B$33*$C$15)+AB$21*$E$15*Annahmen!$B$21*Annahmen!$B$24</f>
        <v>11.1159118553703</v>
      </c>
      <c r="AC152" s="41" t="n">
        <f aca="false">AB152*(1-Annahmen!$B$33*$C$15)+AC$21*$E$15*Annahmen!$B$21*Annahmen!$B$24</f>
        <v>11.8731991015588</v>
      </c>
      <c r="AD152" s="41" t="n">
        <f aca="false">AC152*(1-Annahmen!$B$33*$C$15)+AD$21*$E$15*Annahmen!$B$21*Annahmen!$B$24</f>
        <v>12.7096163901838</v>
      </c>
      <c r="AE152" s="41" t="n">
        <f aca="false">AD152*(1-Annahmen!$B$33*$C$15)+AE$21*$E$15*Annahmen!$B$21*Annahmen!$B$24</f>
        <v>13.5380040728381</v>
      </c>
      <c r="AF152" s="41" t="n">
        <f aca="false">AE152*(1-Annahmen!$B$33*$C$15)+AF$21*$E$15*Annahmen!$B$21*Annahmen!$B$24</f>
        <v>14.3584392337388</v>
      </c>
      <c r="AG152" s="41" t="n">
        <f aca="false">AF152*(1-Annahmen!$B$33*$C$15)+AG$21*$E$15*Annahmen!$B$21*Annahmen!$B$24</f>
        <v>15.2573982170949</v>
      </c>
      <c r="AH152" s="41" t="n">
        <f aca="false">AG152*(1-Annahmen!$B$33*$C$15)+AH$21*$E$15*Annahmen!$B$21*Annahmen!$B$24</f>
        <v>16.1477271942108</v>
      </c>
      <c r="AI152" s="41" t="n">
        <f aca="false">AH152*(1-Annahmen!$B$33*$C$15)+AI$21*$E$15*Annahmen!$B$21*Annahmen!$B$24</f>
        <v>17.0295090131464</v>
      </c>
      <c r="AJ152" s="41" t="n">
        <f aca="false">AI152*(1-Annahmen!$B$33*$C$15)+AJ$21*$E$15*Annahmen!$B$21*Annahmen!$B$24</f>
        <v>18.0180257266202</v>
      </c>
      <c r="AK152" s="41" t="n">
        <f aca="false">AJ152*(1-Annahmen!$B$33*$C$15)+AK$21*$E$15*Annahmen!$B$21*Annahmen!$B$24</f>
        <v>18.9970526796446</v>
      </c>
      <c r="AL152" s="41" t="n">
        <f aca="false">AK152*(1-Annahmen!$B$33*$C$15)+AL$21*$E$15*Annahmen!$B$21*Annahmen!$B$24</f>
        <v>19.96668097392</v>
      </c>
      <c r="AM152" s="41" t="n">
        <f aca="false">AL152*(1-Annahmen!$B$33*$C$15)+AM$21*$E$15*Annahmen!$B$21*Annahmen!$B$24</f>
        <v>21.0710008365704</v>
      </c>
      <c r="AN152" s="41" t="n">
        <f aca="false">AM152*(1-Annahmen!$B$33*$C$15)+AN$21*$E$15*Annahmen!$B$21*Annahmen!$B$24</f>
        <v>22.1647192285393</v>
      </c>
      <c r="AO152" s="41" t="n">
        <f aca="false">AN152*(1-Annahmen!$B$33*$C$15)+AO$21*$E$15*Annahmen!$B$21*Annahmen!$B$24</f>
        <v>23.2479379239454</v>
      </c>
      <c r="AP152" s="41" t="n">
        <f aca="false">AO152*(1-Annahmen!$B$33*$C$15)+AP$21*$E$15*Annahmen!$B$21*Annahmen!$B$24</f>
        <v>24.3207577198755</v>
      </c>
      <c r="AQ152" s="41" t="n">
        <f aca="false">AP152*(1-Annahmen!$B$33*$C$15)+AQ$21*$E$15*Annahmen!$B$21*Annahmen!$B$24</f>
        <v>25.3832784457647</v>
      </c>
      <c r="AR152" s="41" t="n">
        <f aca="false">AQ152*(1-Annahmen!$B$33*$C$15)+AR$21*$E$15*Annahmen!$B$21*Annahmen!$B$24</f>
        <v>26.4355989726853</v>
      </c>
      <c r="AS152" s="41" t="n">
        <f aca="false">AR152*(1-Annahmen!$B$33*$C$15)+AS$21*$E$15*Annahmen!$B$21*Annahmen!$B$24</f>
        <v>27.4778172225475</v>
      </c>
      <c r="AT152" s="41" t="n">
        <f aca="false">AS152*(1-Annahmen!$B$33*$C$15)+AT$21*$E$15*Annahmen!$B$21*Annahmen!$B$24</f>
        <v>28.5100301772111</v>
      </c>
      <c r="AU152" s="41" t="n">
        <f aca="false">AT152*(1-Annahmen!$B$33*$C$15)+AU$21*$E$15*Annahmen!$B$21*Annahmen!$B$24</f>
        <v>29.5323338875099</v>
      </c>
      <c r="AV152" s="41" t="n">
        <f aca="false">AU152*(1-Annahmen!$B$33*$C$15)+AV$21*$E$15*Annahmen!$B$21*Annahmen!$B$24</f>
        <v>30.5448234821898</v>
      </c>
      <c r="AW152" s="41" t="n">
        <f aca="false">AV152*(1-Annahmen!$B$33*$C$15)+AW$21*$E$15*Annahmen!$B$21*Annahmen!$B$24</f>
        <v>31.5475931767607</v>
      </c>
      <c r="AX152" s="41" t="n">
        <f aca="false">AW152*(1-Annahmen!$B$33*$C$15)+AX$21*$E$15*Annahmen!$B$21*Annahmen!$B$24</f>
        <v>32.5407362822638</v>
      </c>
      <c r="AY152" s="41" t="n">
        <f aca="false">AX152*(1-Annahmen!$B$33*$C$15)+AY$21*$E$15*Annahmen!$B$21*Annahmen!$B$24</f>
        <v>33.8123452139541</v>
      </c>
      <c r="AZ152" s="41" t="n">
        <f aca="false">AY152*(1-Annahmen!$B$33*$C$15)+AZ$21*$E$15*Annahmen!$B$21*Annahmen!$B$24</f>
        <v>35.0717466999001</v>
      </c>
      <c r="BA152" s="41" t="n">
        <f aca="false">AZ152*(1-Annahmen!$B$33*$C$15)+BA$21*$E$15*Annahmen!$B$21*Annahmen!$B$24</f>
        <v>36.3190579315811</v>
      </c>
      <c r="BB152" s="41" t="n">
        <f aca="false">BA152*(1-Annahmen!$B$33*$C$15)+BB$21*$E$15*Annahmen!$B$21*Annahmen!$B$24</f>
        <v>37.5543949754379</v>
      </c>
      <c r="BC152" s="41" t="n">
        <f aca="false">BB152*(1-Annahmen!$B$33*$C$15)+BC$21*$E$15*Annahmen!$B$21*Annahmen!$B$24</f>
        <v>38.7778727836737</v>
      </c>
      <c r="BD152" s="41" t="n">
        <f aca="false">BC152*(1-Annahmen!$B$33*$C$15)+BD$21*$E$15*Annahmen!$B$21*Annahmen!$B$24</f>
        <v>39.9896052049505</v>
      </c>
      <c r="BE152" s="41" t="n">
        <f aca="false">BD152*(1-Annahmen!$B$33*$C$15)+BE$21*$E$15*Annahmen!$B$21*Annahmen!$B$24</f>
        <v>41.1897049949829</v>
      </c>
      <c r="BF152" s="41" t="n">
        <f aca="false">BE152*(1-Annahmen!$B$33*$C$15)+BF$21*$E$15*Annahmen!$B$21*Annahmen!$B$24</f>
        <v>42.3782838270311</v>
      </c>
      <c r="BG152" s="41" t="n">
        <f aca="false">BF152*(1-Annahmen!$B$33*$C$15)+BG$21*$E$15*Annahmen!$B$21*Annahmen!$B$24</f>
        <v>43.5554523022916</v>
      </c>
      <c r="BH152" s="41" t="n">
        <f aca="false">BG152*(1-Annahmen!$B$33*$C$15)+BH$21*$E$15*Annahmen!$B$21*Annahmen!$B$24</f>
        <v>44.7213199601896</v>
      </c>
      <c r="BI152" s="41" t="n">
        <f aca="false">BH152*(1-Annahmen!$B$33*$C$15)+BI$21*$E$15*Annahmen!$B$21*Annahmen!$B$24</f>
        <v>45.8759952885718</v>
      </c>
      <c r="BJ152" s="41" t="n">
        <f aca="false">BI152*(1-Annahmen!$B$33*$C$15)+BJ$21*$E$15*Annahmen!$B$21*Annahmen!$B$24</f>
        <v>47.0195857338015</v>
      </c>
    </row>
    <row r="153" customFormat="false" ht="15" hidden="false" customHeight="false" outlineLevel="0" collapsed="false">
      <c r="B153" s="5" t="s">
        <v>223</v>
      </c>
      <c r="C153" s="38" t="n">
        <f aca="false">C149+C150+C151</f>
        <v>8.50384</v>
      </c>
      <c r="D153" s="38" t="n">
        <f aca="false">D149+D150+D151</f>
        <v>11.940426496</v>
      </c>
      <c r="E153" s="38" t="n">
        <f aca="false">E149+E150+E151</f>
        <v>15.3111434358784</v>
      </c>
      <c r="F153" s="38" t="n">
        <f aca="false">F149+F150+F151</f>
        <v>22.2173448578341</v>
      </c>
      <c r="G153" s="38" t="n">
        <f aca="false">G149+G150+G151</f>
        <v>28.9911203589581</v>
      </c>
      <c r="H153" s="38" t="n">
        <f aca="false">H149+H150+H151</f>
        <v>35.6351929696323</v>
      </c>
      <c r="I153" s="38" t="n">
        <f aca="false">I149+I150+I151</f>
        <v>45.7522269020181</v>
      </c>
      <c r="J153" s="38" t="n">
        <f aca="false">J149+J150+J151</f>
        <v>55.6755936643276</v>
      </c>
      <c r="K153" s="38" t="n">
        <f aca="false">K149+K150+K151</f>
        <v>65.4092705661611</v>
      </c>
      <c r="L153" s="38" t="n">
        <f aca="false">L149+L150+L151</f>
        <v>78.5571490835154</v>
      </c>
      <c r="M153" s="38" t="n">
        <f aca="false">M149+M150+M151</f>
        <v>91.4538015754918</v>
      </c>
      <c r="N153" s="38" t="n">
        <f aca="false">N149+N150+N151</f>
        <v>104.104380378312</v>
      </c>
      <c r="O153" s="38" t="n">
        <f aca="false">O149+O150+O151</f>
        <v>121.313926745571</v>
      </c>
      <c r="P153" s="38" t="n">
        <f aca="false">P149+P150+P151</f>
        <v>138.195059727058</v>
      </c>
      <c r="Q153" s="38" t="n">
        <f aca="false">Q149+Q150+Q151</f>
        <v>154.754508219108</v>
      </c>
      <c r="R153" s="38" t="n">
        <f aca="false">R149+R150+R151</f>
        <v>175.798856145009</v>
      </c>
      <c r="S153" s="38" t="n">
        <f aca="false">S149+S150+S151</f>
        <v>196.442232088531</v>
      </c>
      <c r="T153" s="38" t="n">
        <f aca="false">T149+T150+T151</f>
        <v>216.692842081775</v>
      </c>
      <c r="U153" s="38" t="n">
        <f aca="false">U149+U150+U151</f>
        <v>241.358715506246</v>
      </c>
      <c r="V153" s="38" t="n">
        <f aca="false">V149+V150+V151</f>
        <v>265.555395430636</v>
      </c>
      <c r="W153" s="38" t="n">
        <f aca="false">W149+W150+W151</f>
        <v>289.292472086866</v>
      </c>
      <c r="X153" s="38" t="n">
        <f aca="false">X149+X150+X151</f>
        <v>317.379329443686</v>
      </c>
      <c r="Y153" s="38" t="n">
        <f aca="false">Y149+Y150+Y151</f>
        <v>344.932836201666</v>
      </c>
      <c r="Z153" s="38" t="n">
        <f aca="false">Z149+Z150+Z151</f>
        <v>371.963879911487</v>
      </c>
      <c r="AA153" s="38" t="n">
        <f aca="false">AA149+AA150+AA151</f>
        <v>400.88311417519</v>
      </c>
      <c r="AB153" s="38" t="n">
        <f aca="false">AB149+AB150+AB151</f>
        <v>429.254807054524</v>
      </c>
      <c r="AC153" s="38" t="n">
        <f aca="false">AC149+AC150+AC151</f>
        <v>457.090110974594</v>
      </c>
      <c r="AD153" s="38" t="n">
        <f aca="false">AD149+AD150+AD151</f>
        <v>487.999939104135</v>
      </c>
      <c r="AE153" s="38" t="n">
        <f aca="false">AE149+AE150+AE151</f>
        <v>518.325735476026</v>
      </c>
      <c r="AF153" s="38" t="n">
        <f aca="false">AF149+AF150+AF151</f>
        <v>548.079377407658</v>
      </c>
      <c r="AG153" s="38" t="n">
        <f aca="false">AG149+AG150+AG151</f>
        <v>580.872487691879</v>
      </c>
      <c r="AH153" s="38" t="n">
        <f aca="false">AH149+AH150+AH151</f>
        <v>613.047205052605</v>
      </c>
      <c r="AI153" s="38" t="n">
        <f aca="false">AI149+AI150+AI151</f>
        <v>644.616086892727</v>
      </c>
      <c r="AJ153" s="38" t="n">
        <f aca="false">AJ149+AJ150+AJ151</f>
        <v>680.391421805195</v>
      </c>
      <c r="AK153" s="38" t="n">
        <f aca="false">AK149+AK150+AK151</f>
        <v>715.49292194155</v>
      </c>
      <c r="AL153" s="38" t="n">
        <f aca="false">AL149+AL150+AL151</f>
        <v>749.934258472734</v>
      </c>
      <c r="AM153" s="38" t="n">
        <f aca="false">AM149+AM150+AM151</f>
        <v>789.728810102518</v>
      </c>
      <c r="AN153" s="38" t="n">
        <f aca="false">AN149+AN150+AN151</f>
        <v>828.774277558451</v>
      </c>
      <c r="AO153" s="38" t="n">
        <f aca="false">AO149+AO150+AO151</f>
        <v>867.085851970253</v>
      </c>
      <c r="AP153" s="38" t="n">
        <f aca="false">AP149+AP150+AP151</f>
        <v>904.678399585621</v>
      </c>
      <c r="AQ153" s="38" t="n">
        <f aca="false">AQ149+AQ150+AQ151</f>
        <v>941.566468979012</v>
      </c>
      <c r="AR153" s="38" t="n">
        <f aca="false">AR149+AR150+AR151</f>
        <v>977.764298096385</v>
      </c>
      <c r="AS153" s="38" t="n">
        <f aca="false">AS149+AS150+AS151</f>
        <v>1013.28582113968</v>
      </c>
      <c r="AT153" s="38" t="n">
        <f aca="false">AT149+AT150+AT151</f>
        <v>1048.14467529479</v>
      </c>
      <c r="AU153" s="38" t="n">
        <f aca="false">AU149+AU150+AU151</f>
        <v>1082.35420730654</v>
      </c>
      <c r="AV153" s="38" t="n">
        <f aca="false">AV149+AV150+AV151</f>
        <v>1115.92747990442</v>
      </c>
      <c r="AW153" s="38" t="n">
        <f aca="false">AW149+AW150+AW151</f>
        <v>1148.87727808224</v>
      </c>
      <c r="AX153" s="38" t="n">
        <f aca="false">AX149+AX150+AX151</f>
        <v>1181.21611523532</v>
      </c>
      <c r="AY153" s="38" t="n">
        <f aca="false">AY149+AY150+AY151</f>
        <v>1224.95623915842</v>
      </c>
      <c r="AZ153" s="38" t="n">
        <f aca="false">AZ149+AZ150+AZ151</f>
        <v>1267.87885390764</v>
      </c>
      <c r="BA153" s="38" t="n">
        <f aca="false">BA149+BA150+BA151</f>
        <v>1310.00044959972</v>
      </c>
      <c r="BB153" s="38" t="n">
        <f aca="false">BB149+BB150+BB151</f>
        <v>1351.33716504509</v>
      </c>
      <c r="BC153" s="38" t="n">
        <f aca="false">BC149+BC150+BC151</f>
        <v>1391.9047955219</v>
      </c>
      <c r="BD153" s="38" t="n">
        <f aca="false">BD149+BD150+BD151</f>
        <v>1431.71880037347</v>
      </c>
      <c r="BE153" s="38" t="n">
        <f aca="false">BE149+BE150+BE151</f>
        <v>1470.79431043327</v>
      </c>
      <c r="BF153" s="38" t="n">
        <f aca="false">BF149+BF150+BF151</f>
        <v>1509.14613528142</v>
      </c>
      <c r="BG153" s="38" t="n">
        <f aca="false">BG149+BG150+BG151</f>
        <v>1546.78877033649</v>
      </c>
      <c r="BH153" s="38" t="n">
        <f aca="false">BH149+BH150+BH151</f>
        <v>1583.7364037866</v>
      </c>
      <c r="BI153" s="38" t="n">
        <f aca="false">BI149+BI150+BI151</f>
        <v>1620.00292336332</v>
      </c>
      <c r="BJ153" s="38" t="n">
        <f aca="false">BJ149+BJ150+BJ151</f>
        <v>1655.60192296215</v>
      </c>
    </row>
    <row r="154" customFormat="false" ht="15" hidden="false" customHeight="false" outlineLevel="0" collapsed="false">
      <c r="B154" s="5" t="s">
        <v>400</v>
      </c>
      <c r="C154" s="37" t="n">
        <f aca="false">(C149*Annahmen!$B$10+C150*(Annahmen!$B$11+Annahmen!$B$13*Annahmen!$B$22)+C151*(Annahmen!$B$12+Annahmen!$B$14*Annahmen!$B$23)+C152*Annahmen!$B$16)*$D$15</f>
        <v>1017.357712</v>
      </c>
      <c r="D154" s="37" t="n">
        <f aca="false">(D149*Annahmen!$B$10+D150*(Annahmen!$B$11+Annahmen!$B$13*Annahmen!$B$22)+D151*(Annahmen!$B$12+Annahmen!$B$14*Annahmen!$B$23)+D152*Annahmen!$B$16)*$D$15</f>
        <v>1431.4264046848</v>
      </c>
      <c r="E154" s="37" t="n">
        <f aca="false">(E149*Annahmen!$B$10+E150*(Annahmen!$B$11+Annahmen!$B$13*Annahmen!$B$22)+E151*(Annahmen!$B$12+Annahmen!$B$14*Annahmen!$B$23)+E152*Annahmen!$B$16)*$D$15</f>
        <v>1839.14665784431</v>
      </c>
      <c r="F154" s="37" t="n">
        <f aca="false">(F149*Annahmen!$B$10+F150*(Annahmen!$B$11+Annahmen!$B$13*Annahmen!$B$22)+F151*(Annahmen!$B$12+Annahmen!$B$14*Annahmen!$B$23)+F152*Annahmen!$B$16)*$D$15</f>
        <v>2670.34457680432</v>
      </c>
      <c r="G154" s="37" t="n">
        <f aca="false">(G149*Annahmen!$B$10+G150*(Annahmen!$B$11+Annahmen!$B$13*Annahmen!$B$22)+G151*(Annahmen!$B$12+Annahmen!$B$14*Annahmen!$B$23)+G152*Annahmen!$B$16)*$D$15</f>
        <v>3488.79231484521</v>
      </c>
      <c r="H154" s="37" t="n">
        <f aca="false">(H149*Annahmen!$B$10+H150*(Annahmen!$B$11+Annahmen!$B$13*Annahmen!$B$22)+H151*(Annahmen!$B$12+Annahmen!$B$14*Annahmen!$B$23)+H152*Annahmen!$B$16)*$D$15</f>
        <v>4294.70789684618</v>
      </c>
      <c r="I154" s="37" t="n">
        <f aca="false">(I149*Annahmen!$B$10+I150*(Annahmen!$B$11+Annahmen!$B$13*Annahmen!$B$22)+I151*(Annahmen!$B$12+Annahmen!$B$14*Annahmen!$B$23)+I152*Annahmen!$B$16)*$D$15</f>
        <v>5518.02286166332</v>
      </c>
      <c r="J154" s="37" t="n">
        <f aca="false">(J149*Annahmen!$B$10+J150*(Annahmen!$B$11+Annahmen!$B$13*Annahmen!$B$22)+J151*(Annahmen!$B$12+Annahmen!$B$14*Annahmen!$B$23)+J152*Annahmen!$B$16)*$D$15</f>
        <v>6722.6128249956</v>
      </c>
      <c r="K154" s="37" t="n">
        <f aca="false">(K149*Annahmen!$B$10+K150*(Annahmen!$B$11+Annahmen!$B$13*Annahmen!$B$22)+K151*(Annahmen!$B$12+Annahmen!$B$14*Annahmen!$B$23)+K152*Annahmen!$B$16)*$D$15</f>
        <v>7908.79734261889</v>
      </c>
      <c r="L154" s="37" t="n">
        <f aca="false">(L149*Annahmen!$B$10+L150*(Annahmen!$B$11+Annahmen!$B$13*Annahmen!$B$22)+L151*(Annahmen!$B$12+Annahmen!$B$14*Annahmen!$B$23)+L152*Annahmen!$B$16)*$D$15</f>
        <v>9506.60759151545</v>
      </c>
      <c r="M154" s="37" t="n">
        <f aca="false">(M149*Annahmen!$B$10+M150*(Annahmen!$B$11+Annahmen!$B$13*Annahmen!$B$22)+M151*(Annahmen!$B$12+Annahmen!$B$14*Annahmen!$B$23)+M152*Annahmen!$B$16)*$D$15</f>
        <v>11080.0169706711</v>
      </c>
      <c r="N154" s="37" t="n">
        <f aca="false">(N149*Annahmen!$B$10+N150*(Annahmen!$B$11+Annahmen!$B$13*Annahmen!$B$22)+N151*(Annahmen!$B$12+Annahmen!$B$14*Annahmen!$B$23)+N152*Annahmen!$B$16)*$D$15</f>
        <v>12629.4410014384</v>
      </c>
      <c r="O154" s="37" t="n">
        <f aca="false">(O149*Annahmen!$B$10+O150*(Annahmen!$B$11+Annahmen!$B$13*Annahmen!$B$22)+O151*(Annahmen!$B$12+Annahmen!$B$14*Annahmen!$B$23)+O152*Annahmen!$B$16)*$D$15</f>
        <v>14728.2442450113</v>
      </c>
      <c r="P154" s="37" t="n">
        <f aca="false">(P149*Annahmen!$B$10+P150*(Annahmen!$B$11+Annahmen!$B$13*Annahmen!$B$22)+P151*(Annahmen!$B$12+Annahmen!$B$14*Annahmen!$B$23)+P152*Annahmen!$B$16)*$D$15</f>
        <v>16795.0477656797</v>
      </c>
      <c r="Q154" s="37" t="n">
        <f aca="false">(Q149*Annahmen!$B$10+Q150*(Annahmen!$B$11+Annahmen!$B$13*Annahmen!$B$22)+Q151*(Annahmen!$B$12+Annahmen!$B$14*Annahmen!$B$23)+Q152*Annahmen!$B$16)*$D$15</f>
        <v>18830.3956602707</v>
      </c>
      <c r="R154" s="37" t="n">
        <f aca="false">(R149*Annahmen!$B$10+R150*(Annahmen!$B$11+Annahmen!$B$13*Annahmen!$B$22)+R151*(Annahmen!$B$12+Annahmen!$B$14*Annahmen!$B$23)+R152*Annahmen!$B$16)*$D$15</f>
        <v>21407.7786771681</v>
      </c>
      <c r="S154" s="37" t="n">
        <f aca="false">(S149*Annahmen!$B$10+S150*(Annahmen!$B$11+Annahmen!$B$13*Annahmen!$B$22)+S151*(Annahmen!$B$12+Annahmen!$B$14*Annahmen!$B$23)+S152*Annahmen!$B$16)*$D$15</f>
        <v>23945.9417272918</v>
      </c>
      <c r="T154" s="37" t="n">
        <f aca="false">(T149*Annahmen!$B$10+T150*(Annahmen!$B$11+Annahmen!$B$13*Annahmen!$B$22)+T151*(Annahmen!$B$12+Annahmen!$B$14*Annahmen!$B$23)+T152*Annahmen!$B$16)*$D$15</f>
        <v>26445.5504602584</v>
      </c>
      <c r="U154" s="37" t="n">
        <f aca="false">(U149*Annahmen!$B$10+U150*(Annahmen!$B$11+Annahmen!$B$13*Annahmen!$B$22)+U151*(Annahmen!$B$12+Annahmen!$B$14*Annahmen!$B$23)+U152*Annahmen!$B$16)*$D$15</f>
        <v>29480.2149291329</v>
      </c>
      <c r="V154" s="37" t="n">
        <f aca="false">(V149*Annahmen!$B$10+V150*(Annahmen!$B$11+Annahmen!$B$13*Annahmen!$B$22)+V151*(Annahmen!$B$12+Annahmen!$B$14*Annahmen!$B$23)+V152*Annahmen!$B$16)*$D$15</f>
        <v>32468.7971461799</v>
      </c>
      <c r="W154" s="37" t="n">
        <f aca="false">(W149*Annahmen!$B$10+W150*(Annahmen!$B$11+Annahmen!$B$13*Annahmen!$B$22)+W151*(Annahmen!$B$12+Annahmen!$B$14*Annahmen!$B$23)+W152*Annahmen!$B$16)*$D$15</f>
        <v>35412.0777028511</v>
      </c>
      <c r="X154" s="37" t="n">
        <f aca="false">(X149*Annahmen!$B$10+X150*(Annahmen!$B$11+Annahmen!$B$13*Annahmen!$B$22)+X151*(Annahmen!$B$12+Annahmen!$B$14*Annahmen!$B$23)+X152*Annahmen!$B$16)*$D$15</f>
        <v>38883.7794774445</v>
      </c>
      <c r="Y154" s="37" t="n">
        <f aca="false">(Y149*Annahmen!$B$10+Y150*(Annahmen!$B$11+Annahmen!$B$13*Annahmen!$B$22)+Y151*(Annahmen!$B$12+Annahmen!$B$14*Annahmen!$B$23)+Y152*Annahmen!$B$16)*$D$15</f>
        <v>42302.8752328602</v>
      </c>
      <c r="Z154" s="37" t="n">
        <f aca="false">(Z149*Annahmen!$B$10+Z150*(Annahmen!$B$11+Annahmen!$B$13*Annahmen!$B$22)+Z151*(Annahmen!$B$12+Annahmen!$B$14*Annahmen!$B$23)+Z152*Annahmen!$B$16)*$D$15</f>
        <v>45670.2542777122</v>
      </c>
      <c r="AA154" s="37" t="n">
        <f aca="false">(AA149*Annahmen!$B$10+AA150*(Annahmen!$B$11+Annahmen!$B$13*Annahmen!$B$22)+AA151*(Annahmen!$B$12+Annahmen!$B$14*Annahmen!$B$23)+AA152*Annahmen!$B$16)*$D$15</f>
        <v>49273.2678142484</v>
      </c>
      <c r="AB154" s="37" t="n">
        <f aca="false">(AB149*Annahmen!$B$10+AB150*(Annahmen!$B$11+Annahmen!$B$13*Annahmen!$B$22)+AB151*(Annahmen!$B$12+Annahmen!$B$14*Annahmen!$B$23)+AB152*Annahmen!$B$16)*$D$15</f>
        <v>52821.8829217643</v>
      </c>
      <c r="AC154" s="37" t="n">
        <f aca="false">(AC149*Annahmen!$B$10+AC150*(Annahmen!$B$11+Annahmen!$B$13*Annahmen!$B$22)+AC151*(Annahmen!$B$12+Annahmen!$B$14*Annahmen!$B$23)+AC152*Annahmen!$B$16)*$D$15</f>
        <v>56317.0160678059</v>
      </c>
      <c r="AD154" s="37" t="n">
        <f aca="false">(AD149*Annahmen!$B$10+AD150*(Annahmen!$B$11+Annahmen!$B$13*Annahmen!$B$22)+AD151*(Annahmen!$B$12+Annahmen!$B$14*Annahmen!$B$23)+AD152*Annahmen!$B$16)*$D$15</f>
        <v>60189.2843589733</v>
      </c>
      <c r="AE154" s="37" t="n">
        <f aca="false">(AE149*Annahmen!$B$10+AE150*(Annahmen!$B$11+Annahmen!$B$13*Annahmen!$B$22)+AE151*(Annahmen!$B$12+Annahmen!$B$14*Annahmen!$B$23)+AE152*Annahmen!$B$16)*$D$15</f>
        <v>64003.2363595109</v>
      </c>
      <c r="AF154" s="37" t="n">
        <f aca="false">(AF149*Annahmen!$B$10+AF150*(Annahmen!$B$11+Annahmen!$B$13*Annahmen!$B$22)+AF151*(Annahmen!$B$12+Annahmen!$B$14*Annahmen!$B$23)+AF152*Annahmen!$B$16)*$D$15</f>
        <v>67759.8522048951</v>
      </c>
      <c r="AG154" s="37" t="n">
        <f aca="false">(AG149*Annahmen!$B$10+AG150*(Annahmen!$B$11+Annahmen!$B$13*Annahmen!$B$22)+AG151*(Annahmen!$B$12+Annahmen!$B$14*Annahmen!$B$23)+AG152*Annahmen!$B$16)*$D$15</f>
        <v>71889.811528064</v>
      </c>
      <c r="AH154" s="37" t="n">
        <f aca="false">(AH149*Annahmen!$B$10+AH150*(Annahmen!$B$11+Annahmen!$B$13*Annahmen!$B$22)+AH151*(Annahmen!$B$12+Annahmen!$B$14*Annahmen!$B$23)+AH152*Annahmen!$B$16)*$D$15</f>
        <v>75957.7243001765</v>
      </c>
      <c r="AI154" s="37" t="n">
        <f aca="false">(AI149*Annahmen!$B$10+AI150*(Annahmen!$B$11+Annahmen!$B$13*Annahmen!$B$22)+AI151*(Annahmen!$B$12+Annahmen!$B$14*Annahmen!$B$23)+AI152*Annahmen!$B$16)*$D$15</f>
        <v>79964.6309659112</v>
      </c>
      <c r="AJ154" s="37" t="n">
        <f aca="false">(AJ149*Annahmen!$B$10+AJ150*(Annahmen!$B$11+Annahmen!$B$13*Annahmen!$B$22)+AJ151*(Annahmen!$B$12+Annahmen!$B$14*Annahmen!$B$23)+AJ152*Annahmen!$B$16)*$D$15</f>
        <v>84484.50959096</v>
      </c>
      <c r="AK154" s="37" t="n">
        <f aca="false">(AK149*Annahmen!$B$10+AK150*(Annahmen!$B$11+Annahmen!$B$13*Annahmen!$B$22)+AK151*(Annahmen!$B$12+Annahmen!$B$14*Annahmen!$B$23)+AK152*Annahmen!$B$16)*$D$15</f>
        <v>88936.5835504923</v>
      </c>
      <c r="AL154" s="37" t="n">
        <f aca="false">(AL149*Annahmen!$B$10+AL150*(Annahmen!$B$11+Annahmen!$B$13*Annahmen!$B$22)+AL151*(Annahmen!$B$12+Annahmen!$B$14*Annahmen!$B$23)+AL152*Annahmen!$B$16)*$D$15</f>
        <v>93321.988279102</v>
      </c>
      <c r="AM154" s="37" t="n">
        <f aca="false">(AM149*Annahmen!$B$10+AM150*(Annahmen!$B$11+Annahmen!$B$13*Annahmen!$B$22)+AM151*(Annahmen!$B$12+Annahmen!$B$14*Annahmen!$B$23)+AM152*Annahmen!$B$16)*$D$15</f>
        <v>98358.0343057298</v>
      </c>
      <c r="AN154" s="37" t="n">
        <f aca="false">(AN149*Annahmen!$B$10+AN150*(Annahmen!$B$11+Annahmen!$B$13*Annahmen!$B$22)+AN151*(Annahmen!$B$12+Annahmen!$B$14*Annahmen!$B$23)+AN152*Annahmen!$B$16)*$D$15</f>
        <v>103318.591802925</v>
      </c>
      <c r="AO154" s="37" t="n">
        <f aca="false">(AO149*Annahmen!$B$10+AO150*(Annahmen!$B$11+Annahmen!$B$13*Annahmen!$B$22)+AO151*(Annahmen!$B$12+Annahmen!$B$14*Annahmen!$B$23)+AO152*Annahmen!$B$16)*$D$15</f>
        <v>108204.923964253</v>
      </c>
      <c r="AP154" s="37" t="n">
        <f aca="false">(AP149*Annahmen!$B$10+AP150*(Annahmen!$B$11+Annahmen!$B$13*Annahmen!$B$22)+AP151*(Annahmen!$B$12+Annahmen!$B$14*Annahmen!$B$23)+AP152*Annahmen!$B$16)*$D$15</f>
        <v>113018.27073919</v>
      </c>
      <c r="AQ154" s="37" t="n">
        <f aca="false">(AQ149*Annahmen!$B$10+AQ150*(Annahmen!$B$11+Annahmen!$B$13*Annahmen!$B$22)+AQ151*(Annahmen!$B$12+Annahmen!$B$14*Annahmen!$B$23)+AQ152*Annahmen!$B$16)*$D$15</f>
        <v>117759.849294176</v>
      </c>
      <c r="AR154" s="37" t="n">
        <f aca="false">(AR149*Annahmen!$B$10+AR150*(Annahmen!$B$11+Annahmen!$B$13*Annahmen!$B$22)+AR151*(Annahmen!$B$12+Annahmen!$B$14*Annahmen!$B$23)+AR152*Annahmen!$B$16)*$D$15</f>
        <v>122430.854463997</v>
      </c>
      <c r="AS154" s="37" t="n">
        <f aca="false">(AS149*Annahmen!$B$10+AS150*(Annahmen!$B$11+Annahmen!$B$13*Annahmen!$B$22)+AS151*(Annahmen!$B$12+Annahmen!$B$14*Annahmen!$B$23)+AS152*Annahmen!$B$16)*$D$15</f>
        <v>127032.459193706</v>
      </c>
      <c r="AT154" s="37" t="n">
        <f aca="false">(AT149*Annahmen!$B$10+AT150*(Annahmen!$B$11+Annahmen!$B$13*Annahmen!$B$22)+AT151*(Annahmen!$B$12+Annahmen!$B$14*Annahmen!$B$23)+AT152*Annahmen!$B$16)*$D$15</f>
        <v>131565.814971287</v>
      </c>
      <c r="AU154" s="37" t="n">
        <f aca="false">(AU149*Annahmen!$B$10+AU150*(Annahmen!$B$11+Annahmen!$B$13*Annahmen!$B$22)+AU151*(Annahmen!$B$12+Annahmen!$B$14*Annahmen!$B$23)+AU152*Annahmen!$B$16)*$D$15</f>
        <v>136032.052251262</v>
      </c>
      <c r="AV154" s="37" t="n">
        <f aca="false">(AV149*Annahmen!$B$10+AV150*(Annahmen!$B$11+Annahmen!$B$13*Annahmen!$B$22)+AV151*(Annahmen!$B$12+Annahmen!$B$14*Annahmen!$B$23)+AV152*Annahmen!$B$16)*$D$15</f>
        <v>140432.280869449</v>
      </c>
      <c r="AW154" s="37" t="n">
        <f aca="false">(AW149*Annahmen!$B$10+AW150*(Annahmen!$B$11+Annahmen!$B$13*Annahmen!$B$22)+AW151*(Annahmen!$B$12+Annahmen!$B$14*Annahmen!$B$23)+AW152*Annahmen!$B$16)*$D$15</f>
        <v>144767.590449055</v>
      </c>
      <c r="AX154" s="37" t="n">
        <f aca="false">(AX149*Annahmen!$B$10+AX150*(Annahmen!$B$11+Annahmen!$B$13*Annahmen!$B$22)+AX151*(Annahmen!$B$12+Annahmen!$B$14*Annahmen!$B$23)+AX152*Annahmen!$B$16)*$D$15</f>
        <v>149039.050798288</v>
      </c>
      <c r="AY154" s="37" t="n">
        <f aca="false">(AY149*Annahmen!$B$10+AY150*(Annahmen!$B$11+Annahmen!$B$13*Annahmen!$B$22)+AY151*(Annahmen!$B$12+Annahmen!$B$14*Annahmen!$B$23)+AY152*Annahmen!$B$16)*$D$15</f>
        <v>154680.104299689</v>
      </c>
      <c r="AZ154" s="37" t="n">
        <f aca="false">(AZ149*Annahmen!$B$10+AZ150*(Annahmen!$B$11+Annahmen!$B$13*Annahmen!$B$22)+AZ151*(Annahmen!$B$12+Annahmen!$B$14*Annahmen!$B$23)+AZ152*Annahmen!$B$16)*$D$15</f>
        <v>160237.33456015</v>
      </c>
      <c r="BA154" s="37" t="n">
        <f aca="false">(BA149*Annahmen!$B$10+BA150*(Annahmen!$B$11+Annahmen!$B$13*Annahmen!$B$22)+BA151*(Annahmen!$B$12+Annahmen!$B$14*Annahmen!$B$23)+BA152*Annahmen!$B$16)*$D$15</f>
        <v>165712.132726704</v>
      </c>
      <c r="BB154" s="37" t="n">
        <f aca="false">(BB149*Annahmen!$B$10+BB150*(Annahmen!$B$11+Annahmen!$B$13*Annahmen!$B$22)+BB151*(Annahmen!$B$12+Annahmen!$B$14*Annahmen!$B$23)+BB152*Annahmen!$B$16)*$D$15</f>
        <v>171105.864526559</v>
      </c>
      <c r="BC154" s="37" t="n">
        <f aca="false">(BC149*Annahmen!$B$10+BC150*(Annahmen!$B$11+Annahmen!$B$13*Annahmen!$B$22)+BC151*(Annahmen!$B$12+Annahmen!$B$14*Annahmen!$B$23)+BC152*Annahmen!$B$16)*$D$15</f>
        <v>176419.870768529</v>
      </c>
      <c r="BD154" s="37" t="n">
        <f aca="false">(BD149*Annahmen!$B$10+BD150*(Annahmen!$B$11+Annahmen!$B$13*Annahmen!$B$22)+BD151*(Annahmen!$B$12+Annahmen!$B$14*Annahmen!$B$23)+BD152*Annahmen!$B$16)*$D$15</f>
        <v>181655.467833986</v>
      </c>
      <c r="BE154" s="37" t="n">
        <f aca="false">(BE149*Annahmen!$B$10+BE150*(Annahmen!$B$11+Annahmen!$B$13*Annahmen!$B$22)+BE151*(Annahmen!$B$12+Annahmen!$B$14*Annahmen!$B$23)+BE152*Annahmen!$B$16)*$D$15</f>
        <v>186813.948157559</v>
      </c>
      <c r="BF154" s="37" t="n">
        <f aca="false">(BF149*Annahmen!$B$10+BF150*(Annahmen!$B$11+Annahmen!$B$13*Annahmen!$B$22)+BF151*(Annahmen!$B$12+Annahmen!$B$14*Annahmen!$B$23)+BF152*Annahmen!$B$16)*$D$15</f>
        <v>191896.580697817</v>
      </c>
      <c r="BG154" s="37" t="n">
        <f aca="false">(BG149*Annahmen!$B$10+BG150*(Annahmen!$B$11+Annahmen!$B$13*Annahmen!$B$22)+BG151*(Annahmen!$B$12+Annahmen!$B$14*Annahmen!$B$23)+BG152*Annahmen!$B$16)*$D$15</f>
        <v>196904.611398134</v>
      </c>
      <c r="BH154" s="37" t="n">
        <f aca="false">(BH149*Annahmen!$B$10+BH150*(Annahmen!$B$11+Annahmen!$B$13*Annahmen!$B$22)+BH151*(Annahmen!$B$12+Annahmen!$B$14*Annahmen!$B$23)+BH152*Annahmen!$B$16)*$D$15</f>
        <v>201839.263637971</v>
      </c>
      <c r="BI154" s="37" t="n">
        <f aca="false">(BI149*Annahmen!$B$10+BI150*(Annahmen!$B$11+Annahmen!$B$13*Annahmen!$B$22)+BI151*(Annahmen!$B$12+Annahmen!$B$14*Annahmen!$B$23)+BI152*Annahmen!$B$16)*$D$15</f>
        <v>206701.738674761</v>
      </c>
      <c r="BJ154" s="37" t="n">
        <f aca="false">(BJ149*Annahmen!$B$10+BJ150*(Annahmen!$B$11+Annahmen!$B$13*Annahmen!$B$22)+BJ151*(Annahmen!$B$12+Annahmen!$B$14*Annahmen!$B$23)+BJ152*Annahmen!$B$16)*$D$15</f>
        <v>211493.216076625</v>
      </c>
    </row>
    <row r="155" customFormat="false" ht="15" hidden="false" customHeight="false" outlineLevel="0" collapsed="false">
      <c r="B155" s="5" t="s">
        <v>228</v>
      </c>
      <c r="C155" s="37" t="n">
        <f aca="false">C154*(1-Annahmen!$B$27)+C$21*$E$15*Annahmen!$B$21*Annahmen!$B$24*Annahmen!$B$15*$D$15</f>
        <v>1138.4258264</v>
      </c>
      <c r="D155" s="37" t="n">
        <f aca="false">D154*(1-Annahmen!$B$27)+D$21*$E$15*Annahmen!$B$21*Annahmen!$B$24*Annahmen!$B$15*$D$15</f>
        <v>1531.79108445056</v>
      </c>
      <c r="E155" s="37" t="n">
        <f aca="false">E154*(1-Annahmen!$B$27)+E$21*$E$15*Annahmen!$B$21*Annahmen!$B$24*Annahmen!$B$15*$D$15</f>
        <v>1919.12532495209</v>
      </c>
      <c r="F155" s="37" t="n">
        <f aca="false">F154*(1-Annahmen!$B$27)+F$21*$E$15*Annahmen!$B$21*Annahmen!$B$24*Annahmen!$B$15*$D$15</f>
        <v>2880.6993479641</v>
      </c>
      <c r="G155" s="37" t="n">
        <f aca="false">G154*(1-Annahmen!$B$27)+G$21*$E$15*Annahmen!$B$21*Annahmen!$B$24*Annahmen!$B$15*$D$15</f>
        <v>3658.22469910295</v>
      </c>
      <c r="H155" s="37" t="n">
        <f aca="false">H154*(1-Annahmen!$B$27)+H$21*$E$15*Annahmen!$B$21*Annahmen!$B$24*Annahmen!$B$15*$D$15</f>
        <v>4423.84450200387</v>
      </c>
      <c r="I155" s="37" t="n">
        <f aca="false">I154*(1-Annahmen!$B$27)+I$21*$E$15*Annahmen!$B$21*Annahmen!$B$24*Annahmen!$B$15*$D$15</f>
        <v>5757.92971858015</v>
      </c>
      <c r="J155" s="37" t="n">
        <f aca="false">J154*(1-Annahmen!$B$27)+J$21*$E$15*Annahmen!$B$21*Annahmen!$B$24*Annahmen!$B$15*$D$15</f>
        <v>6902.29018374582</v>
      </c>
      <c r="K155" s="37" t="n">
        <f aca="false">K154*(1-Annahmen!$B$27)+K$21*$E$15*Annahmen!$B$21*Annahmen!$B$24*Annahmen!$B$15*$D$15</f>
        <v>8029.16547548795</v>
      </c>
      <c r="L155" s="37" t="n">
        <f aca="false">L154*(1-Annahmen!$B$27)+L$21*$E$15*Annahmen!$B$21*Annahmen!$B$24*Annahmen!$B$15*$D$15</f>
        <v>9719.02121193968</v>
      </c>
      <c r="M155" s="37" t="n">
        <f aca="false">M154*(1-Annahmen!$B$27)+M$21*$E$15*Annahmen!$B$21*Annahmen!$B$24*Annahmen!$B$15*$D$15</f>
        <v>11213.7601221375</v>
      </c>
      <c r="N155" s="37" t="n">
        <f aca="false">N154*(1-Annahmen!$B$27)+N$21*$E$15*Annahmen!$B$21*Annahmen!$B$24*Annahmen!$B$15*$D$15</f>
        <v>12685.7129513665</v>
      </c>
      <c r="O155" s="37" t="n">
        <f aca="false">O154*(1-Annahmen!$B$27)+O$21*$E$15*Annahmen!$B$21*Annahmen!$B$24*Annahmen!$B$15*$D$15</f>
        <v>14908.8240327608</v>
      </c>
      <c r="P155" s="37" t="n">
        <f aca="false">P154*(1-Annahmen!$B$27)+P$21*$E$15*Annahmen!$B$21*Annahmen!$B$24*Annahmen!$B$15*$D$15</f>
        <v>16872.2873773957</v>
      </c>
      <c r="Q155" s="37" t="n">
        <f aca="false">Q154*(1-Annahmen!$B$27)+Q$21*$E$15*Annahmen!$B$21*Annahmen!$B$24*Annahmen!$B$15*$D$15</f>
        <v>18805.8678772572</v>
      </c>
      <c r="R155" s="37" t="n">
        <f aca="false">R154*(1-Annahmen!$B$27)+R$21*$E$15*Annahmen!$B$21*Annahmen!$B$24*Annahmen!$B$15*$D$15</f>
        <v>21483.6297433097</v>
      </c>
      <c r="S155" s="37" t="n">
        <f aca="false">S154*(1-Annahmen!$B$27)+S$21*$E$15*Annahmen!$B$21*Annahmen!$B$24*Annahmen!$B$15*$D$15</f>
        <v>23894.8846409272</v>
      </c>
      <c r="T155" s="37" t="n">
        <f aca="false">T154*(1-Annahmen!$B$27)+T$21*$E$15*Annahmen!$B$21*Annahmen!$B$24*Annahmen!$B$15*$D$15</f>
        <v>26269.5129372454</v>
      </c>
      <c r="U155" s="37" t="n">
        <f aca="false">U154*(1-Annahmen!$B$27)+U$21*$E$15*Annahmen!$B$21*Annahmen!$B$24*Annahmen!$B$15*$D$15</f>
        <v>29381.6921826763</v>
      </c>
      <c r="V155" s="37" t="n">
        <f aca="false">V154*(1-Annahmen!$B$27)+V$21*$E$15*Annahmen!$B$21*Annahmen!$B$24*Annahmen!$B$15*$D$15</f>
        <v>32220.8452888709</v>
      </c>
      <c r="W155" s="37" t="n">
        <f aca="false">W154*(1-Annahmen!$B$27)+W$21*$E$15*Annahmen!$B$21*Annahmen!$B$24*Annahmen!$B$15*$D$15</f>
        <v>35016.9618177085</v>
      </c>
      <c r="X155" s="37" t="n">
        <f aca="false">X154*(1-Annahmen!$B$27)+X$21*$E$15*Annahmen!$B$21*Annahmen!$B$24*Annahmen!$B$15*$D$15</f>
        <v>38544.3265035722</v>
      </c>
      <c r="Y155" s="37" t="n">
        <f aca="false">Y154*(1-Annahmen!$B$27)+Y$21*$E$15*Annahmen!$B$21*Annahmen!$B$24*Annahmen!$B$15*$D$15</f>
        <v>41792.4674712172</v>
      </c>
      <c r="Z155" s="37" t="n">
        <f aca="false">Z154*(1-Annahmen!$B$27)+Z$21*$E$15*Annahmen!$B$21*Annahmen!$B$24*Annahmen!$B$15*$D$15</f>
        <v>44991.4775638266</v>
      </c>
      <c r="AA155" s="37" t="n">
        <f aca="false">AA154*(1-Annahmen!$B$27)+AA$21*$E$15*Annahmen!$B$21*Annahmen!$B$24*Annahmen!$B$15*$D$15</f>
        <v>48528.964423536</v>
      </c>
      <c r="AB155" s="37" t="n">
        <f aca="false">AB154*(1-Annahmen!$B$27)+AB$21*$E$15*Annahmen!$B$21*Annahmen!$B$24*Annahmen!$B$15*$D$15</f>
        <v>51900.1487756761</v>
      </c>
      <c r="AC155" s="37" t="n">
        <f aca="false">AC154*(1-Annahmen!$B$27)+AC$21*$E$15*Annahmen!$B$21*Annahmen!$B$24*Annahmen!$B$15*$D$15</f>
        <v>55220.5252644156</v>
      </c>
      <c r="AD155" s="37" t="n">
        <f aca="false">AD154*(1-Annahmen!$B$27)+AD$21*$E$15*Annahmen!$B$21*Annahmen!$B$24*Annahmen!$B$15*$D$15</f>
        <v>59071.1161410246</v>
      </c>
      <c r="AE155" s="37" t="n">
        <f aca="false">AE154*(1-Annahmen!$B$27)+AE$21*$E$15*Annahmen!$B$21*Annahmen!$B$24*Annahmen!$B$15*$D$15</f>
        <v>62694.3705415354</v>
      </c>
      <c r="AF155" s="37" t="n">
        <f aca="false">AF154*(1-Annahmen!$B$27)+AF$21*$E$15*Annahmen!$B$21*Annahmen!$B$24*Annahmen!$B$15*$D$15</f>
        <v>66263.1555946503</v>
      </c>
      <c r="AG155" s="37" t="n">
        <f aca="false">AG154*(1-Annahmen!$B$27)+AG$21*$E$15*Annahmen!$B$21*Annahmen!$B$24*Annahmen!$B$15*$D$15</f>
        <v>70358.5529516608</v>
      </c>
      <c r="AH155" s="37" t="n">
        <f aca="false">AH154*(1-Annahmen!$B$27)+AH$21*$E$15*Annahmen!$B$21*Annahmen!$B$24*Annahmen!$B$15*$D$15</f>
        <v>74223.0700851677</v>
      </c>
      <c r="AI155" s="37" t="n">
        <f aca="false">AI154*(1-Annahmen!$B$27)+AI$21*$E$15*Annahmen!$B$21*Annahmen!$B$24*Annahmen!$B$15*$D$15</f>
        <v>78029.6314176157</v>
      </c>
      <c r="AJ155" s="37" t="n">
        <f aca="false">AJ154*(1-Annahmen!$B$27)+AJ$21*$E$15*Annahmen!$B$21*Annahmen!$B$24*Annahmen!$B$15*$D$15</f>
        <v>82552.764111412</v>
      </c>
      <c r="AK155" s="37" t="n">
        <f aca="false">AK154*(1-Annahmen!$B$27)+AK$21*$E$15*Annahmen!$B$21*Annahmen!$B$24*Annahmen!$B$15*$D$15</f>
        <v>86782.2343729676</v>
      </c>
      <c r="AL155" s="37" t="n">
        <f aca="false">AL154*(1-Annahmen!$B$27)+AL$21*$E$15*Annahmen!$B$21*Annahmen!$B$24*Annahmen!$B$15*$D$15</f>
        <v>90948.3688651469</v>
      </c>
      <c r="AM155" s="37" t="n">
        <f aca="false">AM154*(1-Annahmen!$B$27)+AM$21*$E$15*Annahmen!$B$21*Annahmen!$B$24*Annahmen!$B$15*$D$15</f>
        <v>96019.1725904433</v>
      </c>
      <c r="AN155" s="37" t="n">
        <f aca="false">AN154*(1-Annahmen!$B$27)+AN$21*$E$15*Annahmen!$B$21*Annahmen!$B$24*Annahmen!$B$15*$D$15</f>
        <v>100731.702212779</v>
      </c>
      <c r="AO155" s="37" t="n">
        <f aca="false">AO154*(1-Annahmen!$B$27)+AO$21*$E$15*Annahmen!$B$21*Annahmen!$B$24*Annahmen!$B$15*$D$15</f>
        <v>105373.71776604</v>
      </c>
      <c r="AP155" s="37" t="n">
        <f aca="false">AP154*(1-Annahmen!$B$27)+AP$21*$E$15*Annahmen!$B$21*Annahmen!$B$24*Annahmen!$B$15*$D$15</f>
        <v>109946.39720223</v>
      </c>
      <c r="AQ155" s="37" t="n">
        <f aca="false">AQ154*(1-Annahmen!$B$27)+AQ$21*$E$15*Annahmen!$B$21*Annahmen!$B$24*Annahmen!$B$15*$D$15</f>
        <v>114450.896829467</v>
      </c>
      <c r="AR155" s="37" t="n">
        <f aca="false">AR154*(1-Annahmen!$B$27)+AR$21*$E$15*Annahmen!$B$21*Annahmen!$B$24*Annahmen!$B$15*$D$15</f>
        <v>118888.351740797</v>
      </c>
      <c r="AS155" s="37" t="n">
        <f aca="false">AS154*(1-Annahmen!$B$27)+AS$21*$E$15*Annahmen!$B$21*Annahmen!$B$24*Annahmen!$B$15*$D$15</f>
        <v>123259.876234021</v>
      </c>
      <c r="AT155" s="37" t="n">
        <f aca="false">AT154*(1-Annahmen!$B$27)+AT$21*$E$15*Annahmen!$B$21*Annahmen!$B$24*Annahmen!$B$15*$D$15</f>
        <v>127566.564222723</v>
      </c>
      <c r="AU155" s="37" t="n">
        <f aca="false">AU154*(1-Annahmen!$B$27)+AU$21*$E$15*Annahmen!$B$21*Annahmen!$B$24*Annahmen!$B$15*$D$15</f>
        <v>131809.489638699</v>
      </c>
      <c r="AV155" s="37" t="n">
        <f aca="false">AV154*(1-Annahmen!$B$27)+AV$21*$E$15*Annahmen!$B$21*Annahmen!$B$24*Annahmen!$B$15*$D$15</f>
        <v>135989.706825977</v>
      </c>
      <c r="AW155" s="37" t="n">
        <f aca="false">AW154*(1-Annahmen!$B$27)+AW$21*$E$15*Annahmen!$B$21*Annahmen!$B$24*Annahmen!$B$15*$D$15</f>
        <v>140108.250926602</v>
      </c>
      <c r="AX155" s="37" t="n">
        <f aca="false">AX154*(1-Annahmen!$B$27)+AX$21*$E$15*Annahmen!$B$21*Annahmen!$B$24*Annahmen!$B$15*$D$15</f>
        <v>144166.138258373</v>
      </c>
      <c r="AY155" s="37" t="n">
        <f aca="false">AY154*(1-Annahmen!$B$27)+AY$21*$E$15*Annahmen!$B$21*Annahmen!$B$24*Annahmen!$B$15*$D$15</f>
        <v>150098.259084705</v>
      </c>
      <c r="AZ155" s="37" t="n">
        <f aca="false">AZ154*(1-Annahmen!$B$27)+AZ$21*$E$15*Annahmen!$B$21*Annahmen!$B$24*Annahmen!$B$15*$D$15</f>
        <v>155377.627832143</v>
      </c>
      <c r="BA155" s="37" t="n">
        <f aca="false">BA154*(1-Annahmen!$B$27)+BA$21*$E$15*Annahmen!$B$21*Annahmen!$B$24*Annahmen!$B$15*$D$15</f>
        <v>160578.686090369</v>
      </c>
      <c r="BB155" s="37" t="n">
        <f aca="false">BB154*(1-Annahmen!$B$27)+BB$21*$E$15*Annahmen!$B$21*Annahmen!$B$24*Annahmen!$B$15*$D$15</f>
        <v>165702.731300231</v>
      </c>
      <c r="BC155" s="37" t="n">
        <f aca="false">BC154*(1-Annahmen!$B$27)+BC$21*$E$15*Annahmen!$B$21*Annahmen!$B$24*Annahmen!$B$15*$D$15</f>
        <v>170751.037230103</v>
      </c>
      <c r="BD155" s="37" t="n">
        <f aca="false">BD154*(1-Annahmen!$B$27)+BD$21*$E$15*Annahmen!$B$21*Annahmen!$B$24*Annahmen!$B$15*$D$15</f>
        <v>175724.854442287</v>
      </c>
      <c r="BE155" s="37" t="n">
        <f aca="false">BE154*(1-Annahmen!$B$27)+BE$21*$E$15*Annahmen!$B$21*Annahmen!$B$24*Annahmen!$B$15*$D$15</f>
        <v>180625.410749682</v>
      </c>
      <c r="BF155" s="37" t="n">
        <f aca="false">BF154*(1-Annahmen!$B$27)+BF$21*$E$15*Annahmen!$B$21*Annahmen!$B$24*Annahmen!$B$15*$D$15</f>
        <v>185453.911662926</v>
      </c>
      <c r="BG155" s="37" t="n">
        <f aca="false">BG154*(1-Annahmen!$B$27)+BG$21*$E$15*Annahmen!$B$21*Annahmen!$B$24*Annahmen!$B$15*$D$15</f>
        <v>190211.540828228</v>
      </c>
      <c r="BH155" s="37" t="n">
        <f aca="false">BH154*(1-Annahmen!$B$27)+BH$21*$E$15*Annahmen!$B$21*Annahmen!$B$24*Annahmen!$B$15*$D$15</f>
        <v>194899.460456072</v>
      </c>
      <c r="BI155" s="37" t="n">
        <f aca="false">BI154*(1-Annahmen!$B$27)+BI$21*$E$15*Annahmen!$B$21*Annahmen!$B$24*Annahmen!$B$15*$D$15</f>
        <v>199518.811741023</v>
      </c>
      <c r="BJ155" s="37" t="n">
        <f aca="false">BJ154*(1-Annahmen!$B$27)+BJ$21*$E$15*Annahmen!$B$21*Annahmen!$B$24*Annahmen!$B$15*$D$15</f>
        <v>204070.715272794</v>
      </c>
    </row>
    <row r="156" customFormat="false" ht="15" hidden="false" customHeight="false" outlineLevel="0" collapsed="false">
      <c r="B156" s="5" t="s">
        <v>239</v>
      </c>
      <c r="C156" s="37" t="n">
        <f aca="false">C149*Annahmen!$B$52+C150*Annahmen!$B$53+C151*Annahmen!$B$54+C155*Annahmen!$B$55+C153*Annahmen!$B$56+C155*INDEX(Annahmen!$B$58:$F$58,1,C$20)*Annahmen!$B$57+C$21*$E$15*Annahmen!$B$21*Annahmen!$B$24*Annahmen!$B$59</f>
        <v>40.0421506112</v>
      </c>
      <c r="D156" s="37" t="n">
        <f aca="false">D149*Annahmen!$B$52+D150*Annahmen!$B$53+D151*Annahmen!$B$54+D155*Annahmen!$B$55+D153*Annahmen!$B$56+D155*INDEX(Annahmen!$B$58:$F$58,1,D$20)*Annahmen!$B$57+D$21*$E$15*Annahmen!$B$21*Annahmen!$B$24*Annahmen!$B$59</f>
        <v>50.4936072292045</v>
      </c>
      <c r="E156" s="37" t="n">
        <f aca="false">E149*Annahmen!$B$52+E150*Annahmen!$B$53+E151*Annahmen!$B$54+E155*Annahmen!$B$55+E153*Annahmen!$B$56+E155*INDEX(Annahmen!$B$58:$F$58,1,E$20)*Annahmen!$B$57+E$21*$E$15*Annahmen!$B$21*Annahmen!$B$24*Annahmen!$B$59</f>
        <v>60.7787736967662</v>
      </c>
      <c r="F156" s="37" t="n">
        <f aca="false">F149*Annahmen!$B$52+F150*Annahmen!$B$53+F151*Annahmen!$B$54+F155*Annahmen!$B$55+F153*Annahmen!$B$56+F155*INDEX(Annahmen!$B$58:$F$58,1,F$20)*Annahmen!$B$57+F$21*$E$15*Annahmen!$B$21*Annahmen!$B$24*Annahmen!$B$59</f>
        <v>96.0979412961462</v>
      </c>
      <c r="G156" s="37" t="n">
        <f aca="false">G149*Annahmen!$B$52+G150*Annahmen!$B$53+G151*Annahmen!$B$54+G155*Annahmen!$B$55+G153*Annahmen!$B$56+G155*INDEX(Annahmen!$B$58:$F$58,1,G$20)*Annahmen!$B$57+G$21*$E$15*Annahmen!$B$21*Annahmen!$B$24*Annahmen!$B$59</f>
        <v>116.747581288752</v>
      </c>
      <c r="H156" s="37" t="n">
        <f aca="false">H149*Annahmen!$B$52+H150*Annahmen!$B$53+H151*Annahmen!$B$54+H155*Annahmen!$B$55+H153*Annahmen!$B$56+H155*INDEX(Annahmen!$B$58:$F$58,1,H$20)*Annahmen!$B$57+H$21*$E$15*Annahmen!$B$21*Annahmen!$B$24*Annahmen!$B$59</f>
        <v>137.069109393663</v>
      </c>
      <c r="I156" s="37" t="n">
        <f aca="false">I149*Annahmen!$B$52+I150*Annahmen!$B$53+I151*Annahmen!$B$54+I155*Annahmen!$B$55+I153*Annahmen!$B$56+I155*INDEX(Annahmen!$B$58:$F$58,1,I$20)*Annahmen!$B$57+I$21*$E$15*Annahmen!$B$21*Annahmen!$B$24*Annahmen!$B$59</f>
        <v>182.265680263277</v>
      </c>
      <c r="J156" s="37" t="n">
        <f aca="false">J149*Annahmen!$B$52+J150*Annahmen!$B$53+J151*Annahmen!$B$54+J155*Annahmen!$B$55+J153*Annahmen!$B$56+J155*INDEX(Annahmen!$B$58:$F$58,1,J$20)*Annahmen!$B$57+J$21*$E$15*Annahmen!$B$21*Annahmen!$B$24*Annahmen!$B$59</f>
        <v>212.636573190488</v>
      </c>
      <c r="K156" s="37" t="n">
        <f aca="false">K149*Annahmen!$B$52+K150*Annahmen!$B$53+K151*Annahmen!$B$54+K155*Annahmen!$B$55+K153*Annahmen!$B$56+K155*INDEX(Annahmen!$B$58:$F$58,1,K$20)*Annahmen!$B$57+K$21*$E$15*Annahmen!$B$21*Annahmen!$B$24*Annahmen!$B$59</f>
        <v>242.525957729485</v>
      </c>
      <c r="L156" s="37" t="n">
        <f aca="false">L149*Annahmen!$B$52+L150*Annahmen!$B$53+L151*Annahmen!$B$54+L155*Annahmen!$B$55+L153*Annahmen!$B$56+L155*INDEX(Annahmen!$B$58:$F$58,1,L$20)*Annahmen!$B$57+L$21*$E$15*Annahmen!$B$21*Annahmen!$B$24*Annahmen!$B$59</f>
        <v>297.139689288948</v>
      </c>
      <c r="M156" s="37" t="n">
        <f aca="false">M149*Annahmen!$B$52+M150*Annahmen!$B$53+M151*Annahmen!$B$54+M155*Annahmen!$B$55+M153*Annahmen!$B$56+M155*INDEX(Annahmen!$B$58:$F$58,1,M$20)*Annahmen!$B$57+M$21*$E$15*Annahmen!$B$21*Annahmen!$B$24*Annahmen!$B$59</f>
        <v>336.779695932631</v>
      </c>
      <c r="N156" s="37" t="n">
        <f aca="false">N149*Annahmen!$B$52+N150*Annahmen!$B$53+N151*Annahmen!$B$54+N155*Annahmen!$B$55+N153*Annahmen!$B$56+N155*INDEX(Annahmen!$B$58:$F$58,1,N$20)*Annahmen!$B$57+N$21*$E$15*Annahmen!$B$21*Annahmen!$B$24*Annahmen!$B$59</f>
        <v>375.792745069933</v>
      </c>
      <c r="O156" s="37" t="n">
        <f aca="false">O149*Annahmen!$B$52+O150*Annahmen!$B$53+O151*Annahmen!$B$54+O155*Annahmen!$B$55+O153*Annahmen!$B$56+O155*INDEX(Annahmen!$B$58:$F$58,1,O$20)*Annahmen!$B$57+O$21*$E$15*Annahmen!$B$21*Annahmen!$B$24*Annahmen!$B$59</f>
        <v>820.5069548348</v>
      </c>
      <c r="P156" s="37" t="n">
        <f aca="false">P149*Annahmen!$B$52+P150*Annahmen!$B$53+P151*Annahmen!$B$54+P155*Annahmen!$B$55+P153*Annahmen!$B$56+P155*INDEX(Annahmen!$B$58:$F$58,1,P$20)*Annahmen!$B$57+P$21*$E$15*Annahmen!$B$21*Annahmen!$B$24*Annahmen!$B$59</f>
        <v>921.636660694498</v>
      </c>
      <c r="Q156" s="37" t="n">
        <f aca="false">Q149*Annahmen!$B$52+Q150*Annahmen!$B$53+Q151*Annahmen!$B$54+Q155*Annahmen!$B$55+Q153*Annahmen!$B$56+Q155*INDEX(Annahmen!$B$58:$F$58,1,Q$20)*Annahmen!$B$57+Q$21*$E$15*Annahmen!$B$21*Annahmen!$B$24*Annahmen!$B$59</f>
        <v>1021.19755385535</v>
      </c>
      <c r="R156" s="37" t="n">
        <f aca="false">R149*Annahmen!$B$52+R150*Annahmen!$B$53+R151*Annahmen!$B$54+R155*Annahmen!$B$55+R153*Annahmen!$B$56+R155*INDEX(Annahmen!$B$58:$F$58,1,R$20)*Annahmen!$B$57+R$21*$E$15*Annahmen!$B$21*Annahmen!$B$24*Annahmen!$B$59</f>
        <v>1172.15217174093</v>
      </c>
      <c r="S156" s="37" t="n">
        <f aca="false">S149*Annahmen!$B$52+S150*Annahmen!$B$53+S151*Annahmen!$B$54+S155*Annahmen!$B$55+S153*Annahmen!$B$56+S155*INDEX(Annahmen!$B$58:$F$58,1,S$20)*Annahmen!$B$57+S$21*$E$15*Annahmen!$B$21*Annahmen!$B$24*Annahmen!$B$59</f>
        <v>1296.30560880509</v>
      </c>
      <c r="T156" s="37" t="n">
        <f aca="false">T149*Annahmen!$B$52+T150*Annahmen!$B$53+T151*Annahmen!$B$54+T155*Annahmen!$B$55+T153*Annahmen!$B$56+T155*INDEX(Annahmen!$B$58:$F$58,1,T$20)*Annahmen!$B$57+T$21*$E$15*Annahmen!$B$21*Annahmen!$B$24*Annahmen!$B$59</f>
        <v>1418.5369045188</v>
      </c>
      <c r="U156" s="37" t="n">
        <f aca="false">U149*Annahmen!$B$52+U150*Annahmen!$B$53+U151*Annahmen!$B$54+U155*Annahmen!$B$55+U153*Annahmen!$B$56+U155*INDEX(Annahmen!$B$58:$F$58,1,U$20)*Annahmen!$B$57+U$21*$E$15*Annahmen!$B$21*Annahmen!$B$24*Annahmen!$B$59</f>
        <v>1591.81465211743</v>
      </c>
      <c r="V156" s="37" t="n">
        <f aca="false">V149*Annahmen!$B$52+V150*Annahmen!$B$53+V151*Annahmen!$B$54+V155*Annahmen!$B$55+V153*Annahmen!$B$56+V155*INDEX(Annahmen!$B$58:$F$58,1,V$20)*Annahmen!$B$57+V$21*$E$15*Annahmen!$B$21*Annahmen!$B$24*Annahmen!$B$59</f>
        <v>1737.94988798008</v>
      </c>
      <c r="W156" s="37" t="n">
        <f aca="false">W149*Annahmen!$B$52+W150*Annahmen!$B$53+W151*Annahmen!$B$54+W155*Annahmen!$B$55+W153*Annahmen!$B$56+W155*INDEX(Annahmen!$B$58:$F$58,1,W$20)*Annahmen!$B$57+W$21*$E$15*Annahmen!$B$21*Annahmen!$B$24*Annahmen!$B$59</f>
        <v>1881.82748191683</v>
      </c>
      <c r="X156" s="37" t="n">
        <f aca="false">X149*Annahmen!$B$52+X150*Annahmen!$B$53+X151*Annahmen!$B$54+X155*Annahmen!$B$55+X153*Annahmen!$B$56+X155*INDEX(Annahmen!$B$58:$F$58,1,X$20)*Annahmen!$B$57+X$21*$E$15*Annahmen!$B$21*Annahmen!$B$24*Annahmen!$B$59</f>
        <v>2076.42174816753</v>
      </c>
      <c r="Y156" s="37" t="n">
        <f aca="false">Y149*Annahmen!$B$52+Y150*Annahmen!$B$53+Y151*Annahmen!$B$54+Y155*Annahmen!$B$55+Y153*Annahmen!$B$56+Y155*INDEX(Annahmen!$B$58:$F$58,1,Y$20)*Annahmen!$B$57+Y$21*$E$15*Annahmen!$B$21*Annahmen!$B$24*Annahmen!$B$59</f>
        <v>2243.54933698463</v>
      </c>
      <c r="Z156" s="37" t="n">
        <f aca="false">Z149*Annahmen!$B$52+Z150*Annahmen!$B$53+Z151*Annahmen!$B$54+Z155*Annahmen!$B$55+Z153*Annahmen!$B$56+Z155*INDEX(Annahmen!$B$58:$F$58,1,Z$20)*Annahmen!$B$57+Z$21*$E$15*Annahmen!$B$21*Annahmen!$B$24*Annahmen!$B$59</f>
        <v>2408.1006270773</v>
      </c>
      <c r="AA156" s="37" t="n">
        <f aca="false">AA149*Annahmen!$B$52+AA150*Annahmen!$B$53+AA151*Annahmen!$B$54+AA155*Annahmen!$B$55+AA153*Annahmen!$B$56+AA155*INDEX(Annahmen!$B$58:$F$58,1,AA$20)*Annahmen!$B$57+AA$21*$E$15*Annahmen!$B$21*Annahmen!$B$24*Annahmen!$B$59</f>
        <v>3809.81175946945</v>
      </c>
      <c r="AB156" s="37" t="n">
        <f aca="false">AB149*Annahmen!$B$52+AB150*Annahmen!$B$53+AB151*Annahmen!$B$54+AB155*Annahmen!$B$55+AB153*Annahmen!$B$56+AB155*INDEX(Annahmen!$B$58:$F$58,1,AB$20)*Annahmen!$B$57+AB$21*$E$15*Annahmen!$B$21*Annahmen!$B$24*Annahmen!$B$59</f>
        <v>4067.44685143343</v>
      </c>
      <c r="AC156" s="37" t="n">
        <f aca="false">AC149*Annahmen!$B$52+AC150*Annahmen!$B$53+AC151*Annahmen!$B$54+AC155*Annahmen!$B$55+AC153*Annahmen!$B$56+AC155*INDEX(Annahmen!$B$58:$F$58,1,AC$20)*Annahmen!$B$57+AC$21*$E$15*Annahmen!$B$21*Annahmen!$B$24*Annahmen!$B$59</f>
        <v>4321.14934273246</v>
      </c>
      <c r="AD156" s="37" t="n">
        <f aca="false">AD149*Annahmen!$B$52+AD150*Annahmen!$B$53+AD151*Annahmen!$B$54+AD155*Annahmen!$B$55+AD153*Annahmen!$B$56+AD155*INDEX(Annahmen!$B$58:$F$58,1,AD$20)*Annahmen!$B$57+AD$21*$E$15*Annahmen!$B$21*Annahmen!$B$24*Annahmen!$B$59</f>
        <v>4625.1919898876</v>
      </c>
      <c r="AE156" s="37" t="n">
        <f aca="false">AE149*Annahmen!$B$52+AE150*Annahmen!$B$53+AE151*Annahmen!$B$54+AE155*Annahmen!$B$55+AE153*Annahmen!$B$56+AE155*INDEX(Annahmen!$B$58:$F$58,1,AE$20)*Annahmen!$B$57+AE$21*$E$15*Annahmen!$B$21*Annahmen!$B$24*Annahmen!$B$59</f>
        <v>4902.01466620792</v>
      </c>
      <c r="AF156" s="37" t="n">
        <f aca="false">AF149*Annahmen!$B$52+AF150*Annahmen!$B$53+AF151*Annahmen!$B$54+AF155*Annahmen!$B$55+AF153*Annahmen!$B$56+AF155*INDEX(Annahmen!$B$58:$F$58,1,AF$20)*Annahmen!$B$57+AF$21*$E$15*Annahmen!$B$21*Annahmen!$B$24*Annahmen!$B$59</f>
        <v>5174.62268999333</v>
      </c>
      <c r="AG156" s="37" t="n">
        <f aca="false">AG149*Annahmen!$B$52+AG150*Annahmen!$B$53+AG151*Annahmen!$B$54+AG155*Annahmen!$B$55+AG153*Annahmen!$B$56+AG155*INDEX(Annahmen!$B$58:$F$58,1,AG$20)*Annahmen!$B$57+AG$21*$E$15*Annahmen!$B$21*Annahmen!$B$24*Annahmen!$B$59</f>
        <v>5497.29345365605</v>
      </c>
      <c r="AH156" s="37" t="n">
        <f aca="false">AH149*Annahmen!$B$52+AH150*Annahmen!$B$53+AH151*Annahmen!$B$54+AH155*Annahmen!$B$55+AH153*Annahmen!$B$56+AH155*INDEX(Annahmen!$B$58:$F$58,1,AH$20)*Annahmen!$B$57+AH$21*$E$15*Annahmen!$B$21*Annahmen!$B$24*Annahmen!$B$59</f>
        <v>5792.47138233884</v>
      </c>
      <c r="AI156" s="37" t="n">
        <f aca="false">AI149*Annahmen!$B$52+AI150*Annahmen!$B$53+AI151*Annahmen!$B$54+AI155*Annahmen!$B$55+AI153*Annahmen!$B$56+AI155*INDEX(Annahmen!$B$58:$F$58,1,AI$20)*Annahmen!$B$57+AI$21*$E$15*Annahmen!$B$21*Annahmen!$B$24*Annahmen!$B$59</f>
        <v>6083.16626376645</v>
      </c>
      <c r="AJ156" s="37" t="n">
        <f aca="false">AJ149*Annahmen!$B$52+AJ150*Annahmen!$B$53+AJ151*Annahmen!$B$54+AJ155*Annahmen!$B$55+AJ153*Annahmen!$B$56+AJ155*INDEX(Annahmen!$B$58:$F$58,1,AJ$20)*Annahmen!$B$57+AJ$21*$E$15*Annahmen!$B$21*Annahmen!$B$24*Annahmen!$B$59</f>
        <v>6441.72845490145</v>
      </c>
      <c r="AK156" s="37" t="n">
        <f aca="false">AK149*Annahmen!$B$52+AK150*Annahmen!$B$53+AK151*Annahmen!$B$54+AK155*Annahmen!$B$55+AK153*Annahmen!$B$56+AK155*INDEX(Annahmen!$B$58:$F$58,1,AK$20)*Annahmen!$B$57+AK$21*$E$15*Annahmen!$B$21*Annahmen!$B$24*Annahmen!$B$59</f>
        <v>6764.73138986433</v>
      </c>
      <c r="AL156" s="37" t="n">
        <f aca="false">AL149*Annahmen!$B$52+AL150*Annahmen!$B$53+AL151*Annahmen!$B$54+AL155*Annahmen!$B$55+AL153*Annahmen!$B$56+AL155*INDEX(Annahmen!$B$58:$F$58,1,AL$20)*Annahmen!$B$57+AL$21*$E$15*Annahmen!$B$21*Annahmen!$B$24*Annahmen!$B$59</f>
        <v>7082.83601232573</v>
      </c>
      <c r="AM156" s="37" t="n">
        <f aca="false">AM149*Annahmen!$B$52+AM150*Annahmen!$B$53+AM151*Annahmen!$B$54+AM155*Annahmen!$B$55+AM153*Annahmen!$B$56+AM155*INDEX(Annahmen!$B$58:$F$58,1,AM$20)*Annahmen!$B$57+AM$21*$E$15*Annahmen!$B$21*Annahmen!$B$24*Annahmen!$B$59</f>
        <v>8686.70784253616</v>
      </c>
      <c r="AN156" s="37" t="n">
        <f aca="false">AN149*Annahmen!$B$52+AN150*Annahmen!$B$53+AN151*Annahmen!$B$54+AN155*Annahmen!$B$55+AN153*Annahmen!$B$56+AN155*INDEX(Annahmen!$B$58:$F$58,1,AN$20)*Annahmen!$B$57+AN$21*$E$15*Annahmen!$B$21*Annahmen!$B$24*Annahmen!$B$59</f>
        <v>9105.47912230489</v>
      </c>
      <c r="AO156" s="37" t="n">
        <f aca="false">AO149*Annahmen!$B$52+AO150*Annahmen!$B$53+AO151*Annahmen!$B$54+AO155*Annahmen!$B$55+AO153*Annahmen!$B$56+AO155*INDEX(Annahmen!$B$58:$F$58,1,AO$20)*Annahmen!$B$57+AO$21*$E$15*Annahmen!$B$21*Annahmen!$B$24*Annahmen!$B$59</f>
        <v>9517.91600849395</v>
      </c>
      <c r="AP156" s="37" t="n">
        <f aca="false">AP149*Annahmen!$B$52+AP150*Annahmen!$B$53+AP151*Annahmen!$B$54+AP155*Annahmen!$B$55+AP153*Annahmen!$B$56+AP155*INDEX(Annahmen!$B$58:$F$58,1,AP$20)*Annahmen!$B$57+AP$21*$E$15*Annahmen!$B$21*Annahmen!$B$24*Annahmen!$B$59</f>
        <v>9924.12553854043</v>
      </c>
      <c r="AQ156" s="37" t="n">
        <f aca="false">AQ149*Annahmen!$B$52+AQ150*Annahmen!$B$53+AQ151*Annahmen!$B$54+AQ155*Annahmen!$B$55+AQ153*Annahmen!$B$56+AQ155*INDEX(Annahmen!$B$58:$F$58,1,AQ$20)*Annahmen!$B$57+AQ$21*$E$15*Annahmen!$B$21*Annahmen!$B$24*Annahmen!$B$59</f>
        <v>10324.2127618804</v>
      </c>
      <c r="AR156" s="37" t="n">
        <f aca="false">AR149*Annahmen!$B$52+AR150*Annahmen!$B$53+AR151*Annahmen!$B$54+AR155*Annahmen!$B$55+AR153*Annahmen!$B$56+AR155*INDEX(Annahmen!$B$58:$F$58,1,AR$20)*Annahmen!$B$57+AR$21*$E$15*Annahmen!$B$21*Annahmen!$B$24*Annahmen!$B$59</f>
        <v>10718.2807797</v>
      </c>
      <c r="AS156" s="37" t="n">
        <f aca="false">AS149*Annahmen!$B$52+AS150*Annahmen!$B$53+AS151*Annahmen!$B$54+AS155*Annahmen!$B$55+AS153*Annahmen!$B$56+AS155*INDEX(Annahmen!$B$58:$F$58,1,AS$20)*Annahmen!$B$57+AS$21*$E$15*Annahmen!$B$21*Annahmen!$B$24*Annahmen!$B$59</f>
        <v>11106.4307838474</v>
      </c>
      <c r="AT156" s="37" t="n">
        <f aca="false">AT149*Annahmen!$B$52+AT150*Annahmen!$B$53+AT151*Annahmen!$B$54+AT155*Annahmen!$B$55+AT153*Annahmen!$B$56+AT155*INDEX(Annahmen!$B$58:$F$58,1,AT$20)*Annahmen!$B$57+AT$21*$E$15*Annahmen!$B$21*Annahmen!$B$24*Annahmen!$B$59</f>
        <v>11488.7620949234</v>
      </c>
      <c r="AU156" s="37" t="n">
        <f aca="false">AU149*Annahmen!$B$52+AU150*Annahmen!$B$53+AU151*Annahmen!$B$54+AU155*Annahmen!$B$55+AU153*Annahmen!$B$56+AU155*INDEX(Annahmen!$B$58:$F$58,1,AU$20)*Annahmen!$B$57+AU$21*$E$15*Annahmen!$B$21*Annahmen!$B$24*Annahmen!$B$59</f>
        <v>11865.3721995689</v>
      </c>
      <c r="AV156" s="37" t="n">
        <f aca="false">AV149*Annahmen!$B$52+AV150*Annahmen!$B$53+AV151*Annahmen!$B$54+AV155*Annahmen!$B$55+AV153*Annahmen!$B$56+AV155*INDEX(Annahmen!$B$58:$F$58,1,AV$20)*Annahmen!$B$57+AV$21*$E$15*Annahmen!$B$21*Annahmen!$B$24*Annahmen!$B$59</f>
        <v>12236.3567869678</v>
      </c>
      <c r="AW156" s="37" t="n">
        <f aca="false">AW149*Annahmen!$B$52+AW150*Annahmen!$B$53+AW151*Annahmen!$B$54+AW155*Annahmen!$B$55+AW153*Annahmen!$B$56+AW155*INDEX(Annahmen!$B$58:$F$58,1,AW$20)*Annahmen!$B$57+AW$21*$E$15*Annahmen!$B$21*Annahmen!$B$24*Annahmen!$B$59</f>
        <v>12601.8097845809</v>
      </c>
      <c r="AX156" s="37" t="n">
        <f aca="false">AX149*Annahmen!$B$52+AX150*Annahmen!$B$53+AX151*Annahmen!$B$54+AX155*Annahmen!$B$55+AX153*Annahmen!$B$56+AX155*INDEX(Annahmen!$B$58:$F$58,1,AX$20)*Annahmen!$B$57+AX$21*$E$15*Annahmen!$B$21*Annahmen!$B$24*Annahmen!$B$59</f>
        <v>12961.8233931284</v>
      </c>
      <c r="AY156" s="37" t="n">
        <f aca="false">AY149*Annahmen!$B$52+AY150*Annahmen!$B$53+AY151*Annahmen!$B$54+AY155*Annahmen!$B$55+AY153*Annahmen!$B$56+AY155*INDEX(Annahmen!$B$58:$F$58,1,AY$20)*Annahmen!$B$57+AY$21*$E$15*Annahmen!$B$21*Annahmen!$B$24*Annahmen!$B$59</f>
        <v>15397.5757735972</v>
      </c>
      <c r="AZ156" s="37" t="n">
        <f aca="false">AZ149*Annahmen!$B$52+AZ150*Annahmen!$B$53+AZ151*Annahmen!$B$54+AZ155*Annahmen!$B$55+AZ153*Annahmen!$B$56+AZ155*INDEX(Annahmen!$B$58:$F$58,1,AZ$20)*Annahmen!$B$57+AZ$21*$E$15*Annahmen!$B$21*Annahmen!$B$24*Annahmen!$B$59</f>
        <v>15932.3388362803</v>
      </c>
      <c r="BA156" s="37" t="n">
        <f aca="false">BA149*Annahmen!$B$52+BA150*Annahmen!$B$53+BA151*Annahmen!$B$54+BA155*Annahmen!$B$55+BA153*Annahmen!$B$56+BA155*INDEX(Annahmen!$B$58:$F$58,1,BA$20)*Annahmen!$B$57+BA$21*$E$15*Annahmen!$B$21*Annahmen!$B$24*Annahmen!$B$59</f>
        <v>16459.0947888079</v>
      </c>
      <c r="BB156" s="37" t="n">
        <f aca="false">BB149*Annahmen!$B$52+BB150*Annahmen!$B$53+BB151*Annahmen!$B$54+BB155*Annahmen!$B$55+BB153*Annahmen!$B$56+BB155*INDEX(Annahmen!$B$58:$F$58,1,BB$20)*Annahmen!$B$57+BB$21*$E$15*Annahmen!$B$21*Annahmen!$B$24*Annahmen!$B$59</f>
        <v>16977.9776321544</v>
      </c>
      <c r="BC156" s="37" t="n">
        <f aca="false">BC149*Annahmen!$B$52+BC150*Annahmen!$B$53+BC151*Annahmen!$B$54+BC155*Annahmen!$B$55+BC153*Annahmen!$B$56+BC155*INDEX(Annahmen!$B$58:$F$58,1,BC$20)*Annahmen!$B$57+BC$21*$E$15*Annahmen!$B$21*Annahmen!$B$24*Annahmen!$B$59</f>
        <v>17489.1188989559</v>
      </c>
      <c r="BD156" s="37" t="n">
        <f aca="false">BD149*Annahmen!$B$52+BD150*Annahmen!$B$53+BD151*Annahmen!$B$54+BD155*Annahmen!$B$55+BD153*Annahmen!$B$56+BD155*INDEX(Annahmen!$B$58:$F$58,1,BD$20)*Annahmen!$B$57+BD$21*$E$15*Annahmen!$B$21*Annahmen!$B$24*Annahmen!$B$59</f>
        <v>17992.6477025444</v>
      </c>
      <c r="BE156" s="37" t="n">
        <f aca="false">BE149*Annahmen!$B$52+BE150*Annahmen!$B$53+BE151*Annahmen!$B$54+BE155*Annahmen!$B$55+BE153*Annahmen!$B$56+BE155*INDEX(Annahmen!$B$58:$F$58,1,BE$20)*Annahmen!$B$57+BE$21*$E$15*Annahmen!$B$21*Annahmen!$B$24*Annahmen!$B$59</f>
        <v>18488.690784952</v>
      </c>
      <c r="BF156" s="37" t="n">
        <f aca="false">BF149*Annahmen!$B$52+BF150*Annahmen!$B$53+BF151*Annahmen!$B$54+BF155*Annahmen!$B$55+BF153*Annahmen!$B$56+BF155*INDEX(Annahmen!$B$58:$F$58,1,BF$20)*Annahmen!$B$57+BF$21*$E$15*Annahmen!$B$21*Annahmen!$B$24*Annahmen!$B$59</f>
        <v>18977.3725639064</v>
      </c>
      <c r="BG156" s="37" t="n">
        <f aca="false">BG149*Annahmen!$B$52+BG150*Annahmen!$B$53+BG151*Annahmen!$B$54+BG155*Annahmen!$B$55+BG153*Annahmen!$B$56+BG155*INDEX(Annahmen!$B$58:$F$58,1,BG$20)*Annahmen!$B$57+BG$21*$E$15*Annahmen!$B$21*Annahmen!$B$24*Annahmen!$B$59</f>
        <v>19458.8151788411</v>
      </c>
      <c r="BH156" s="37" t="n">
        <f aca="false">BH149*Annahmen!$B$52+BH150*Annahmen!$B$53+BH151*Annahmen!$B$54+BH155*Annahmen!$B$55+BH153*Annahmen!$B$56+BH155*INDEX(Annahmen!$B$58:$F$58,1,BH$20)*Annahmen!$B$57+BH$21*$E$15*Annahmen!$B$21*Annahmen!$B$24*Annahmen!$B$59</f>
        <v>19933.1385359419</v>
      </c>
      <c r="BI156" s="37" t="n">
        <f aca="false">BI149*Annahmen!$B$52+BI150*Annahmen!$B$53+BI151*Annahmen!$B$54+BI155*Annahmen!$B$55+BI153*Annahmen!$B$56+BI155*INDEX(Annahmen!$B$58:$F$58,1,BI$20)*Annahmen!$B$57+BI$21*$E$15*Annahmen!$B$21*Annahmen!$B$24*Annahmen!$B$59</f>
        <v>20400.4603522489</v>
      </c>
      <c r="BJ156" s="37" t="n">
        <f aca="false">BJ149*Annahmen!$B$52+BJ150*Annahmen!$B$53+BJ151*Annahmen!$B$54+BJ155*Annahmen!$B$55+BJ153*Annahmen!$B$56+BJ155*INDEX(Annahmen!$B$58:$F$58,1,BJ$20)*Annahmen!$B$57+BJ$21*$E$15*Annahmen!$B$21*Annahmen!$B$24*Annahmen!$B$59</f>
        <v>20860.8961988373</v>
      </c>
    </row>
    <row r="157" customFormat="false" ht="15" hidden="false" customHeight="false" outlineLevel="0" collapsed="false">
      <c r="B157" s="5" t="s">
        <v>267</v>
      </c>
      <c r="C157" s="37" t="n">
        <f aca="false">C155-C156-C$22</f>
        <v>-15861.6163242112</v>
      </c>
      <c r="D157" s="37" t="n">
        <f aca="false">D155-D156-D$22</f>
        <v>-5678.70252277864</v>
      </c>
      <c r="E157" s="37" t="n">
        <f aca="false">E155-E156-E$22</f>
        <v>-6101.65344874468</v>
      </c>
      <c r="F157" s="37" t="n">
        <f aca="false">F155-F156-F$22</f>
        <v>-13375.398593332</v>
      </c>
      <c r="G157" s="37" t="n">
        <f aca="false">G155-G156-G$22</f>
        <v>-3618.5228821858</v>
      </c>
      <c r="H157" s="37" t="n">
        <f aca="false">H155-H156-H$22</f>
        <v>-2873.2246073898</v>
      </c>
      <c r="I157" s="37" t="n">
        <f aca="false">I155-I156-I$22</f>
        <v>-8022.33596168313</v>
      </c>
      <c r="J157" s="37" t="n">
        <f aca="false">J155-J156-J$22</f>
        <v>-5108.34638944467</v>
      </c>
      <c r="K157" s="37" t="n">
        <f aca="false">K155-K156-K$22</f>
        <v>-4011.36048224154</v>
      </c>
      <c r="L157" s="37" t="n">
        <f aca="false">L155-L156-L$22</f>
        <v>-13008.1184773493</v>
      </c>
      <c r="M157" s="37" t="n">
        <f aca="false">M155-M156-M$22</f>
        <v>-7253.01957379512</v>
      </c>
      <c r="N157" s="37" t="n">
        <f aca="false">N155-N156-N$22</f>
        <v>-5820.07979370345</v>
      </c>
      <c r="O157" s="37" t="n">
        <f aca="false">O155-O156-O$22</f>
        <v>-19306.922922074</v>
      </c>
      <c r="P157" s="37" t="n">
        <f aca="false">P155-P156-P$22</f>
        <v>-13844.5892832988</v>
      </c>
      <c r="Q157" s="37" t="n">
        <f aca="false">Q155-Q156-Q$22</f>
        <v>-19010.5696765982</v>
      </c>
      <c r="R157" s="37" t="n">
        <f aca="false">R155-R156-R$22</f>
        <v>-9483.76242843124</v>
      </c>
      <c r="S157" s="37" t="n">
        <f aca="false">S155-S156-S$22</f>
        <v>-7196.66096787786</v>
      </c>
      <c r="T157" s="37" t="n">
        <f aca="false">T155-T156-T$22</f>
        <v>-4944.26396727336</v>
      </c>
      <c r="U157" s="37" t="n">
        <f aca="false">U155-U156-U$22</f>
        <v>-2005.36246944118</v>
      </c>
      <c r="V157" s="37" t="n">
        <f aca="false">V155-V156-V$22</f>
        <v>687.655400890821</v>
      </c>
      <c r="W157" s="37" t="n">
        <f aca="false">W155-W156-W$22</f>
        <v>-10660.1056642083</v>
      </c>
      <c r="X157" s="37" t="n">
        <f aca="false">X155-X156-X$22</f>
        <v>-4648.09524459529</v>
      </c>
      <c r="Y157" s="37" t="n">
        <f aca="false">Y155-Y156-Y$22</f>
        <v>3232.91813423258</v>
      </c>
      <c r="Z157" s="37" t="n">
        <f aca="false">Z155-Z156-Z$22</f>
        <v>6267.37693674931</v>
      </c>
      <c r="AA157" s="37" t="n">
        <f aca="false">AA155-AA156-AA$22</f>
        <v>2085.37266406652</v>
      </c>
      <c r="AB157" s="37" t="n">
        <f aca="false">AB155-AB156-AB$22</f>
        <v>5198.92192424264</v>
      </c>
      <c r="AC157" s="37" t="n">
        <f aca="false">AC155-AC156-AC$22</f>
        <v>8265.59592168315</v>
      </c>
      <c r="AD157" s="37" t="n">
        <f aca="false">AD155-AD156-AD$22</f>
        <v>-9905.87404886296</v>
      </c>
      <c r="AE157" s="37" t="n">
        <f aca="false">AE155-AE156-AE$22</f>
        <v>10240.5576753274</v>
      </c>
      <c r="AF157" s="37" t="n">
        <f aca="false">AF155-AF156-AF$22</f>
        <v>13536.734704657</v>
      </c>
      <c r="AG157" s="37" t="n">
        <f aca="false">AG155-AG156-AG$22</f>
        <v>10334.7052980047</v>
      </c>
      <c r="AH157" s="37" t="n">
        <f aca="false">AH155-AH156-AH$22</f>
        <v>15704.0445028288</v>
      </c>
      <c r="AI157" s="37" t="n">
        <f aca="false">AI155-AI156-AI$22</f>
        <v>19219.9109538493</v>
      </c>
      <c r="AJ157" s="37" t="n">
        <f aca="false">AJ155-AJ156-AJ$22</f>
        <v>19384.4814565105</v>
      </c>
      <c r="AK157" s="37" t="n">
        <f aca="false">AK155-AK156-AK$22</f>
        <v>27290.9487831033</v>
      </c>
      <c r="AL157" s="37" t="n">
        <f aca="false">AL155-AL156-AL$22</f>
        <v>31138.9786528211</v>
      </c>
      <c r="AM157" s="37" t="n">
        <f aca="false">AM155-AM156-AM$22</f>
        <v>12382.1970899072</v>
      </c>
      <c r="AN157" s="37" t="n">
        <f aca="false">AN155-AN156-AN$22</f>
        <v>20275.9554324738</v>
      </c>
      <c r="AO157" s="37" t="n">
        <f aca="false">AO155-AO156-AO$22</f>
        <v>14505.5340995465</v>
      </c>
      <c r="AP157" s="37" t="n">
        <f aca="false">AP155-AP156-AP$22</f>
        <v>28672.00400569</v>
      </c>
      <c r="AQ157" s="37" t="n">
        <f aca="false">AQ155-AQ156-AQ$22</f>
        <v>32776.4164095864</v>
      </c>
      <c r="AR157" s="37" t="n">
        <f aca="false">AR155-AR156-AR$22</f>
        <v>36819.803303097</v>
      </c>
      <c r="AS157" s="37" t="n">
        <f aca="false">AS155-AS156-AS$22</f>
        <v>33938.8190461737</v>
      </c>
      <c r="AT157" s="37" t="n">
        <f aca="false">AT155-AT156-AT$22</f>
        <v>39663.1757237992</v>
      </c>
      <c r="AU157" s="37" t="n">
        <f aca="false">AU155-AU156-AU$22</f>
        <v>25529.4910351297</v>
      </c>
      <c r="AV157" s="37" t="n">
        <f aca="false">AV155-AV156-AV$22</f>
        <v>47338.7236350089</v>
      </c>
      <c r="AW157" s="37" t="n">
        <f aca="false">AW155-AW156-AW$22</f>
        <v>51091.814738021</v>
      </c>
      <c r="AX157" s="37" t="n">
        <f aca="false">AX155-AX156-AX$22</f>
        <v>54789.6884612449</v>
      </c>
      <c r="AY157" s="37" t="n">
        <f aca="false">AY155-AY156-AY$22</f>
        <v>39036.3853622677</v>
      </c>
      <c r="AZ157" s="37" t="n">
        <f aca="false">AZ155-AZ156-AZ$22</f>
        <v>47380.9910470226</v>
      </c>
      <c r="BA157" s="37" t="n">
        <f aca="false">BA155-BA156-BA$22</f>
        <v>52055.2933527207</v>
      </c>
      <c r="BB157" s="37" t="n">
        <f aca="false">BB155-BB156-BB$22</f>
        <v>38660.4557192363</v>
      </c>
      <c r="BC157" s="37" t="n">
        <f aca="false">BC155-BC156-BC$22</f>
        <v>61197.6203823068</v>
      </c>
      <c r="BD157" s="37" t="n">
        <f aca="false">BD155-BD156-BD$22</f>
        <v>65667.9087909022</v>
      </c>
      <c r="BE157" s="37" t="n">
        <f aca="false">BE155-BE156-BE$22</f>
        <v>70072.4220158894</v>
      </c>
      <c r="BF157" s="37" t="n">
        <f aca="false">BF155-BF156-BF$22</f>
        <v>74412.2411501799</v>
      </c>
      <c r="BG157" s="37" t="n">
        <f aca="false">BG155-BG156-BG$22</f>
        <v>78688.4277005465</v>
      </c>
      <c r="BH157" s="37" t="n">
        <f aca="false">BH155-BH156-BH$22</f>
        <v>77902.0239712902</v>
      </c>
      <c r="BI157" s="37" t="n">
        <f aca="false">BI155-BI156-BI$22</f>
        <v>87054.053439934</v>
      </c>
      <c r="BJ157" s="37" t="n">
        <f aca="false">BJ155-BJ156-BJ$22</f>
        <v>91145.5211251163</v>
      </c>
    </row>
    <row r="158" customFormat="false" ht="15" hidden="false" customHeight="false" outlineLevel="0" collapsed="false">
      <c r="B158" s="5" t="s">
        <v>401</v>
      </c>
      <c r="C158" s="37" t="n">
        <f aca="false">0+C157-C$23-C$24</f>
        <v>-16278.2829908779</v>
      </c>
      <c r="D158" s="37" t="n">
        <f aca="false">C158+D157-D$23-D$24</f>
        <v>-22373.6521803232</v>
      </c>
      <c r="E158" s="37" t="n">
        <f aca="false">D158+E157-E$23-E$24</f>
        <v>-28891.9722957345</v>
      </c>
      <c r="F158" s="37" t="n">
        <f aca="false">E158+F157-F$23-F$24</f>
        <v>-42684.0375557332</v>
      </c>
      <c r="G158" s="37" t="n">
        <f aca="false">F158+G157-G$23-G$24</f>
        <v>-46719.2271045857</v>
      </c>
      <c r="H158" s="37" t="n">
        <f aca="false">G158+H157-H$23-H$24</f>
        <v>-50009.1183786422</v>
      </c>
      <c r="I158" s="37" t="n">
        <f aca="false">H158+I157-I$23-I$24</f>
        <v>-58448.1210069919</v>
      </c>
      <c r="J158" s="37" t="n">
        <f aca="false">I158+J157-J$23-J$24</f>
        <v>-63973.1340631033</v>
      </c>
      <c r="K158" s="37" t="n">
        <f aca="false">J158+K157-K$23-K$24</f>
        <v>-68401.1612120115</v>
      </c>
      <c r="L158" s="37" t="n">
        <f aca="false">K158+L157-L$23-L$24</f>
        <v>-81825.9463560274</v>
      </c>
      <c r="M158" s="37" t="n">
        <f aca="false">L158+M157-M$23-M$24</f>
        <v>-89495.6325964892</v>
      </c>
      <c r="N158" s="37" t="n">
        <f aca="false">M158+N157-N$23-N$24</f>
        <v>-95732.3790568593</v>
      </c>
      <c r="O158" s="37" t="n">
        <f aca="false">N158+O157-O$23-O$24</f>
        <v>-115455.9686456</v>
      </c>
      <c r="P158" s="37" t="n">
        <f aca="false">O158+P157-P$23-P$24</f>
        <v>-129717.224595566</v>
      </c>
      <c r="Q158" s="37" t="n">
        <f aca="false">P158+Q157-Q$23-Q$24</f>
        <v>-149144.46093883</v>
      </c>
      <c r="R158" s="37" t="n">
        <f aca="false">Q158+R157-R$23-R$24</f>
        <v>-159044.890033928</v>
      </c>
      <c r="S158" s="37" t="n">
        <f aca="false">R158+S157-S$23-S$24</f>
        <v>-166658.217668473</v>
      </c>
      <c r="T158" s="37" t="n">
        <f aca="false">S158+T157-T$23-T$24</f>
        <v>-172019.148302413</v>
      </c>
      <c r="U158" s="37" t="n">
        <f aca="false">T158+U157-U$23-U$24</f>
        <v>-174441.177438521</v>
      </c>
      <c r="V158" s="37" t="n">
        <f aca="false">U158+V157-V$23-V$24</f>
        <v>-174170.188704296</v>
      </c>
      <c r="W158" s="37" t="n">
        <f aca="false">V158+W157-W$23-W$24</f>
        <v>-185246.961035171</v>
      </c>
      <c r="X158" s="37" t="n">
        <f aca="false">W158+X157-X$23-X$24</f>
        <v>-190311.722946433</v>
      </c>
      <c r="Y158" s="37" t="n">
        <f aca="false">X158+Y157-Y$23-Y$24</f>
        <v>-187495.471478867</v>
      </c>
      <c r="Z158" s="37" t="n">
        <f aca="false">Y158+Z157-Z$23-Z$24</f>
        <v>-181644.761208785</v>
      </c>
      <c r="AA158" s="37" t="n">
        <f aca="false">Z158+AA157-AA$23-AA$24</f>
        <v>-181278.138544718</v>
      </c>
      <c r="AB158" s="37" t="n">
        <f aca="false">AA158+AB157-AB$23-AB$24</f>
        <v>-177793.626342698</v>
      </c>
      <c r="AC158" s="37" t="n">
        <f aca="false">AB158+AC157-AC$23-AC$24</f>
        <v>-171238.099865459</v>
      </c>
      <c r="AD158" s="37" t="n">
        <f aca="false">AC158+AD157-AD$23-AD$24</f>
        <v>-182849.703080989</v>
      </c>
      <c r="AE158" s="37" t="n">
        <f aca="false">AD158+AE157-AE$23-AE$24</f>
        <v>-174310.53429455</v>
      </c>
      <c r="AF158" s="37" t="n">
        <f aca="false">AE158+AF157-AF$23-AF$24</f>
        <v>-162470.848201004</v>
      </c>
      <c r="AG158" s="37" t="n">
        <f aca="false">AF158+AG157-AG$23-AG$24</f>
        <v>-153828.851236333</v>
      </c>
      <c r="AH158" s="37" t="n">
        <f aca="false">AG158+AH157-AH$23-AH$24</f>
        <v>-139813.17478906</v>
      </c>
      <c r="AI158" s="37" t="n">
        <f aca="false">AH158+AI157-AI$23-AI$24</f>
        <v>-122277.291612988</v>
      </c>
      <c r="AJ158" s="37" t="n">
        <f aca="false">AI158+AJ157-AJ$23-AJ$24</f>
        <v>-104572.497656478</v>
      </c>
      <c r="AK158" s="37" t="n">
        <f aca="false">AJ158+AK157-AK$23-AK$24</f>
        <v>-78956.8960955967</v>
      </c>
      <c r="AL158" s="37" t="n">
        <f aca="false">AK158+AL157-AL$23-AL$24</f>
        <v>-49488.92438722</v>
      </c>
      <c r="AM158" s="37" t="n">
        <f aca="false">AL158+AM157-AM$23-AM$24</f>
        <v>-38773.3939639795</v>
      </c>
      <c r="AN158" s="37" t="n">
        <f aca="false">AM158+AN157-AN$23-AN$24</f>
        <v>-20159.7649203946</v>
      </c>
      <c r="AO158" s="37" t="n">
        <f aca="false">AN158+AO157-AO$23-AO$24</f>
        <v>-7312.21693195913</v>
      </c>
      <c r="AP158" s="37" t="n">
        <f aca="false">AO158+AP157-AP$23-AP$24</f>
        <v>19706.1412403976</v>
      </c>
      <c r="AQ158" s="37" t="n">
        <f aca="false">AP158+AQ157-AQ$23-AQ$24</f>
        <v>50833.2520944284</v>
      </c>
      <c r="AR158" s="37" t="n">
        <f aca="false">AQ158+AR157-AR$23-AR$24</f>
        <v>86008.0901197477</v>
      </c>
      <c r="AS158" s="37" t="n">
        <f aca="false">AR158+AS157-AS$23-AS$24</f>
        <v>118306.284165921</v>
      </c>
      <c r="AT158" s="37" t="n">
        <f aca="false">AS158+AT157-AT$23-AT$24</f>
        <v>156333.175167498</v>
      </c>
      <c r="AU158" s="37" t="n">
        <f aca="false">AT158+AU157-AU$23-AU$24</f>
        <v>180230.721758184</v>
      </c>
      <c r="AV158" s="37" t="n">
        <f aca="false">AU158+AV157-AV$23-AV$24</f>
        <v>225941.841226526</v>
      </c>
      <c r="AW158" s="37" t="n">
        <f aca="false">AV158+AW157-AW$23-AW$24</f>
        <v>275410.392075658</v>
      </c>
      <c r="AX158" s="37" t="n">
        <f aca="false">AW158+AX157-AX$23-AX$24</f>
        <v>328581.156925792</v>
      </c>
      <c r="AY158" s="37" t="n">
        <f aca="false">AX158+AY157-AY$23-AY$24</f>
        <v>366002.958954726</v>
      </c>
      <c r="AZ158" s="37" t="n">
        <f aca="false">AY158+AZ157-AZ$23-AZ$24</f>
        <v>411773.706946193</v>
      </c>
      <c r="BA158" s="37" t="n">
        <f aca="false">AZ158+BA157-BA$23-BA$24</f>
        <v>462223.097521136</v>
      </c>
      <c r="BB158" s="37" t="n">
        <f aca="false">BA158+BB157-BB$23-BB$24</f>
        <v>499281.990740372</v>
      </c>
      <c r="BC158" s="37" t="n">
        <f aca="false">BB158+BC157-BC$23-BC$24</f>
        <v>558882.388900457</v>
      </c>
      <c r="BD158" s="37" t="n">
        <f aca="false">BC158+BD157-BD$23-BD$24</f>
        <v>622957.415746915</v>
      </c>
      <c r="BE158" s="37" t="n">
        <f aca="false">BD158+BE157-BE$23-BE$24</f>
        <v>691441.296096137</v>
      </c>
      <c r="BF158" s="37" t="n">
        <f aca="false">BE158+BF157-BF$23-BF$24</f>
        <v>764269.335857428</v>
      </c>
      <c r="BG158" s="37" t="n">
        <f aca="false">BF158+BG157-BG$23-BG$24</f>
        <v>841377.902446864</v>
      </c>
      <c r="BH158" s="37" t="n">
        <f aca="false">BG158+BH157-BH$23-BH$24</f>
        <v>917704.40558482</v>
      </c>
      <c r="BI158" s="37" t="n">
        <f aca="false">BH158+BI157-BI$23-BI$24</f>
        <v>1003187.2784692</v>
      </c>
      <c r="BJ158" s="37" t="n">
        <f aca="false">BI158+BJ157-BJ$23-BJ$24</f>
        <v>1092765.95931654</v>
      </c>
    </row>
    <row r="159" customFormat="false" ht="15" hidden="false" customHeight="false" outlineLevel="0" collapsed="false">
      <c r="B159" s="5" t="s">
        <v>402</v>
      </c>
      <c r="C159" s="38" t="n">
        <f aca="false">IF(C157&gt;=0,C$19,999)</f>
        <v>999</v>
      </c>
      <c r="D159" s="38" t="n">
        <f aca="false">IF(D157&gt;=0,D$19,999)</f>
        <v>999</v>
      </c>
      <c r="E159" s="38" t="n">
        <f aca="false">IF(E157&gt;=0,E$19,999)</f>
        <v>999</v>
      </c>
      <c r="F159" s="38" t="n">
        <f aca="false">IF(F157&gt;=0,F$19,999)</f>
        <v>999</v>
      </c>
      <c r="G159" s="38" t="n">
        <f aca="false">IF(G157&gt;=0,G$19,999)</f>
        <v>999</v>
      </c>
      <c r="H159" s="38" t="n">
        <f aca="false">IF(H157&gt;=0,H$19,999)</f>
        <v>999</v>
      </c>
      <c r="I159" s="38" t="n">
        <f aca="false">IF(I157&gt;=0,I$19,999)</f>
        <v>999</v>
      </c>
      <c r="J159" s="38" t="n">
        <f aca="false">IF(J157&gt;=0,J$19,999)</f>
        <v>999</v>
      </c>
      <c r="K159" s="38" t="n">
        <f aca="false">IF(K157&gt;=0,K$19,999)</f>
        <v>999</v>
      </c>
      <c r="L159" s="38" t="n">
        <f aca="false">IF(L157&gt;=0,L$19,999)</f>
        <v>999</v>
      </c>
      <c r="M159" s="38" t="n">
        <f aca="false">IF(M157&gt;=0,M$19,999)</f>
        <v>999</v>
      </c>
      <c r="N159" s="38" t="n">
        <f aca="false">IF(N157&gt;=0,N$19,999)</f>
        <v>999</v>
      </c>
      <c r="O159" s="38" t="n">
        <f aca="false">IF(O157&gt;=0,O$19,999)</f>
        <v>999</v>
      </c>
      <c r="P159" s="38" t="n">
        <f aca="false">IF(P157&gt;=0,P$19,999)</f>
        <v>999</v>
      </c>
      <c r="Q159" s="38" t="n">
        <f aca="false">IF(Q157&gt;=0,Q$19,999)</f>
        <v>999</v>
      </c>
      <c r="R159" s="38" t="n">
        <f aca="false">IF(R157&gt;=0,R$19,999)</f>
        <v>999</v>
      </c>
      <c r="S159" s="38" t="n">
        <f aca="false">IF(S157&gt;=0,S$19,999)</f>
        <v>999</v>
      </c>
      <c r="T159" s="38" t="n">
        <f aca="false">IF(T157&gt;=0,T$19,999)</f>
        <v>999</v>
      </c>
      <c r="U159" s="38" t="n">
        <f aca="false">IF(U157&gt;=0,U$19,999)</f>
        <v>999</v>
      </c>
      <c r="V159" s="38" t="n">
        <f aca="false">IF(V157&gt;=0,V$19,999)</f>
        <v>20</v>
      </c>
      <c r="W159" s="38" t="n">
        <f aca="false">IF(W157&gt;=0,W$19,999)</f>
        <v>999</v>
      </c>
      <c r="X159" s="38" t="n">
        <f aca="false">IF(X157&gt;=0,X$19,999)</f>
        <v>999</v>
      </c>
      <c r="Y159" s="38" t="n">
        <f aca="false">IF(Y157&gt;=0,Y$19,999)</f>
        <v>23</v>
      </c>
      <c r="Z159" s="38" t="n">
        <f aca="false">IF(Z157&gt;=0,Z$19,999)</f>
        <v>24</v>
      </c>
      <c r="AA159" s="38" t="n">
        <f aca="false">IF(AA157&gt;=0,AA$19,999)</f>
        <v>25</v>
      </c>
      <c r="AB159" s="38" t="n">
        <f aca="false">IF(AB157&gt;=0,AB$19,999)</f>
        <v>26</v>
      </c>
      <c r="AC159" s="38" t="n">
        <f aca="false">IF(AC157&gt;=0,AC$19,999)</f>
        <v>27</v>
      </c>
      <c r="AD159" s="38" t="n">
        <f aca="false">IF(AD157&gt;=0,AD$19,999)</f>
        <v>999</v>
      </c>
      <c r="AE159" s="38" t="n">
        <f aca="false">IF(AE157&gt;=0,AE$19,999)</f>
        <v>29</v>
      </c>
      <c r="AF159" s="38" t="n">
        <f aca="false">IF(AF157&gt;=0,AF$19,999)</f>
        <v>30</v>
      </c>
      <c r="AG159" s="38" t="n">
        <f aca="false">IF(AG157&gt;=0,AG$19,999)</f>
        <v>31</v>
      </c>
      <c r="AH159" s="38" t="n">
        <f aca="false">IF(AH157&gt;=0,AH$19,999)</f>
        <v>32</v>
      </c>
      <c r="AI159" s="38" t="n">
        <f aca="false">IF(AI157&gt;=0,AI$19,999)</f>
        <v>33</v>
      </c>
      <c r="AJ159" s="38" t="n">
        <f aca="false">IF(AJ157&gt;=0,AJ$19,999)</f>
        <v>34</v>
      </c>
      <c r="AK159" s="38" t="n">
        <f aca="false">IF(AK157&gt;=0,AK$19,999)</f>
        <v>35</v>
      </c>
      <c r="AL159" s="38" t="n">
        <f aca="false">IF(AL157&gt;=0,AL$19,999)</f>
        <v>36</v>
      </c>
      <c r="AM159" s="38" t="n">
        <f aca="false">IF(AM157&gt;=0,AM$19,999)</f>
        <v>37</v>
      </c>
      <c r="AN159" s="38" t="n">
        <f aca="false">IF(AN157&gt;=0,AN$19,999)</f>
        <v>38</v>
      </c>
      <c r="AO159" s="38" t="n">
        <f aca="false">IF(AO157&gt;=0,AO$19,999)</f>
        <v>39</v>
      </c>
      <c r="AP159" s="38" t="n">
        <f aca="false">IF(AP157&gt;=0,AP$19,999)</f>
        <v>40</v>
      </c>
      <c r="AQ159" s="38" t="n">
        <f aca="false">IF(AQ157&gt;=0,AQ$19,999)</f>
        <v>41</v>
      </c>
      <c r="AR159" s="38" t="n">
        <f aca="false">IF(AR157&gt;=0,AR$19,999)</f>
        <v>42</v>
      </c>
      <c r="AS159" s="38" t="n">
        <f aca="false">IF(AS157&gt;=0,AS$19,999)</f>
        <v>43</v>
      </c>
      <c r="AT159" s="38" t="n">
        <f aca="false">IF(AT157&gt;=0,AT$19,999)</f>
        <v>44</v>
      </c>
      <c r="AU159" s="38" t="n">
        <f aca="false">IF(AU157&gt;=0,AU$19,999)</f>
        <v>45</v>
      </c>
      <c r="AV159" s="38" t="n">
        <f aca="false">IF(AV157&gt;=0,AV$19,999)</f>
        <v>46</v>
      </c>
      <c r="AW159" s="38" t="n">
        <f aca="false">IF(AW157&gt;=0,AW$19,999)</f>
        <v>47</v>
      </c>
      <c r="AX159" s="38" t="n">
        <f aca="false">IF(AX157&gt;=0,AX$19,999)</f>
        <v>48</v>
      </c>
      <c r="AY159" s="38" t="n">
        <f aca="false">IF(AY157&gt;=0,AY$19,999)</f>
        <v>49</v>
      </c>
      <c r="AZ159" s="38" t="n">
        <f aca="false">IF(AZ157&gt;=0,AZ$19,999)</f>
        <v>50</v>
      </c>
      <c r="BA159" s="38" t="n">
        <f aca="false">IF(BA157&gt;=0,BA$19,999)</f>
        <v>51</v>
      </c>
      <c r="BB159" s="38" t="n">
        <f aca="false">IF(BB157&gt;=0,BB$19,999)</f>
        <v>52</v>
      </c>
      <c r="BC159" s="38" t="n">
        <f aca="false">IF(BC157&gt;=0,BC$19,999)</f>
        <v>53</v>
      </c>
      <c r="BD159" s="38" t="n">
        <f aca="false">IF(BD157&gt;=0,BD$19,999)</f>
        <v>54</v>
      </c>
      <c r="BE159" s="38" t="n">
        <f aca="false">IF(BE157&gt;=0,BE$19,999)</f>
        <v>55</v>
      </c>
      <c r="BF159" s="38" t="n">
        <f aca="false">IF(BF157&gt;=0,BF$19,999)</f>
        <v>56</v>
      </c>
      <c r="BG159" s="38" t="n">
        <f aca="false">IF(BG157&gt;=0,BG$19,999)</f>
        <v>57</v>
      </c>
      <c r="BH159" s="38" t="n">
        <f aca="false">IF(BH157&gt;=0,BH$19,999)</f>
        <v>58</v>
      </c>
      <c r="BI159" s="38" t="n">
        <f aca="false">IF(BI157&gt;=0,BI$19,999)</f>
        <v>59</v>
      </c>
      <c r="BJ159" s="38" t="n">
        <f aca="false">IF(BJ157&gt;=0,BJ$19,999)</f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2026-10-16T16:59:34Z</dcterms:created>
  <dc:creator>openpyxl</dc:creator>
  <dc:description/>
  <dc:language>en-US</dc:language>
  <cp:lastModifiedBy/>
  <dcterms:modified xsi:type="dcterms:W3CDTF">2026-10-16T16:59:34Z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