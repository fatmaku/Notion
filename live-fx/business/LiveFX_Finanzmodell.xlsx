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ahmen" sheetId="1" state="visible" r:id="rId3"/>
    <sheet name="GuV 5 Jahre" sheetId="2" state="visible" r:id="rId4"/>
    <sheet name="Mittelverwendung" sheetId="3" state="visible" r:id="rId5"/>
    <sheet name="Liquidität 24M" sheetId="4" state="visible" r:id="rId6"/>
    <sheet name="Gates 18M" sheetId="5" state="visible" r:id="rId7"/>
    <sheet name="Bewertung" sheetId="6" state="visible" r:id="rId8"/>
    <sheet name="Sensitivität" sheetId="7" state="visible" r:id="rId9"/>
    <sheet name="Diagramme" sheetId="8" state="visible" r:id="rId10"/>
    <sheet name="Übersetzun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<sst xmlns="http://schemas.openxmlformats.org/spreadsheetml/2006/main" count="1063" uniqueCount="710">
  <si>
    <t xml:space="preserve">LiveFX – Finanzmodell Pre-Seed 250.000 € · Annahmen</t>
  </si>
  <si>
    <t xml:space="preserve">Alle Werte sind Schätzungen auf Basis von BUSINESSPLAN.md §11 – es gibt noch keine Umsätze. Mittelverwendung, Gates und Bewertung: Vorschlag – mit Steuer-/Rechtsberater prüfen.</t>
  </si>
  <si>
    <t xml:space="preserve">Legende: blaue Schrift = Eingabe (änderbar) · schwarz = Formel · grün = Verweis auf anderes Blatt · gelb = Schlüsselannahme. Stand: Oktober 2026, Produkt v2.1. J1 = 2027 (Start Pro-Abo, Closing Jan 2027).</t>
  </si>
  <si>
    <t xml:space="preserve">A. Allgemein</t>
  </si>
  <si>
    <t xml:space="preserve">Startkasse (Pre-Seed, Closing Monat 1 = Jan 2027)</t>
  </si>
  <si>
    <t xml:space="preserve">Vom Gründer korrigierte Rundengröße: ca. 250.000 € statt 500.000 € (BP §11.6 alt).</t>
  </si>
  <si>
    <t xml:space="preserve">Infrastruktur fix (Server, Domains, Tools) €/Monat</t>
  </si>
  <si>
    <t xml:space="preserve">Schätzung; BP §11.3 Infrastruktur J1 8 T€ – wird hier als fix + variabel modelliert.</t>
  </si>
  <si>
    <t xml:space="preserve">Infrastruktur variabel (KI-API nur Pro, Zahlungs-/Store-Gebühren) in % vom Umsatz</t>
  </si>
  <si>
    <t xml:space="preserve">Schätzung: Payment-/Store-Gebühren 5–8 % + KI ≈ 0,004 $ je Klassifikation (BP §9). Ergibt J1 ≈ 7 T€ (BP: 8).</t>
  </si>
  <si>
    <t xml:space="preserve">Monat im Jahr, in dem B2B-/Pilot-Erlöse zufließen (1–12)</t>
  </si>
  <si>
    <t xml:space="preserve">Annahme: Pilot-/Lizenzzahlung als Einmalbetrag im Oktober des Jahres (J2 → Monat 22).</t>
  </si>
  <si>
    <t xml:space="preserve">Ø Preis Creator-Pack (€)</t>
  </si>
  <si>
    <t xml:space="preserve">BP §11.1: 1 Pack à Ø 3,99 €.</t>
  </si>
  <si>
    <t xml:space="preserve">Agentur-Lizenz €/Monat</t>
  </si>
  <si>
    <t xml:space="preserve">BP §11.1: Agentur-Lizenz à 49 €/Monat (Jahresendbestand × 12, wie im Plan).</t>
  </si>
  <si>
    <t xml:space="preserve">Ø zahlende Pro im Jahr J1 (Anteil am Jahresendwert)</t>
  </si>
  <si>
    <t xml:space="preserve">BP §11.1: ≈ 50 % des Jahresendwerts in J1.</t>
  </si>
  <si>
    <t xml:space="preserve">Ø zahlende Pro im Jahr J2–J5 (Anteil am Jahresendwert)</t>
  </si>
  <si>
    <t xml:space="preserve">BP §11.1: 75 % in J2/J3; für J4/J5 fortgeschrieben.</t>
  </si>
  <si>
    <t xml:space="preserve">Mindestkasse in Monatskosten (für Folgerunden-Bedarf)</t>
  </si>
  <si>
    <t xml:space="preserve">Annahme: 3 Monatskosten des Jahres J3 als Sicherheitsbestand.</t>
  </si>
  <si>
    <t xml:space="preserve">Anteil nachgelagerter Vision-Linien an den Vision-Kosten (Story-Engine, Studio/Auto-Edit, Räume/VR-AR)</t>
  </si>
  <si>
    <t xml:space="preserve">INVESTOR-MEMO §10.1 (500-T€-Fassung): Vision 100 T€ = WortBild 40 + Story-Engine 40 + Highlights/Räume 20 → 60 % nicht WortBild.</t>
  </si>
  <si>
    <t xml:space="preserve">Vision-Zusatzkosten J2 laut BP §11.5 (€)</t>
  </si>
  <si>
    <t xml:space="preserve">BP §11.5: Zusatzkosten 30 / 115 / 210 T€.</t>
  </si>
  <si>
    <t xml:space="preserve">Vision-Zusatzkosten J3 laut BP §11.5 (€)</t>
  </si>
  <si>
    <t xml:space="preserve">BP §11.5.</t>
  </si>
  <si>
    <t xml:space="preserve">Ausbau-Team startet in Monat (nach Gate 2 / Folgerunde)</t>
  </si>
  <si>
    <t xml:space="preserve">Neu: Einstellungen über das schlanke Pre-Seed-Team hinaus erst nach Gate 2 (Monat 18).</t>
  </si>
  <si>
    <t xml:space="preserve">B. Szenarien (Nutzer, Conversion, Preise, Lizenzen, Kosten J3–J5)</t>
  </si>
  <si>
    <t xml:space="preserve">Annahme</t>
  </si>
  <si>
    <t xml:space="preserve">Einheit</t>
  </si>
  <si>
    <t xml:space="preserve">Konservativ</t>
  </si>
  <si>
    <t xml:space="preserve">Basis</t>
  </si>
  <si>
    <t xml:space="preserve">Optimistisch</t>
  </si>
  <si>
    <t xml:space="preserve">Quelle / Begründung</t>
  </si>
  <si>
    <t xml:space="preserve">Registrierte Nutzer Ende J1</t>
  </si>
  <si>
    <t xml:space="preserve">Nutzer</t>
  </si>
  <si>
    <t xml:space="preserve">BP §11.1</t>
  </si>
  <si>
    <t xml:space="preserve">Registrierte Nutzer Ende J2</t>
  </si>
  <si>
    <t xml:space="preserve">Registrierte Nutzer Ende J3</t>
  </si>
  <si>
    <t xml:space="preserve">BP §11.1 (SOM J3: 5.000–15.000 Zahlende, BP §6)</t>
  </si>
  <si>
    <t xml:space="preserve">Nutzerwachstum J4 (ggü. J3)</t>
  </si>
  <si>
    <t xml:space="preserve">%</t>
  </si>
  <si>
    <t xml:space="preserve">Neu (Fortschreibung): Wachstum verlangsamt sich ggü. J2→J3 (×2,7 / ×3,1 / ×2,8).</t>
  </si>
  <si>
    <t xml:space="preserve">Nutzerwachstum J5 (ggü. J4)</t>
  </si>
  <si>
    <t xml:space="preserve">Neu (Fortschreibung): weitere Verlangsamung; Basis J5 = 675.000 Nutzer ≈ 23–68 % des SAM (1–3 Mio., BP §6).</t>
  </si>
  <si>
    <t xml:space="preserve">Conversion Free → Pro J1–J3</t>
  </si>
  <si>
    <t xml:space="preserve">Conversion Free → Pro J4</t>
  </si>
  <si>
    <t xml:space="preserve">Neu: +0,25 Pkt./Jahr in Basis/Optimistisch (Pro+, Packs, Bindung); konservativ konstant.</t>
  </si>
  <si>
    <t xml:space="preserve">Conversion Free → Pro J5</t>
  </si>
  <si>
    <t xml:space="preserve">Neu: wie oben.</t>
  </si>
  <si>
    <t xml:space="preserve">ARPU Pro (netto, Mix Monat/Jahr)</t>
  </si>
  <si>
    <t xml:space="preserve">€/Monat</t>
  </si>
  <si>
    <t xml:space="preserve">BP §11.1 (9,99 €/Monat bzw. 79 €/Jahr, netto)</t>
  </si>
  <si>
    <t xml:space="preserve">Pack-Käufe pro Jahr (Anteil der Nutzer × 1 Pack)</t>
  </si>
  <si>
    <t xml:space="preserve">Agentur-Lizenzen Ende J1</t>
  </si>
  <si>
    <t xml:space="preserve">Anzahl</t>
  </si>
  <si>
    <t xml:space="preserve">Agentur-Lizenzen Ende J2</t>
  </si>
  <si>
    <t xml:space="preserve">Agentur-Lizenzen Ende J3</t>
  </si>
  <si>
    <t xml:space="preserve">Agentur-Lizenzen Ende J4</t>
  </si>
  <si>
    <t xml:space="preserve">Neu (Fortschreibung)</t>
  </si>
  <si>
    <t xml:space="preserve">Agentur-Lizenzen Ende J5</t>
  </si>
  <si>
    <t xml:space="preserve">B2B-Pilot/Lizenz J1</t>
  </si>
  <si>
    <t xml:space="preserve">€</t>
  </si>
  <si>
    <t xml:space="preserve">B2B-Pilot/Lizenz J2</t>
  </si>
  <si>
    <t xml:space="preserve">B2B-Pilot/Lizenz J3</t>
  </si>
  <si>
    <t xml:space="preserve">B2B-Lizenz J4</t>
  </si>
  <si>
    <t xml:space="preserve">Neu (Fortschreibung): 2. Lizenzjahr bzw. 2. Partner</t>
  </si>
  <si>
    <t xml:space="preserve">B2B-Lizenz J5</t>
  </si>
  <si>
    <t xml:space="preserve">Kosten J3 (nach Folgerunde, wie Plan)</t>
  </si>
  <si>
    <t xml:space="preserve">BP §11.3 (Basis 710) und Text darunter (konservativ ≈ 330, optimistisch ≈ 1.100)</t>
  </si>
  <si>
    <t xml:space="preserve">Kostenwachstum J4</t>
  </si>
  <si>
    <t xml:space="preserve">Neu (Fortschreibung): Team- und Marketingaufbau</t>
  </si>
  <si>
    <t xml:space="preserve">Kostenwachstum J5</t>
  </si>
  <si>
    <t xml:space="preserve">Referenz: Plan-Kosten J1 (BP 500-T€-Fassung)</t>
  </si>
  <si>
    <t xml:space="preserve">BP §11.3 – nur Vergleich, wird im Modell ersetzt</t>
  </si>
  <si>
    <t xml:space="preserve">Referenz: Plan-Kosten J2 (BP 500-T€-Fassung)</t>
  </si>
  <si>
    <t xml:space="preserve">BP §11.3 – Grundlage für den Ausbau ab Monat 19</t>
  </si>
  <si>
    <t xml:space="preserve">Ausbau-Faktor ab Monat 19 (Plan-Kosten J2 Szenario ÷ Basis)</t>
  </si>
  <si>
    <t xml:space="preserve">Faktor</t>
  </si>
  <si>
    <t xml:space="preserve">Formel: Ausbau-Kosten je Szenario skaliert wie die Plan-Kosten J2 (230 / 398 / 520 T€).</t>
  </si>
  <si>
    <t xml:space="preserve">C. Kostenlinien Pre-Seed (Monat 1–18) – Vorschlag, schlanker Aufbau mit 250.000 €</t>
  </si>
  <si>
    <t xml:space="preserve">Kostenlinie</t>
  </si>
  <si>
    <t xml:space="preserve">Budgetbereich</t>
  </si>
  <si>
    <t xml:space="preserve">von Monat</t>
  </si>
  <si>
    <t xml:space="preserve">bis Monat</t>
  </si>
  <si>
    <t xml:space="preserve">Einmalbetrag €</t>
  </si>
  <si>
    <t xml:space="preserve">im Monat</t>
  </si>
  <si>
    <t xml:space="preserve">Summe M1–18</t>
  </si>
  <si>
    <t xml:space="preserve">Inhalt / Begründung / ersetzt Planzeile</t>
  </si>
  <si>
    <t xml:space="preserve">Mobile-/Web-Entwickler:in (Vollzeit, ab Monat 3)</t>
  </si>
  <si>
    <t xml:space="preserve">Team/Produkt</t>
  </si>
  <si>
    <t xml:space="preserve">Erste Einstellung (BP §12). 66 T€/Jahr Vollkosten statt 75 T€ J1 / 160 T€ J2 (BP §11.3: 1 statt 2 Entwickler:innen in J2).</t>
  </si>
  <si>
    <t xml:space="preserve">Gründergehalt (anteilig)</t>
  </si>
  <si>
    <t xml:space="preserve">BP §11.3: 30 T€ J1 / 48 T€ J2 → 24 T€/Jahr bis Monat 18.</t>
  </si>
  <si>
    <t xml:space="preserve">Entwicklungs-Tools, Testgeräte (iOS/Android)</t>
  </si>
  <si>
    <t xml:space="preserve">Einmalig.</t>
  </si>
  <si>
    <t xml:space="preserve">Creator-Programm, Community, Marketing – Phase 1 (TR-Launch)</t>
  </si>
  <si>
    <t xml:space="preserve">Markteintritt</t>
  </si>
  <si>
    <t xml:space="preserve">BP §10 Phase 1; BP §11.3 Marketing 25 T€ J1.</t>
  </si>
  <si>
    <t xml:space="preserve">Creator-Programm, Marketing, Marktplätze – Phase 2 (DE/EN, Partner)</t>
  </si>
  <si>
    <t xml:space="preserve">BP §10 Phase 2/3: Botschafter:innen, Pack-Drops, OBS/Streamlabs/Stream-Deck-Einträge.</t>
  </si>
  <si>
    <t xml:space="preserve">Plattform- oder Bildungspilot (8 Wochen, Material, Reisen)</t>
  </si>
  <si>
    <t xml:space="preserve">Einmalig in Monat 9 (BP §14.1: Plattform-Pilot Q3 2027).</t>
  </si>
  <si>
    <t xml:space="preserve">Vision-Linie WortBild (Sprachenlernen): Illustration, Sprecher-Audios DE/TR/EN, Didaktik, Kurs-Pilot</t>
  </si>
  <si>
    <t xml:space="preserve">WortBild</t>
  </si>
  <si>
    <t xml:space="preserve">Ersetzt Freelance Design/Sound (BP §11.3: 15 + 25 T€) und den WortBild-Anteil der Vision-Kosten (BP §11.5).</t>
  </si>
  <si>
    <t xml:space="preserve">Recht, Marke (DE/EU/TR), Datenschutz/DSFA, Jugendschutz, Steuerberatung</t>
  </si>
  <si>
    <t xml:space="preserve">Recht</t>
  </si>
  <si>
    <t xml:space="preserve">7 T€ einmalig (Marke, Beteiligungsvertrag) + 1 T€/Monat. BP §11.3: 12 + 20 T€.</t>
  </si>
  <si>
    <t xml:space="preserve">Summe verplante Pre-Seed-Kosten M1–18</t>
  </si>
  <si>
    <t xml:space="preserve">Laufende Kosten nach Monat 18 im Fall „ohne Umsatz“ (schlank weiter: Entwicklung, Gründer, Marketing Ph. 2, Recht)</t>
  </si>
  <si>
    <t xml:space="preserve">Annahme für die Runway ohne Umsatz: keine Neueinstellungen, Pre-Seed-Team läuft weiter.</t>
  </si>
  <si>
    <t xml:space="preserve">D. Ausbau-Team ab Monat 19 (nach Gate 2) – Basis = BP §11.3 J2 ÷ 12, andere Szenarien × Ausbau-Faktor</t>
  </si>
  <si>
    <t xml:space="preserve">Kostenlinie (BP §11.3)</t>
  </si>
  <si>
    <t xml:space="preserve">Kategorie</t>
  </si>
  <si>
    <t xml:space="preserve">Plan J2 €/Jahr</t>
  </si>
  <si>
    <t xml:space="preserve">€/Monat ab M19</t>
  </si>
  <si>
    <t xml:space="preserve">Hinweis</t>
  </si>
  <si>
    <t xml:space="preserve">Personal: Mobile-/Web-Entwicklung (2 Personen)</t>
  </si>
  <si>
    <t xml:space="preserve">Mobile/Web</t>
  </si>
  <si>
    <t xml:space="preserve">Personal: Backend/ML, Community/Support</t>
  </si>
  <si>
    <t xml:space="preserve">Backend/Community</t>
  </si>
  <si>
    <t xml:space="preserve">Gründer (Gehalt)</t>
  </si>
  <si>
    <t xml:space="preserve">Gründer</t>
  </si>
  <si>
    <t xml:space="preserve">Freelance Design, Sound, Illustration (Packs, WortBild)</t>
  </si>
  <si>
    <t xml:space="preserve">Freelance/WortBild</t>
  </si>
  <si>
    <t xml:space="preserve">Marketing, Creator-Partnerprogramm, Events</t>
  </si>
  <si>
    <t xml:space="preserve">Marketing</t>
  </si>
  <si>
    <t xml:space="preserve">Recht, Marke, Steuer, Verwaltung</t>
  </si>
  <si>
    <t xml:space="preserve">Summe Ausbau Basis €/Monat (ohne Infrastruktur)</t>
  </si>
  <si>
    <t xml:space="preserve">Infrastruktur läuft separat (fix + % vom Umsatz). Plan J2 gesamt 398 T€ = 373 T€ + Infrastruktur 25 T€.</t>
  </si>
  <si>
    <t xml:space="preserve">E. Referenz: Plan-Werte BP §11.2 / §11.4 (T€, 500-T€-Fassung) – nur zum Abgleich</t>
  </si>
  <si>
    <t xml:space="preserve">Zeile</t>
  </si>
  <si>
    <t xml:space="preserve">Szenario</t>
  </si>
  <si>
    <t xml:space="preserve">J1</t>
  </si>
  <si>
    <t xml:space="preserve">J2</t>
  </si>
  <si>
    <t xml:space="preserve">J3</t>
  </si>
  <si>
    <t xml:space="preserve">Umsatz gesamt (Plan)</t>
  </si>
  <si>
    <t xml:space="preserve">davon Agentur-Lizenz (Plan)</t>
  </si>
  <si>
    <t xml:space="preserve">Inkonsistent: 8 × 49 € × 12 = 4,7 T€ und 25 × 49 € × 12 = 14,7 T€ – Modell rechnet mit der Formel (korrigiert).</t>
  </si>
  <si>
    <t xml:space="preserve">Ergebnis (Plan)</t>
  </si>
  <si>
    <t xml:space="preserve">F. Geänderte Annahmen gegenüber BUSINESSPLAN.md (500-T€-Fassung) – dokumentiert</t>
  </si>
  <si>
    <t xml:space="preserve">1. Rundengröße 250.000 € statt 500.000 €; Mittelverwendung über 18 statt 24 Monate (Blatt Mittelverwendung).</t>
  </si>
  <si>
    <t xml:space="preserve">2. Kosten J1–J2 aus dem Monatsplan statt BP §11.3: Pre-Seed-Team (1 Entwickler:in ab M3, Gründergehalt 2 T€/Monat) bis M18; Ausbau-Team gemäß Plan J2 erst ab Monat 19 nach Gate 2 (Backend/ML, Community, 2. Entwickler:in).</t>
  </si>
  <si>
    <t xml:space="preserve">3. Freelance Design/Sound (BP §11.3) geht in der Linie WortBild auf (37,5 T€, M4–M15); Story-Engine, Auto-Edit/Studio und VR/AR wandern in die Folgerunde (60 % der Vision-Kosten BP §11.5 als Bedarf der Folgerunde).</t>
  </si>
  <si>
    <t xml:space="preserve">4. Recht/Marke/Datenschutz 25 T€ in 18 Monaten (Plan: 12 T€ J1 + 20 T€ J2).</t>
  </si>
  <si>
    <t xml:space="preserve">5. Infrastruktur als 250 €/Monat fix + 8 % vom Umsatz statt fester Jahreswerte (J1 ≈ 7 T€ statt 8 T€).</t>
  </si>
  <si>
    <t xml:space="preserve">6. Umsatz J1–J3 unverändert aus BP §11.1 berechnet; Korrektur Agentur-Zeile konservativ (J2 4,7 statt 4 T€, J3 14,7 statt 12 T€); übrige Abweichungen ≤ 1 T€ sind Rundung. Vision-Erlöse (BP §11.5) bleiben – wie im Plan – außerhalb des Ergebnisses.</t>
  </si>
  <si>
    <t xml:space="preserve">7. J4–J5 neu fortgeschrieben (Nutzerwachstum, Conversion, Agenturen, B2B, Kostenwachstum – Abschnitt B).</t>
  </si>
  <si>
    <t xml:space="preserve">8. Monatlicher Umsatzverlauf: J1 linear ab null (Summe = Jahreswert), J2 linear ab dem Dezember-Niveau J1 (Summe = Jahreswert); B2B als Einmalzahlung im Monat laut Abschnitt A.</t>
  </si>
  <si>
    <t xml:space="preserve">GuV 5 Jahre (EBITDA-Sicht) – drei Szenarien</t>
  </si>
  <si>
    <t xml:space="preserve">Alle Werte sind Schätzungen auf Basis von BUSINESSPLAN.md §11 – es gibt noch keine Umsätze. Mittelverwendung, Gates und Bewertung: Vorschlag – mit Steuer-/Rechtsberater prüfen. J1–J3 aus BP §11.1, Kosten J1–J2 aus dem Monatsplan (250-T€-Runde), J4–J5 fortgeschrieben.</t>
  </si>
  <si>
    <t xml:space="preserve">Szenario Konservativ</t>
  </si>
  <si>
    <t xml:space="preserve">Position</t>
  </si>
  <si>
    <t xml:space="preserve">J1 2027</t>
  </si>
  <si>
    <t xml:space="preserve">J2 2028</t>
  </si>
  <si>
    <t xml:space="preserve">J3 2029</t>
  </si>
  <si>
    <t xml:space="preserve">J4 2030</t>
  </si>
  <si>
    <t xml:space="preserve">J5 2031</t>
  </si>
  <si>
    <t xml:space="preserve">Herleitung</t>
  </si>
  <si>
    <t xml:space="preserve">Registrierte Nutzer (Jahresende)</t>
  </si>
  <si>
    <t xml:space="preserve">J1–J3 BP §11.1; J4–J5 = Vorjahr × (1 + Wachstum)</t>
  </si>
  <si>
    <t xml:space="preserve">Conversion Free → Pro</t>
  </si>
  <si>
    <t xml:space="preserve">Zahlende Pro-Nutzer (Jahresende)</t>
  </si>
  <si>
    <t xml:space="preserve">Abos</t>
  </si>
  <si>
    <t xml:space="preserve">Zahlende Pro-Nutzer (Jahresdurchschnitt)</t>
  </si>
  <si>
    <t xml:space="preserve">BP §11.1: 50 % des Jahresendwerts in J1, 75 % ab J2</t>
  </si>
  <si>
    <t xml:space="preserve">Umsatz Pro-Abo</t>
  </si>
  <si>
    <t xml:space="preserve">Umsatz Creator-Packs</t>
  </si>
  <si>
    <t xml:space="preserve">Umsatz Agentur-Lizenz</t>
  </si>
  <si>
    <t xml:space="preserve">Jahresendbestand × 49 € × 12 (Methode des Plans)</t>
  </si>
  <si>
    <t xml:space="preserve">Zwischensumme wiederkehrender Umsatz</t>
  </si>
  <si>
    <t xml:space="preserve">Umsatz B2B / Pilot</t>
  </si>
  <si>
    <t xml:space="preserve">Umsatz gesamt</t>
  </si>
  <si>
    <t xml:space="preserve">Kosten gesamt (operativ)</t>
  </si>
  <si>
    <t xml:space="preserve">J1–J2 = Summe Monatsplan (Liquidität 24M); J3 = BP §11.3; J4–J5 = Vorjahr × (1 + Kostenwachstum)</t>
  </si>
  <si>
    <t xml:space="preserve">EBITDA (Ergebnis)</t>
  </si>
  <si>
    <t xml:space="preserve">EBITDA-Marge</t>
  </si>
  <si>
    <t xml:space="preserve">Kumuliertes Ergebnis</t>
  </si>
  <si>
    <t xml:space="preserve">Kasse Jahresende (250 T€ Start, ohne Folgerunde)</t>
  </si>
  <si>
    <t xml:space="preserve">J1/J2 aus dem Monatsplan (Monat 12/24); ab J3 Vorjahr + EBITDA (vereinfacht, ohne Steuern/Working Capital)</t>
  </si>
  <si>
    <t xml:space="preserve">Referenz: Umsatz laut Plan BP §11.2 (T€)</t>
  </si>
  <si>
    <t xml:space="preserve">Abweichung Modell − Plan beim Umsatz (T€)</t>
  </si>
  <si>
    <t xml:space="preserve">Rundung; konservativ J2/J3: Korrektur der Agentur-Zeile (siehe Annahmen F)</t>
  </si>
  <si>
    <t xml:space="preserve">Referenz: Ergebnis laut Plan BP §11.4 (T€, 500-T€-Kostenbasis)</t>
  </si>
  <si>
    <t xml:space="preserve">Szenario Basis</t>
  </si>
  <si>
    <t xml:space="preserve">Szenario Optimistisch</t>
  </si>
  <si>
    <t xml:space="preserve">Memo: Vision-Linie WortBild – Erlöse laut BP §11.5 (Basis, NICHT im Ergebnis enthalten)</t>
  </si>
  <si>
    <t xml:space="preserve">Quelle</t>
  </si>
  <si>
    <t xml:space="preserve">WortBild Familie (Ø 0 / 500 / 2.000 Abos × 4,25 € × 12)</t>
  </si>
  <si>
    <t xml:space="preserve">BP §11.5 (Schätzung)</t>
  </si>
  <si>
    <t xml:space="preserve">Schullizenzen (5 / 40 / 150 Schulen × Ø 500 €)</t>
  </si>
  <si>
    <t xml:space="preserve">Kurslizenzen (0 / 200 / 800 Lehrkräfte × 49 €)</t>
  </si>
  <si>
    <t xml:space="preserve">Summe WortBild-Erlöse (Option, Upside)</t>
  </si>
  <si>
    <t xml:space="preserve">Mittelverwendung 250.000 € über 18 Monate (Vorschlag)</t>
  </si>
  <si>
    <t xml:space="preserve">Vorschlag – mit Steuer-/Rechtsberater prüfen. Story-Engine, Auto-Edit/Studio und VR/AR werden aus der Folgerunde finanziert.</t>
  </si>
  <si>
    <t xml:space="preserve">Bereich</t>
  </si>
  <si>
    <t xml:space="preserve">Anteil</t>
  </si>
  <si>
    <t xml:space="preserve">Betrag</t>
  </si>
  <si>
    <t xml:space="preserve">Verplant M1–18 (Monatsplan)</t>
  </si>
  <si>
    <t xml:space="preserve">Differenz</t>
  </si>
  <si>
    <t xml:space="preserve">€/Monat Ø</t>
  </si>
  <si>
    <t xml:space="preserve">Inhalt</t>
  </si>
  <si>
    <t xml:space="preserve">Team/Produkt: Mobile-/Web-Entwickler:in, Gründergehalt anteilig, Testgeräte</t>
  </si>
  <si>
    <t xml:space="preserve">Entwickler:in ab Monat 3 (16 × 5.500 € = 88 T€), Gründer 18 × 2.000 € = 36 T€, Testgeräte 1 T€; Ziel: Pro-Abo, Mobile-App/PWA, Stabilität v2.1</t>
  </si>
  <si>
    <t xml:space="preserve">Markteintritt: Creator-Programm, Community, Plattform- und Bildungspiloten</t>
  </si>
  <si>
    <t xml:space="preserve">TR-Launch, 10–20 Botschafter:innen, Pack-Drops, Marktplatz-Einträge, DE/EN-Launch, 1 Plattform- oder Bildungspilot</t>
  </si>
  <si>
    <t xml:space="preserve">Erste Vision-Linie WortBild (Sprachenlernen)</t>
  </si>
  <si>
    <t xml:space="preserve">300 Wörter, Lesehilfe, Sprecher-Audios DE/TR/EN, Didaktik-Prüfung, Kurs-/Klassen-Pilot (M4–M15)</t>
  </si>
  <si>
    <t xml:space="preserve">Recht, Marke, Datenschutz</t>
  </si>
  <si>
    <t xml:space="preserve">Marke LiveFX DE/EU/TR, Beteiligungsvertrag, DSGVO/DSFA Schul-/Familienprofil, Jugendschutz, Steuerberatung</t>
  </si>
  <si>
    <t xml:space="preserve">Reserve</t>
  </si>
  <si>
    <t xml:space="preserve">Nicht verplant: Verzögerungen bei Einstellung, Store-/Plattform-Freigaben; deckt Infrastruktur-Fixkosten im Fall ohne Umsatz</t>
  </si>
  <si>
    <t xml:space="preserve">Summe</t>
  </si>
  <si>
    <t xml:space="preserve">Prüfung: Summe Anteile = 100 % und Betrag = Startkasse</t>
  </si>
  <si>
    <t xml:space="preserve">Verschoben in die Folgerunde (nicht aus den 250.000 € finanziert)</t>
  </si>
  <si>
    <t xml:space="preserve">• Story-Engine / Erzählfilm (Linie A): Scene-Director, Figuren, Welten-Packs TR/EN</t>
  </si>
  <si>
    <t xml:space="preserve">• Studio / Auto-Edit (Linie D): Highlights, Datei-Import, MP4-Export, Pro+</t>
  </si>
  <si>
    <t xml:space="preserve">• Räume / VR-AR (Linie C): Bühnen-/Klassenzimmer-Preset, WebXR, Brille</t>
  </si>
  <si>
    <t xml:space="preserve">• Backend/ML-Entwickler:in (Streaming-ASR &lt; 300 ms), Community/Support, 2. Entwickler:in – ab Monat 19 nach Gate 2</t>
  </si>
  <si>
    <t xml:space="preserve">Kostenabgleich Basis: Plan BP §11.3 (500-T€-Fassung) vs. Modell (250-T€-Runde)</t>
  </si>
  <si>
    <t xml:space="preserve">Planzeile BP §11.3</t>
  </si>
  <si>
    <t xml:space="preserve">Plan J1</t>
  </si>
  <si>
    <t xml:space="preserve">Modell J1</t>
  </si>
  <si>
    <t xml:space="preserve">Plan J2</t>
  </si>
  <si>
    <t xml:space="preserve">Modell J2</t>
  </si>
  <si>
    <t xml:space="preserve">Was ändert sich</t>
  </si>
  <si>
    <t xml:space="preserve">Personal: Mobile-/Web-Entwicklung</t>
  </si>
  <si>
    <t xml:space="preserve">1 Entwickler:in ab M3 statt sofort; 2. Person erst ab M19</t>
  </si>
  <si>
    <t xml:space="preserve">erst ab M19 (statt ganz J2)</t>
  </si>
  <si>
    <t xml:space="preserve">2.000 €/Monat bis M18, danach Plan</t>
  </si>
  <si>
    <t xml:space="preserve">Freelance Design, Sound, Illustration → WortBild</t>
  </si>
  <si>
    <t xml:space="preserve">WortBild 37,5 T€ (M4–M15) statt Freelance-Pauschale</t>
  </si>
  <si>
    <t xml:space="preserve">Marketing, Creator-Programm, Events, Piloten</t>
  </si>
  <si>
    <t xml:space="preserve">50 T€ in 18 Monaten inkl. 1 Pilot</t>
  </si>
  <si>
    <t xml:space="preserve">Infrastruktur, KI-API, Store-Gebühren</t>
  </si>
  <si>
    <t xml:space="preserve">fix 250 €/Monat + 8 % vom Umsatz</t>
  </si>
  <si>
    <t xml:space="preserve">25 T€ in 18 Monaten (Marke DE/EU/TR, DSFA)</t>
  </si>
  <si>
    <t xml:space="preserve">Summe Kosten Basis</t>
  </si>
  <si>
    <t xml:space="preserve">Kontrolle: = Kosten Basis in der GuV (J1 / J2)</t>
  </si>
  <si>
    <t xml:space="preserve">Liquidität monatlich, 24 Monate – Startkasse 250.000 € (Closing Jan 2027)</t>
  </si>
  <si>
    <t xml:space="preserve">Kennzahlen (Ziele/Schätzungen) – Runway, Kasse, Break-even, Folgerunde</t>
  </si>
  <si>
    <t xml:space="preserve">Kennzahl</t>
  </si>
  <si>
    <t xml:space="preserve">Ohne Umsatz</t>
  </si>
  <si>
    <t xml:space="preserve">Formel / Lesart</t>
  </si>
  <si>
    <t xml:space="preserve">Kasse Ende Monat 6</t>
  </si>
  <si>
    <t xml:space="preserve">INDEX in die Kassenzeile</t>
  </si>
  <si>
    <t xml:space="preserve">Kasse Ende Monat 12</t>
  </si>
  <si>
    <t xml:space="preserve">Kasse Ende Monat 18</t>
  </si>
  <si>
    <t xml:space="preserve">Kasse Ende Monat 24</t>
  </si>
  <si>
    <t xml:space="preserve">Niedrigster Kassenstand M1–24</t>
  </si>
  <si>
    <t xml:space="preserve">Monat des niedrigsten Kassenstands</t>
  </si>
  <si>
    <t xml:space="preserve">Monat</t>
  </si>
  <si>
    <t xml:space="preserve">Cash-out-Monat (erster Monat mit Kasse &lt; 0)</t>
  </si>
  <si>
    <t xml:space="preserve">Text = Kasse bleibt bis Monat 24 positiv</t>
  </si>
  <si>
    <t xml:space="preserve">Runway in Monaten (bis Kasse &lt; 0)</t>
  </si>
  <si>
    <t xml:space="preserve">Monate</t>
  </si>
  <si>
    <t xml:space="preserve">Monate mit positiver Kasse</t>
  </si>
  <si>
    <t xml:space="preserve">Nachhaltiger Break-even (ab diesem Monat Umsatz ≥ Kosten bis M24)</t>
  </si>
  <si>
    <t xml:space="preserve">operativer Monats-Break-even inkl. Ausbau-Team ab M19</t>
  </si>
  <si>
    <t xml:space="preserve">Ø Kosten pro Monat M1–18 (Burn ohne Umsatz)</t>
  </si>
  <si>
    <t xml:space="preserve">Kasse fällt unter Mindestkasse (3 laufende Monatskosten) in Monat</t>
  </si>
  <si>
    <t xml:space="preserve">Kasse Ende J3 ohne Folgerunde (Kasse M24 + EBITDA J3)</t>
  </si>
  <si>
    <t xml:space="preserve">Mindestkasse = 3 Monatskosten J3</t>
  </si>
  <si>
    <t xml:space="preserve">Liquiditätslücke bis Ende J3 = MAX(0; Mindestkasse − niedrigster Stand)</t>
  </si>
  <si>
    <t xml:space="preserve">Nachgelagerte Linien (Story-Engine, Studio/Auto-Edit, VR/AR) ab M19 bis Ende J3</t>
  </si>
  <si>
    <t xml:space="preserve">60 % der Vision-Kosten BP §11.5 (½ J2 + J3)</t>
  </si>
  <si>
    <t xml:space="preserve">Folgerunde (Seed) – Mindestbedarf</t>
  </si>
  <si>
    <t xml:space="preserve">Folgerunde spätestens abschließen bis Monat (Gate 2 = Monat 18)</t>
  </si>
  <si>
    <t xml:space="preserve">frühestens wenn Gate 2 erfüllt; Gespräche ab Monat 12–15 beginnen</t>
  </si>
  <si>
    <t xml:space="preserve">Seed-Richtwert für die Planung (deckt das konservative Szenario, auf 50 T€ gerundet)</t>
  </si>
  <si>
    <t xml:space="preserve">Summe J1</t>
  </si>
  <si>
    <t xml:space="preserve">Summe J2</t>
  </si>
  <si>
    <t xml:space="preserve">Kalendermonat</t>
  </si>
  <si>
    <t xml:space="preserve">01/2027</t>
  </si>
  <si>
    <t xml:space="preserve">02/2027</t>
  </si>
  <si>
    <t xml:space="preserve">03/2027</t>
  </si>
  <si>
    <t xml:space="preserve">04/2027</t>
  </si>
  <si>
    <t xml:space="preserve">05/2027</t>
  </si>
  <si>
    <t xml:space="preserve">06/2027</t>
  </si>
  <si>
    <t xml:space="preserve">07/2027</t>
  </si>
  <si>
    <t xml:space="preserve">08/2027</t>
  </si>
  <si>
    <t xml:space="preserve">09/2027</t>
  </si>
  <si>
    <t xml:space="preserve">10/2027</t>
  </si>
  <si>
    <t xml:space="preserve">11/2027</t>
  </si>
  <si>
    <t xml:space="preserve">12/2027</t>
  </si>
  <si>
    <t xml:space="preserve">01/2028</t>
  </si>
  <si>
    <t xml:space="preserve">02/2028</t>
  </si>
  <si>
    <t xml:space="preserve">03/2028</t>
  </si>
  <si>
    <t xml:space="preserve">04/2028</t>
  </si>
  <si>
    <t xml:space="preserve">05/2028</t>
  </si>
  <si>
    <t xml:space="preserve">06/2028</t>
  </si>
  <si>
    <t xml:space="preserve">07/2028</t>
  </si>
  <si>
    <t xml:space="preserve">08/2028</t>
  </si>
  <si>
    <t xml:space="preserve">09/2028</t>
  </si>
  <si>
    <t xml:space="preserve">10/2028</t>
  </si>
  <si>
    <t xml:space="preserve">11/2028</t>
  </si>
  <si>
    <t xml:space="preserve">12/2028</t>
  </si>
  <si>
    <t xml:space="preserve">Kosten Pre-Seed (Monat 1–18, in allen Szenarien gleich) – aus Annahmen C</t>
  </si>
  <si>
    <t xml:space="preserve">Summe Pre-Seed-Kosten</t>
  </si>
  <si>
    <t xml:space="preserve">Ausbau-Team ab Monat 19 (Basis; Szenarien × Ausbau-Faktor) – aus Annahmen D</t>
  </si>
  <si>
    <t xml:space="preserve">Summe Ausbau (Basis)</t>
  </si>
  <si>
    <t xml:space="preserve">Weiterbetrieb schlank ab Monat 19 (nur Fall „ohne Umsatz“)</t>
  </si>
  <si>
    <t xml:space="preserve">Wiederkehrender Umsatz J1 (Pro + Packs + Agentur), Jahr</t>
  </si>
  <si>
    <t xml:space="preserve">Wiederkehrender Umsatz J2, Jahr</t>
  </si>
  <si>
    <t xml:space="preserve">Startniveau J2 = Dezember-Umsatz J1 (€/Monat)</t>
  </si>
  <si>
    <t xml:space="preserve">J1: Monat m = Jahreswert × (m − 0,5) ÷ 72 (linear ab null, Summe = Jahreswert)</t>
  </si>
  <si>
    <t xml:space="preserve">Monatlicher Zuwachs J2 (€/Monat)</t>
  </si>
  <si>
    <t xml:space="preserve">J2: Monat m = s + g × (m − 12); g so gewählt, dass die Summe J2 dem Jahreswert entspricht</t>
  </si>
  <si>
    <t xml:space="preserve">B2B J1 (Einmalzahlung)</t>
  </si>
  <si>
    <t xml:space="preserve">B2B J2 (Einmalzahlung)</t>
  </si>
  <si>
    <t xml:space="preserve">Umsatz wiederkehrend (Pro, Packs, Agentur)</t>
  </si>
  <si>
    <t xml:space="preserve">Umsatz B2B/Pilot (Einmalzahlung)</t>
  </si>
  <si>
    <t xml:space="preserve">Kosten Pre-Seed-Team und -Budget</t>
  </si>
  <si>
    <t xml:space="preserve">Kosten Ausbau-Team (ab M19)</t>
  </si>
  <si>
    <t xml:space="preserve">Infrastruktur (fix + % vom Umsatz)</t>
  </si>
  <si>
    <t xml:space="preserve">Kosten gesamt</t>
  </si>
  <si>
    <t xml:space="preserve">Netto-Cashflow</t>
  </si>
  <si>
    <t xml:space="preserve">Kasse Monatsende</t>
  </si>
  <si>
    <t xml:space="preserve">Hilfszeile: Kasse &lt; 0 (1 = ja)</t>
  </si>
  <si>
    <t xml:space="preserve">Hilfszeile: Umsatz ≥ Kosten</t>
  </si>
  <si>
    <t xml:space="preserve">Hilfszeile: Umsatz ≥ Kosten ab hier bis M24</t>
  </si>
  <si>
    <t xml:space="preserve">Hilfszeile: Kasse &lt; Mindestkasse (3 Monatskosten)</t>
  </si>
  <si>
    <t xml:space="preserve">Fall „ohne jeden Umsatz“ (Runway-Test)</t>
  </si>
  <si>
    <t xml:space="preserve">Kosten (Pre-Seed bis M18, danach schlank, Infrastruktur fix)</t>
  </si>
  <si>
    <t xml:space="preserve">Kasse Monatsende (ohne Umsatz)</t>
  </si>
  <si>
    <t xml:space="preserve">Hilfszeile: Kasse &lt; 0</t>
  </si>
  <si>
    <t xml:space="preserve">Gates / Meilensteine für 18 Monate – alle Werte sind ZIELE (Basis), Schwelle = konservativ</t>
  </si>
  <si>
    <t xml:space="preserve">Vorschlag – mit Investor:innen abstimmen. Nutzer/Pro-Ziele aus dem Modell: J1 linear auf den Jahresendwert, J2 linear zwischen den Jahresendwerten.</t>
  </si>
  <si>
    <t xml:space="preserve">Gate</t>
  </si>
  <si>
    <t xml:space="preserve">Thema</t>
  </si>
  <si>
    <t xml:space="preserve">KPI</t>
  </si>
  <si>
    <t xml:space="preserve">Ziel Basis</t>
  </si>
  <si>
    <t xml:space="preserve">Schwelle (kons.)</t>
  </si>
  <si>
    <t xml:space="preserve">Status</t>
  </si>
  <si>
    <t xml:space="preserve">Gibt frei</t>
  </si>
  <si>
    <t xml:space="preserve">G0</t>
  </si>
  <si>
    <t xml:space="preserve">Start</t>
  </si>
  <si>
    <t xml:space="preserve">Pro-Abo live (Zahlung), Mobile-/Web-Entwickler:in an Bord</t>
  </si>
  <si>
    <t xml:space="preserve">Ziel (nicht erreicht)</t>
  </si>
  <si>
    <t xml:space="preserve">Budget Markteintritt Phase 2</t>
  </si>
  <si>
    <t xml:space="preserve">G1</t>
  </si>
  <si>
    <t xml:space="preserve">Aktivierung</t>
  </si>
  <si>
    <t xml:space="preserve">Registrierte Nutzer</t>
  </si>
  <si>
    <t xml:space="preserve">Mobile-App/PWA-Release</t>
  </si>
  <si>
    <t xml:space="preserve">Zahlende Pro-Nutzer</t>
  </si>
  <si>
    <t xml:space="preserve">20 Beta-Creator TR/DE aktiv, 10–20 Botschafter:innen; WortBild mit 300 Wörtern</t>
  </si>
  <si>
    <t xml:space="preserve">Woche-4-Retention aktiver Streamer ≥ 30 % (Ziel, erste Kohorten)</t>
  </si>
  <si>
    <t xml:space="preserve">G2a</t>
  </si>
  <si>
    <t xml:space="preserve">Traktion</t>
  </si>
  <si>
    <t xml:space="preserve">DE/EN-Ausbau, Plattform-Gespräche</t>
  </si>
  <si>
    <t xml:space="preserve">Zahlende Pro-Nutzer (Jahresende J1, BP §11.1)</t>
  </si>
  <si>
    <t xml:space="preserve">Wiederkehrender Umsatz im Monat 12 (MRR, €)</t>
  </si>
  <si>
    <t xml:space="preserve">1 Plattform- oder Bildungspilot gestartet; WortBild-Pilot in ≥ 3 Kursen/Klassen</t>
  </si>
  <si>
    <t xml:space="preserve">G2</t>
  </si>
  <si>
    <t xml:space="preserve">Folgerunde</t>
  </si>
  <si>
    <t xml:space="preserve">Seed-Runde, Ausbau-Team ab M19, Story-Engine/Studio</t>
  </si>
  <si>
    <t xml:space="preserve">Wiederkehrender Umsatz im Monat 18 (MRR, €)</t>
  </si>
  <si>
    <t xml:space="preserve">Monat-3-Retention Pro ≥ 75 %; Conversion Free → Pro ≥ 3 % (Schwelle) / 4 % (Ziel)</t>
  </si>
  <si>
    <t xml:space="preserve">WortBild-Pilot ausgewertet; ≥ 5 zahlende Schulen oder Kurse (BP §11.5)</t>
  </si>
  <si>
    <t xml:space="preserve">Lesart: Gate erfüllt, wenn mindestens die Schwelle (konservatives Szenario) erreicht ist; das Ziel ist das Basis-Szenario.</t>
  </si>
  <si>
    <t xml:space="preserve">Bewertung Pre-Seed – Referenzmethoden (Investorensicht) und Angebot der Gründer (Vorschlag – mit Steuer-/Rechtsberater prüfen)</t>
  </si>
  <si>
    <t xml:space="preserve">Alle Eingaben blau; Quellen in Spalte G. „Gründer-Sicht“ = bewusst großzügig gerechnet, jede Annahme belegt und als Gründer-Annahme gekennzeichnet; „konservativ“ = frühere Investorensicht zum Vergleich. Keine Umsätze, Produkt v2.1.</t>
  </si>
  <si>
    <t xml:space="preserve">Teil A (1–5): Referenzmethoden (Investorensicht) – Berkus, Scorecard, VC-Methode, Risk Factor Summation. Teil B (6–10): Angebot der Gründer, Verhandlungsspanne, 10×-Prüfung, Begründung, Wandeldarlehen/SAFE. $→€ jeweils 1:1 (Annahme).</t>
  </si>
  <si>
    <t xml:space="preserve">1. Referenzmethode (Investorensicht): Berkus – Gründer-Sicht und konservativ</t>
  </si>
  <si>
    <t xml:space="preserve">Max. € je Faktor – Gründer-Sicht (moderne „moderate 2×“-Variante)</t>
  </si>
  <si>
    <t xml:space="preserve">Gründer-Annahme: moderne Berkus-Anpassung „moderat (2×)“ mit 0–1 Mio. $ je Faktor, max. 5 Mio. $ (valu.vc 2026; icanpitch 2026). Begründung: Berkus zuletzt 2016 aktualisiert, Seed-Bewertungen seitdem deutlich gestiegen.</t>
  </si>
  <si>
    <t xml:space="preserve">Max. € je Faktor – konservativ (klassisch, Dave Berkus)</t>
  </si>
  <si>
    <t xml:space="preserve">Original-Methode: bis 0,5 Mio. $ je Faktor, max. 2,5 Mio. $ (berkus.com).</t>
  </si>
  <si>
    <t xml:space="preserve">Score Gründer (0–1)</t>
  </si>
  <si>
    <t xml:space="preserve">Wert Gründer €</t>
  </si>
  <si>
    <t xml:space="preserve">Score konservativ</t>
  </si>
  <si>
    <t xml:space="preserve">Wert konservativ €</t>
  </si>
  <si>
    <t xml:space="preserve">Begründung (Gründer-Sicht · konservativ)</t>
  </si>
  <si>
    <t xml:space="preserve">Idee / Grundwert (Problem, Markt)</t>
  </si>
  <si>
    <t xml:space="preserve">Hoch: neuer Auslöser Stimme → Effekt, großer Markt (BP §6) · konservativ: Zahlungsbereitschaft unbewiesen.</t>
  </si>
  <si>
    <t xml:space="preserve">Prototyp / Produkt (Technologierisiko)</t>
  </si>
  <si>
    <t xml:space="preserve">Hoch: v2.1 funktionsfähig und getestet (575+ automatisierte Tests, e2e-Suite), 238 Trigger + 143 freie Sticker, Leistungsmodus, sichere GIF-Suche, im Einsatz in eigenen Streams · nicht 1,0: noch keine zahlenden Nutzer.</t>
  </si>
  <si>
    <t xml:space="preserve">Team (Umsetzungsqualität)</t>
  </si>
  <si>
    <t xml:space="preserve">Mittel: Gründer hat Produkt allein bis v2.1 gebaut + Investor Relations · konservativ: Solo-Gründer, Ein-Personen-Risiko (BP §13).</t>
  </si>
  <si>
    <t xml:space="preserve">Strategische Beziehungen</t>
  </si>
  <si>
    <t xml:space="preserve">Niedrig–mittel: eigene TR-Community, Gespräche mit Plattform-/Bildungspartnern geplant · keine Partnerschaft unterzeichnet.</t>
  </si>
  <si>
    <t xml:space="preserve">Produkteinführung / Umsatz</t>
  </si>
  <si>
    <t xml:space="preserve">Niedrig (beide Sichten): noch kein Umsatz; Pro-Abo ab Monat 3.</t>
  </si>
  <si>
    <t xml:space="preserve">Berkus-Wert (Pre-Money)</t>
  </si>
  <si>
    <t xml:space="preserve">2. Referenzmethode (Investorensicht): Scorecard (Payne) – Gründer-Sicht und konservativ</t>
  </si>
  <si>
    <t xml:space="preserve">Referenz-Pre-Money Pre-Seed – Gründer-Sicht</t>
  </si>
  <si>
    <t xml:space="preserve">Gründer-Annahme 2,5 Mio. €: im unteren Teil der DACH-Pre-Seed-Spanne 1,5–5 Mio. € (upxcale; Mitte wäre 3,25 Mio. €) und DE 1–5 Mio. € (capvisory; Mitte 3 Mio. €), deutlich unter dem Europa-Median 4,57 Mio. $ ≈ 4,2 Mio. € (Equidam Q1 2025).</t>
  </si>
  <si>
    <t xml:space="preserve">Referenz-Pre-Money Pre-Seed – konservativ (DACH/TR, Solo, pre-revenue)</t>
  </si>
  <si>
    <t xml:space="preserve">DE Pre-Seed typ. 0,5–1,5 Mio. € (upxcale); Türkiye niedriger → 1,5 Mio. € (Schätzung, frühere Investorensicht).</t>
  </si>
  <si>
    <t xml:space="preserve">Gewicht</t>
  </si>
  <si>
    <t xml:space="preserve">Vergleich Gründer (100 % = Referenz)</t>
  </si>
  <si>
    <t xml:space="preserve">Beitrag Gründer</t>
  </si>
  <si>
    <t xml:space="preserve">Vergleich konservativ</t>
  </si>
  <si>
    <t xml:space="preserve">Beitrag konservativ</t>
  </si>
  <si>
    <t xml:space="preserve">Team</t>
  </si>
  <si>
    <t xml:space="preserve">Durchschnitt: Produkt bis v2.1 allein gebaut, Streamer/Autor mit Community · konservativ: Solo, Hires offen</t>
  </si>
  <si>
    <t xml:space="preserve">Marktgröße / Chance</t>
  </si>
  <si>
    <t xml:space="preserve">Stark: Live-Streaming 97–157 Mrd. USD, SAM 1–3 Mio. Creator (BP §6) + Vision-Märkte A–D</t>
  </si>
  <si>
    <t xml:space="preserve">Produkt / Technologie</t>
  </si>
  <si>
    <t xml:space="preserve">Stark: ausgeliefertes v2.1 mit 575+ Tests und e2e-Suite, lokale Verarbeitung, geringe Grenzkosten</t>
  </si>
  <si>
    <t xml:space="preserve">Wettbewerbsumfeld</t>
  </si>
  <si>
    <t xml:space="preserve">Günstig: kein direkter Sprach-Trigger-Wettbewerber (Nische) · Risiko: Plattformen können nachbauen</t>
  </si>
  <si>
    <t xml:space="preserve">Marketing / Vertrieb / Partner</t>
  </si>
  <si>
    <t xml:space="preserve">Unter Durchschnitt: eigene Streams + TR-Community, noch keine Partner/Vertrieb</t>
  </si>
  <si>
    <t xml:space="preserve">Bedarf weiterer Finanzierung</t>
  </si>
  <si>
    <t xml:space="preserve">Neutral: schlanke Runde mit Gates; Folgerunde nötig (siehe Liquidität)</t>
  </si>
  <si>
    <t xml:space="preserve">Sonstiges (IP, Bildung, Datenschutz lokal)</t>
  </si>
  <si>
    <t xml:space="preserve">Eigene Inhalte/IP, WortBild als zweites Standbein, offline-fähig</t>
  </si>
  <si>
    <t xml:space="preserve">Summe Gewichte / Faktor</t>
  </si>
  <si>
    <t xml:space="preserve">Scorecard-Wert (Pre-Money)</t>
  </si>
  <si>
    <t xml:space="preserve">3. Referenzmethode (Investorensicht): VC-Methode (Exit Jahr 5)</t>
  </si>
  <si>
    <t xml:space="preserve">Gründer: Optimistisch (Upside)</t>
  </si>
  <si>
    <t xml:space="preserve">Gründer: Basis (2. Linie)</t>
  </si>
  <si>
    <t xml:space="preserve">Konservativ: Basis</t>
  </si>
  <si>
    <t xml:space="preserve">Quelle / Kennzeichnung</t>
  </si>
  <si>
    <t xml:space="preserve">Umsatz J5 (aus GuV)</t>
  </si>
  <si>
    <t xml:space="preserve">GuV 5 Jahre, J5 (2031): optimistisches bzw. Basis-Szenario</t>
  </si>
  <si>
    <t xml:space="preserve">Exit-Multiple (Umsatz)</t>
  </si>
  <si>
    <t xml:space="preserve">Gründer-Annahme 6,0x: SaaS Capital 2025 – VC-finanzierte private SaaS 5,3x (bootstrapped 4,8x) + Wachstumsaufschlag; konservativ 4,0x (B2C-/Creator-Abschlag, unter 2 Mio. USD ARR 2–3,5x).</t>
  </si>
  <si>
    <t xml:space="preserve">Exit-Wert Jahr 5 = Umsatz × Multiple</t>
  </si>
  <si>
    <t xml:space="preserve">Ziel-Rendite (Multiple auf Einsatz)</t>
  </si>
  <si>
    <t xml:space="preserve">Gründer-Annahme 10x = Untergrenze der Pre-Seed-üblichen 10–20x; konservativ Mittelwert 15x.</t>
  </si>
  <si>
    <t xml:space="preserve">Verwässerung durch spätere Runden (Seed, Series A, ESOP)</t>
  </si>
  <si>
    <t xml:space="preserve">Carta 2025: Seed ≈ 20 %, Series A ≈ 18 % → 1 − 0,8 × 0,82 ≈ 34 %; Gründer-Annahme 40 % (ohne vollen ESOP), konservativ 45 % (inkl. ESOP ≈ 10 %).</t>
  </si>
  <si>
    <t xml:space="preserve">Post-Money heute = Exit ÷ Ziel-Rendite × (1 − Verwässerung)</t>
  </si>
  <si>
    <t xml:space="preserve">Investition (Pre-Seed)</t>
  </si>
  <si>
    <t xml:space="preserve">VC-Wert (Pre-Money) = Post-Money − Investition</t>
  </si>
  <si>
    <t xml:space="preserve">Untergrenze 0</t>
  </si>
  <si>
    <t xml:space="preserve">VC-Methode (Umsatz J5 Basis, Verwässerung konservativ): Pre-Money bei Exit-Multiple (Zeilen) × Ziel-Rendite (Spalten)</t>
  </si>
  <si>
    <t xml:space="preserve">Multiple ↓ / Rendite →</t>
  </si>
  <si>
    <t xml:space="preserve">4. Referenzmethode (Investorensicht): Risk Factor Summation – nur Gründer-Sicht</t>
  </si>
  <si>
    <t xml:space="preserve">Basiswert = Scorecard-Referenz Gründer-Sicht</t>
  </si>
  <si>
    <t xml:space="preserve">Methode (Ohio TechAngels/Payne): 12 Risiken, je −2 … +2, je Stufe ± 250.000 $ auf den regionalen Vergleichswert (eqvista; rho.co).</t>
  </si>
  <si>
    <t xml:space="preserve">Betrag je Stufe (€)</t>
  </si>
  <si>
    <t xml:space="preserve">Risikofaktor</t>
  </si>
  <si>
    <t xml:space="preserve">Score (−2 … +2)</t>
  </si>
  <si>
    <t xml:space="preserve">Zu-/Abschlag €</t>
  </si>
  <si>
    <t xml:space="preserve">Begründung (Gründer-Sicht)</t>
  </si>
  <si>
    <t xml:space="preserve">Management</t>
  </si>
  <si>
    <t xml:space="preserve">Solo-Gründer, erste Einstellung offen</t>
  </si>
  <si>
    <t xml:space="preserve">Entwicklungsstadium</t>
  </si>
  <si>
    <t xml:space="preserve">v2.1 ausgeliefert und in eigenen Streams im Einsatz; noch kein Umsatz</t>
  </si>
  <si>
    <t xml:space="preserve">Gesetzgebung / Politik</t>
  </si>
  <si>
    <t xml:space="preserve">DSGVO/DSFA, Jugendschutz budgetiert; lokale Verarbeitung</t>
  </si>
  <si>
    <t xml:space="preserve">Herstellung / Lieferkette</t>
  </si>
  <si>
    <t xml:space="preserve">reine Software, keine Lieferkette</t>
  </si>
  <si>
    <t xml:space="preserve">Vertrieb / Marketing</t>
  </si>
  <si>
    <t xml:space="preserve">noch kein Vertrieb, keine Partner</t>
  </si>
  <si>
    <t xml:space="preserve">Kapitalbeschaffung</t>
  </si>
  <si>
    <t xml:space="preserve">Folgerunde (Seed) nötig – siehe Liquidität</t>
  </si>
  <si>
    <t xml:space="preserve">Wettbewerb</t>
  </si>
  <si>
    <t xml:space="preserve">kein direkter Sprach-Trigger-Wettbewerber; Nachbau durch Plattformen möglich</t>
  </si>
  <si>
    <t xml:space="preserve">Technologie</t>
  </si>
  <si>
    <t xml:space="preserve">funktionsfähig, 575+ Tests + e2e; Streaming-ASR &lt; 300 ms noch offen</t>
  </si>
  <si>
    <t xml:space="preserve">Rechtsstreit</t>
  </si>
  <si>
    <t xml:space="preserve">GIF über KLIPY/GIPHY-API; Marke noch nicht eingetragen</t>
  </si>
  <si>
    <t xml:space="preserve">International</t>
  </si>
  <si>
    <t xml:space="preserve">DE/TR/EN von Beginn an, türkische Nische</t>
  </si>
  <si>
    <t xml:space="preserve">Reputation</t>
  </si>
  <si>
    <t xml:space="preserve">neutral</t>
  </si>
  <si>
    <t xml:space="preserve">Exit-Potenzial</t>
  </si>
  <si>
    <t xml:space="preserve">strategische Käufer denkbar, aber unbelegt → neutral</t>
  </si>
  <si>
    <t xml:space="preserve">Summe Scores / Zu-/Abschlag</t>
  </si>
  <si>
    <t xml:space="preserve">Risk-Factor-Summation-Wert (Pre-Money)</t>
  </si>
  <si>
    <t xml:space="preserve">5. Referenzmethoden (Investorensicht) – Zusammenfassung</t>
  </si>
  <si>
    <t xml:space="preserve">Methode</t>
  </si>
  <si>
    <t xml:space="preserve">Gründer-Sicht €</t>
  </si>
  <si>
    <t xml:space="preserve">Konservativ €</t>
  </si>
  <si>
    <t xml:space="preserve">Lesart</t>
  </si>
  <si>
    <t xml:space="preserve">Berkus</t>
  </si>
  <si>
    <t xml:space="preserve">Gründer: 2×-Variante; konservativ: klassisch</t>
  </si>
  <si>
    <t xml:space="preserve">Scorecard</t>
  </si>
  <si>
    <t xml:space="preserve">Marktvergleich; Gründer-Referenz 2,5 Mio. €, konservativ 1,5 Mio. €</t>
  </si>
  <si>
    <t xml:space="preserve">VC-Methode</t>
  </si>
  <si>
    <t xml:space="preserve">Gründer: optimistisches Szenario (Upside), Basis-Linie siehe unten; konservativ: Basis</t>
  </si>
  <si>
    <t xml:space="preserve">Risk Factor Summation</t>
  </si>
  <si>
    <t xml:space="preserve">nur Gründer-Sicht (konservative Sicht nutzte drei Methoden)</t>
  </si>
  <si>
    <t xml:space="preserve">Spanne (Minimum)</t>
  </si>
  <si>
    <t xml:space="preserve">Spanne (Maximum)</t>
  </si>
  <si>
    <t xml:space="preserve">Gewichteter Mittelwert</t>
  </si>
  <si>
    <t xml:space="preserve">Gewichteter Mittelwert Gründer-Sicht mit VC-Basis-Linie statt optimistisch</t>
  </si>
  <si>
    <t xml:space="preserve">Zeigt, wie stark der Gründer-Mittelwert am optimistischen Szenario hängt.</t>
  </si>
  <si>
    <t xml:space="preserve">Konservativ: gewichteter Mittelwert auf 50 T€ gerundet (frühere Empfehlung, nur Referenz)</t>
  </si>
  <si>
    <t xml:space="preserve">Kontrolle: Gewichte je Sicht = 100 %</t>
  </si>
  <si>
    <t xml:space="preserve">6. Angebot der Gründer – max. 10 % für 250.000 €</t>
  </si>
  <si>
    <t xml:space="preserve">Angebotener Anteil Investor:innen</t>
  </si>
  <si>
    <t xml:space="preserve">Vorgabe der Gründer: höchstens 10 % für 250.000 €.</t>
  </si>
  <si>
    <t xml:space="preserve">Post-Money = Investition ÷ Anteil</t>
  </si>
  <si>
    <t xml:space="preserve">Pre-Money = Post-Money − Investition</t>
  </si>
  <si>
    <t xml:space="preserve">Anteil Gründer nach der Runde (ohne ESOP)</t>
  </si>
  <si>
    <t xml:space="preserve">Kontrolle: Post-Money × Anteil = Investition</t>
  </si>
  <si>
    <t xml:space="preserve">Abstand zu den Referenzmethoden (transparent)</t>
  </si>
  <si>
    <t xml:space="preserve">Angebot Pre-Money ÷ gewichteter Mittelwert Gründer-Sicht</t>
  </si>
  <si>
    <t xml:space="preserve">Angebot Pre-Money − gewichteter Mittelwert Gründer-Sicht (€)</t>
  </si>
  <si>
    <t xml:space="preserve">Angebot Pre-Money ÷ Gründer-Mittelwert mit VC-Basis-Linie</t>
  </si>
  <si>
    <t xml:space="preserve">Angebot Pre-Money ÷ Minimum der Gründer-Spanne</t>
  </si>
  <si>
    <t xml:space="preserve">Angebot Pre-Money ÷ gewichteter Mittelwert konservativ</t>
  </si>
  <si>
    <t xml:space="preserve">Einordnung ggü. Gründer-Spanne (Formel)</t>
  </si>
  <si>
    <t xml:space="preserve">Einordnung ggü. konservativer Investorensicht (Formel)</t>
  </si>
  <si>
    <t xml:space="preserve">Lesart: Gegenüber der großzügigen, belegten Gründer-Sicht ist das Angebot zurückhaltend; gegenüber der konservativen Investorensicht ist es ambitioniert – Verhandlungsgrundlage sind die Argumente in Abschnitt 9.</t>
  </si>
  <si>
    <t xml:space="preserve">7. Verhandlungsspanne – Anteil Investor:innen → Bewertung</t>
  </si>
  <si>
    <t xml:space="preserve">Anteil Investor:innen</t>
  </si>
  <si>
    <t xml:space="preserve">Post-Money €</t>
  </si>
  <si>
    <t xml:space="preserve">Pre-Money €</t>
  </si>
  <si>
    <t xml:space="preserve">Anteil Gründer</t>
  </si>
  <si>
    <t xml:space="preserve">Pre ÷ Gründer-Mittel</t>
  </si>
  <si>
    <t xml:space="preserve">Pre ÷ konservatives Mittel</t>
  </si>
  <si>
    <t xml:space="preserve">höhere Bewertung als das Angebot (Gründer-freundlich)</t>
  </si>
  <si>
    <t xml:space="preserve">Angebot der Gründer (Obergrenze laut Gründer)</t>
  </si>
  <si>
    <t xml:space="preserve">Verhandlungskorridor bis hier: 10–12,5 % → Pre-Money 1,75–2,25 Mio. €</t>
  </si>
  <si>
    <t xml:space="preserve">außerhalb der Gründer-Vorgabe (nur Vergleich)</t>
  </si>
  <si>
    <t xml:space="preserve">8. Was müsste für 10× Investor-Rendite gelten? (Prüfung des Angebots)</t>
  </si>
  <si>
    <t xml:space="preserve">Post-Money (Angebot der Gründer)</t>
  </si>
  <si>
    <t xml:space="preserve">Verwässerung durch spätere Runden (Prüfannahme, Investorensicht)</t>
  </si>
  <si>
    <t xml:space="preserve">Bewusst die konservative Annahme (Carta + ESOP); mit Gründer-Annahme 40 % siehe Spalte E der Szenario-Tabelle.</t>
  </si>
  <si>
    <t xml:space="preserve">Exit-Multiples auf den Umsatz J5 (Prüfwerte)</t>
  </si>
  <si>
    <t xml:space="preserve">4x = konservativ (B2C-Abschlag), 6x = Gründer-Annahme (SaaS Capital 5,3x + Wachstumsaufschlag).</t>
  </si>
  <si>
    <t xml:space="preserve">Ziel-Rendite</t>
  </si>
  <si>
    <t xml:space="preserve">Nötiger Exit-Wert J5 €</t>
  </si>
  <si>
    <t xml:space="preserve">Nötiger Umsatz J5 bei 4x €</t>
  </si>
  <si>
    <t xml:space="preserve">Nötiger Umsatz J5 bei 6x €</t>
  </si>
  <si>
    <t xml:space="preserve">Getragen ab Szenario (4x)</t>
  </si>
  <si>
    <t xml:space="preserve">Getragen ab Szenario (6x)</t>
  </si>
  <si>
    <t xml:space="preserve">Formel</t>
  </si>
  <si>
    <t xml:space="preserve">Exit = Post-Money × Ziel-Rendite ÷ (1 − Verwässerung); Umsatz = Exit ÷ Multiple; Szenario = niedrigstes, dessen Umsatz J5 reicht</t>
  </si>
  <si>
    <t xml:space="preserve">Szenario (GuV)</t>
  </si>
  <si>
    <t xml:space="preserve">Umsatz J5 €</t>
  </si>
  <si>
    <t xml:space="preserve">Implizite Rendite 4x (45 %)</t>
  </si>
  <si>
    <t xml:space="preserve">Implizite Rendite 6x (45 %)</t>
  </si>
  <si>
    <t xml:space="preserve">Implizite Rendite 6x (Gründer 40 %)</t>
  </si>
  <si>
    <t xml:space="preserve">Umsatz J5 ÷ Bedarf 10x @ 6x</t>
  </si>
  <si>
    <t xml:space="preserve">Ehrliche Lesart (Standardeingaben): Das Basis-Szenario trägt ≈ 4,2x (6x-Multiple) bzw. ≈ 2,8x (4x) – nicht 10x. 10x setzt das optimistische Szenario voraus: bei 6x und 45 % Verwässerung ≈ 9,8x (98 % des nötigen Umsatzes), bei 40 % Verwässerung ≈ 10,7x. 5x trägt das optimistische Szenario bei 4x und 6x.</t>
  </si>
  <si>
    <t xml:space="preserve">9. Begründung / Argumente für das Angebot (10 % für 250.000 € → Pre-Money 2,25 Mio. €)</t>
  </si>
  <si>
    <t xml:space="preserve">• Funktionsfähiges Produkt v2.1 statt Konzept: Stimme → Effekt in Echtzeit, Leistungsmodus, sichere GIF-Suche; 575+ automatisierte Tests und eine e2e-Testsuite (Playwright) – das Technologierisiko ist weitgehend abgebaut.</t>
  </si>
  <si>
    <t xml:space="preserve">• Eigenes IP und eigene Inhalte: 238 Sprach-Trigger, 143 freie Sticker, Text- und Sticker-Inhalte sowie die Matcher-Logik sind selbst entwickelt; Markenanmeldung LiveFX (DE/EU/TR) ist budgetiert.</t>
  </si>
  <si>
    <t xml:space="preserve">• Drei Sprachen (DE/TR/EN) inkl. türkischer Nische: kaum spezialisierte Streaming-Tools auf Türkisch, eigene TR-Community als Startmarkt.</t>
  </si>
  <si>
    <t xml:space="preserve">• Vision-Optionen A–D auf derselben Engine: Erzählfilm/Story-Engine (A), WortBild Sprachenlernen (B), Räume/VR-AR (C), Studio/Auto-Edit (D) – Optionswert über das Creator-Tool hinaus.</t>
  </si>
  <si>
    <t xml:space="preserve">• Marktgröße: Live-Streaming-Markt 97–157 Mrd. USD, SAM 1–3 Mio. Creator (BP §6); Bildung/Sprachenlernen als zweiter Markt.</t>
  </si>
  <si>
    <t xml:space="preserve">• Kapitaleffizienz: Produkt bis v2.1 ohne externes Kapital gebaut; die 250.000 € tragen laut Modell 18 Monate bis Gate 2.</t>
  </si>
  <si>
    <t xml:space="preserve">• Vision-Trailer und Prototypen (Erzählfilm, WortBild als lauffähige HTML-Prototypen; 30-s-Produkttrailer) machen die Linien sichtbar – Investor:innen sehen mehr als eine Folie.</t>
  </si>
  <si>
    <t xml:space="preserve">Ehrlich dagegen: Solo-Gründer, noch kein Umsatz und keine Partner; konservative Methoden ergeben 0,2–1,4 Mio. € Pre-Money.</t>
  </si>
  <si>
    <t xml:space="preserve">10. Alternative: Wandeldarlehen / SAFE (Vorschlag – mit Steuer-/Rechtsberater prüfen)</t>
  </si>
  <si>
    <t xml:space="preserve">Valuation Cap (Pre-Money)</t>
  </si>
  <si>
    <t xml:space="preserve">Cap = Pre-Money des Gründer-Angebots (2,25 Mio. €) → Anteil am Cap ≈ 10 %.</t>
  </si>
  <si>
    <t xml:space="preserve">Discount auf den Preis der Folgerunde</t>
  </si>
  <si>
    <t xml:space="preserve">DACH marktüblich 15–25 % (z. B. lexr.com, vektora.eu); Vorschlag 20 %, verhandelbar 15–20 %.</t>
  </si>
  <si>
    <t xml:space="preserve">Zins p. a. (wandelt mit)</t>
  </si>
  <si>
    <t xml:space="preserve">Laufzeit bis Wandlung (Monate)</t>
  </si>
  <si>
    <t xml:space="preserve">Wandlungsbetrag inkl. Zins</t>
  </si>
  <si>
    <t xml:space="preserve">Beispiel: Pre-Money der Seed-Runde</t>
  </si>
  <si>
    <t xml:space="preserve">Wandlungsbewertung = MIN(Cap; Seed-Pre × (1 − Discount))</t>
  </si>
  <si>
    <t xml:space="preserve">Anteil bei Wandlung im Beispiel (vereinfacht, vor Seed-Geld)</t>
  </si>
  <si>
    <t xml:space="preserve">Max. Anteil am Cap ohne Zins (250.000 ÷ (Cap + 250.000))</t>
  </si>
  <si>
    <t xml:space="preserve">Max. Anteil am Cap mit Zins (Wandlungsbetrag ÷ (Cap + Wandlungsbetrag))</t>
  </si>
  <si>
    <t xml:space="preserve">Mit 5 % Zins über 18 Monate liegt der Anteil leicht über 10 % – ggf. Zins niedriger oder Cap entsprechend höher verhandeln.</t>
  </si>
  <si>
    <t xml:space="preserve">Alle Bewertungen: Vorschlag – mit Steuer-/Rechtsberater prüfen. Keine Anlageberatung.</t>
  </si>
  <si>
    <t xml:space="preserve">Sensitivität (Basis-Szenario): Umsatz J3 und Runway</t>
  </si>
  <si>
    <t xml:space="preserve">Conversion ±1 Pkt., ARPU ±20 %, Nutzer ±30 % – je Fall alle Jahre; Kosten wie Basis (Infrastruktur variabel mit Umsatz).</t>
  </si>
  <si>
    <t xml:space="preserve">Fall</t>
  </si>
  <si>
    <t xml:space="preserve">Δ Conversion</t>
  </si>
  <si>
    <t xml:space="preserve">ARPU-Faktor</t>
  </si>
  <si>
    <t xml:space="preserve">Nutzer-Faktor</t>
  </si>
  <si>
    <t xml:space="preserve">Umsatz J3 €</t>
  </si>
  <si>
    <t xml:space="preserve">Δ zu Basis</t>
  </si>
  <si>
    <t xml:space="preserve">Wiederk. J1 €</t>
  </si>
  <si>
    <t xml:space="preserve">Wiederk. J2 €</t>
  </si>
  <si>
    <t xml:space="preserve">s (Dez J1)</t>
  </si>
  <si>
    <t xml:space="preserve">g (Zuwachs J2)</t>
  </si>
  <si>
    <t xml:space="preserve">Runway (Monate)</t>
  </si>
  <si>
    <t xml:space="preserve">Cash-out-Monat</t>
  </si>
  <si>
    <t xml:space="preserve">Kasse M12 €</t>
  </si>
  <si>
    <t xml:space="preserve">Kasse M18 €</t>
  </si>
  <si>
    <t xml:space="preserve">Kasse M24 €</t>
  </si>
  <si>
    <t xml:space="preserve">Min. Kasse €</t>
  </si>
  <si>
    <t xml:space="preserve">Conversion −1 Pkt.</t>
  </si>
  <si>
    <t xml:space="preserve">Conversion +1 Pkt.</t>
  </si>
  <si>
    <t xml:space="preserve">ARPU −20 %</t>
  </si>
  <si>
    <t xml:space="preserve">ARPU +20 %</t>
  </si>
  <si>
    <t xml:space="preserve">Nutzer −30 %</t>
  </si>
  <si>
    <t xml:space="preserve">Nutzer +30 %</t>
  </si>
  <si>
    <t xml:space="preserve">Fixkosten Basis (Pre-Seed + Ausbau + Infrastruktur fix)</t>
  </si>
  <si>
    <t xml:space="preserve">Basis: Umsatz</t>
  </si>
  <si>
    <t xml:space="preserve">Basis: Kasse</t>
  </si>
  <si>
    <t xml:space="preserve">Basis: Kasse &lt; 0</t>
  </si>
  <si>
    <t xml:space="preserve">Conversion −1 Pkt.: Umsatz</t>
  </si>
  <si>
    <t xml:space="preserve">Conversion −1 Pkt.: Kasse</t>
  </si>
  <si>
    <t xml:space="preserve">Conversion −1 Pkt.: Kasse &lt; 0</t>
  </si>
  <si>
    <t xml:space="preserve">Conversion +1 Pkt.: Umsatz</t>
  </si>
  <si>
    <t xml:space="preserve">Conversion +1 Pkt.: Kasse</t>
  </si>
  <si>
    <t xml:space="preserve">Conversion +1 Pkt.: Kasse &lt; 0</t>
  </si>
  <si>
    <t xml:space="preserve">ARPU −20 %: Umsatz</t>
  </si>
  <si>
    <t xml:space="preserve">ARPU −20 %: Kasse</t>
  </si>
  <si>
    <t xml:space="preserve">ARPU −20 %: Kasse &lt; 0</t>
  </si>
  <si>
    <t xml:space="preserve">ARPU +20 %: Umsatz</t>
  </si>
  <si>
    <t xml:space="preserve">ARPU +20 %: Kasse</t>
  </si>
  <si>
    <t xml:space="preserve">ARPU +20 %: Kasse &lt; 0</t>
  </si>
  <si>
    <t xml:space="preserve">Nutzer −30 %: Umsatz</t>
  </si>
  <si>
    <t xml:space="preserve">Nutzer −30 %: Kasse</t>
  </si>
  <si>
    <t xml:space="preserve">Nutzer −30 %: Kasse &lt; 0</t>
  </si>
  <si>
    <t xml:space="preserve">Nutzer +30 %: Umsatz</t>
  </si>
  <si>
    <t xml:space="preserve">Nutzer +30 %: Kasse</t>
  </si>
  <si>
    <t xml:space="preserve">Nutzer +30 %: Kasse &lt; 0</t>
  </si>
  <si>
    <t xml:space="preserve">Kontrolle: Basis-Fall Kasse M24 = Liquidität Basis M24</t>
  </si>
  <si>
    <t xml:space="preserve">Diagramme</t>
  </si>
  <si>
    <t xml:space="preserve">Basis (€)</t>
  </si>
  <si>
    <t xml:space="preserve">Umsatz</t>
  </si>
  <si>
    <t xml:space="preserve">Kosten</t>
  </si>
  <si>
    <t xml:space="preserve">EBITDA</t>
  </si>
  <si>
    <t xml:space="preserve">Übersetzung der wichtigsten Begriffe / Çeviri / Translation</t>
  </si>
  <si>
    <t xml:space="preserve">Deutsch</t>
  </si>
  <si>
    <t xml:space="preserve">Türkçe</t>
  </si>
  <si>
    <t xml:space="preserve">English</t>
  </si>
  <si>
    <t xml:space="preserve">Annahmen</t>
  </si>
  <si>
    <t xml:space="preserve">Varsayımlar</t>
  </si>
  <si>
    <t xml:space="preserve">Assumptions</t>
  </si>
  <si>
    <t xml:space="preserve">GuV 5 Jahre</t>
  </si>
  <si>
    <t xml:space="preserve">5 yıllık gelir tablosu</t>
  </si>
  <si>
    <t xml:space="preserve">5-year P&amp;L</t>
  </si>
  <si>
    <t xml:space="preserve">Mittelverwendung</t>
  </si>
  <si>
    <t xml:space="preserve">Fonların kullanımı</t>
  </si>
  <si>
    <t xml:space="preserve">Use of funds</t>
  </si>
  <si>
    <t xml:space="preserve">Liquidität monatlich, 24 Monate</t>
  </si>
  <si>
    <t xml:space="preserve">Aylık nakit akışı, 24 ay</t>
  </si>
  <si>
    <t xml:space="preserve">Monthly cash flow, 24 months</t>
  </si>
  <si>
    <t xml:space="preserve">Gates / Meilensteine (Ziele)</t>
  </si>
  <si>
    <t xml:space="preserve">Kilometre taşları / hedefler</t>
  </si>
  <si>
    <t xml:space="preserve">Gates / milestones (targets)</t>
  </si>
  <si>
    <t xml:space="preserve">Bewertung</t>
  </si>
  <si>
    <t xml:space="preserve">Değerleme</t>
  </si>
  <si>
    <t xml:space="preserve">Valuation</t>
  </si>
  <si>
    <t xml:space="preserve">Sensitivität</t>
  </si>
  <si>
    <t xml:space="preserve">Duyarlılık analizi</t>
  </si>
  <si>
    <t xml:space="preserve">Sensitivity</t>
  </si>
  <si>
    <t xml:space="preserve">Konservativ / Basis / Optimistisch</t>
  </si>
  <si>
    <t xml:space="preserve">Temkinli / Baz / İyimser</t>
  </si>
  <si>
    <t xml:space="preserve">Conservative / Base / Optimistic</t>
  </si>
  <si>
    <t xml:space="preserve">Kayıtlı kullanıcılar</t>
  </si>
  <si>
    <t xml:space="preserve">Registered users</t>
  </si>
  <si>
    <t xml:space="preserve">Ücretsizden Pro'ya dönüşüm</t>
  </si>
  <si>
    <t xml:space="preserve">Free-to-Pro conversion</t>
  </si>
  <si>
    <t xml:space="preserve">Ödeme yapan Pro kullanıcılar</t>
  </si>
  <si>
    <t xml:space="preserve">Paying Pro users</t>
  </si>
  <si>
    <t xml:space="preserve">Toplam gelir</t>
  </si>
  <si>
    <t xml:space="preserve">Total revenue</t>
  </si>
  <si>
    <t xml:space="preserve">Toplam maliyet</t>
  </si>
  <si>
    <t xml:space="preserve">Total costs</t>
  </si>
  <si>
    <t xml:space="preserve">FAVÖK (sonuç)</t>
  </si>
  <si>
    <t xml:space="preserve">EBITDA (result)</t>
  </si>
  <si>
    <t xml:space="preserve">Kümülatif sonuç</t>
  </si>
  <si>
    <t xml:space="preserve">Cumulative result</t>
  </si>
  <si>
    <t xml:space="preserve">Ay sonu nakit</t>
  </si>
  <si>
    <t xml:space="preserve">Cash at month end</t>
  </si>
  <si>
    <t xml:space="preserve">Nakit ömrü (ay)</t>
  </si>
  <si>
    <t xml:space="preserve">Runway (months)</t>
  </si>
  <si>
    <t xml:space="preserve">Nakdin bittiği ay</t>
  </si>
  <si>
    <t xml:space="preserve">Cash-out month</t>
  </si>
  <si>
    <t xml:space="preserve">Nachhaltiger Break-even</t>
  </si>
  <si>
    <t xml:space="preserve">Kalıcı başabaş noktası</t>
  </si>
  <si>
    <t xml:space="preserve">Sustained break-even</t>
  </si>
  <si>
    <t xml:space="preserve">Sonraki tur (Seed) – asgari ihtiyaç</t>
  </si>
  <si>
    <t xml:space="preserve">Follow-on round (seed) – minimum need</t>
  </si>
  <si>
    <t xml:space="preserve">Ekip/Ürün</t>
  </si>
  <si>
    <t xml:space="preserve">Team/product</t>
  </si>
  <si>
    <t xml:space="preserve">Markteintritt, Creator-Programm, Piloten</t>
  </si>
  <si>
    <t xml:space="preserve">Pazara giriş, içerik üretici programı, pilotlar</t>
  </si>
  <si>
    <t xml:space="preserve">Market entry, creator programme, pilots</t>
  </si>
  <si>
    <t xml:space="preserve">Vision-Linie WortBild (Sprachenlernen)</t>
  </si>
  <si>
    <t xml:space="preserve">Vizyon hattı WortBild (dil öğrenimi)</t>
  </si>
  <si>
    <t xml:space="preserve">Vision line WortBild (language learning)</t>
  </si>
  <si>
    <t xml:space="preserve">Hukuk, marka, veri koruma</t>
  </si>
  <si>
    <t xml:space="preserve">Legal, trademark, data protection</t>
  </si>
  <si>
    <t xml:space="preserve">Yedek</t>
  </si>
  <si>
    <t xml:space="preserve">Pre-Money-Bewertung</t>
  </si>
  <si>
    <t xml:space="preserve">Yatırım öncesi değerleme</t>
  </si>
  <si>
    <t xml:space="preserve">Pre-money valuation</t>
  </si>
  <si>
    <t xml:space="preserve">Post-Money-Bewertung</t>
  </si>
  <si>
    <t xml:space="preserve">Yatırım sonrası değerleme</t>
  </si>
  <si>
    <t xml:space="preserve">Post-money valuation</t>
  </si>
  <si>
    <t xml:space="preserve">Yatırımcı payı</t>
  </si>
  <si>
    <t xml:space="preserve">Investor stake</t>
  </si>
  <si>
    <t xml:space="preserve">Angebot der Gründer</t>
  </si>
  <si>
    <t xml:space="preserve">Kurucuların teklifi</t>
  </si>
  <si>
    <t xml:space="preserve">Founders' offer</t>
  </si>
  <si>
    <t xml:space="preserve">Referenzmethoden (Investorensicht)</t>
  </si>
  <si>
    <t xml:space="preserve">Referans yöntemler (yatırımcı bakışı)</t>
  </si>
  <si>
    <t xml:space="preserve">Reference methods (investor view)</t>
  </si>
  <si>
    <t xml:space="preserve">Gründer-Sicht / konservative Sicht</t>
  </si>
  <si>
    <t xml:space="preserve">Kurucu bakışı / temkinli bakış</t>
  </si>
  <si>
    <t xml:space="preserve">Founder view / conservative view</t>
  </si>
  <si>
    <t xml:space="preserve">Verhandlungsspanne</t>
  </si>
  <si>
    <t xml:space="preserve">Pazarlık aralığı</t>
  </si>
  <si>
    <t xml:space="preserve">Negotiation range</t>
  </si>
  <si>
    <t xml:space="preserve">Begründung / Argumente</t>
  </si>
  <si>
    <t xml:space="preserve">Gerekçe / argümanlar</t>
  </si>
  <si>
    <t xml:space="preserve">Rationale / arguments</t>
  </si>
  <si>
    <t xml:space="preserve">Wandeldarlehen / SAFE, Valuation Cap, Discount</t>
  </si>
  <si>
    <t xml:space="preserve">Dönüştürülebilir kredi / SAFE, değerleme tavanı, iskonto</t>
  </si>
  <si>
    <t xml:space="preserve">Convertible loan / SAFE, valuation cap, discount</t>
  </si>
  <si>
    <t xml:space="preserve">Vorschlag – mit Steuer-/Rechtsberater prüfen</t>
  </si>
  <si>
    <t xml:space="preserve">Öneri – vergi/hukuk danışmanıyla kontrol edin</t>
  </si>
  <si>
    <t xml:space="preserve">Proposal – review with tax/legal adviser</t>
  </si>
  <si>
    <t xml:space="preserve">Hedef (henüz ulaşılmadı)</t>
  </si>
  <si>
    <t xml:space="preserve">Target (not yet achieved)</t>
  </si>
  <si>
    <t xml:space="preserve">Schätzung</t>
  </si>
  <si>
    <t xml:space="preserve">Tahmin</t>
  </si>
  <si>
    <t xml:space="preserve">Estimate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</si>
</sst>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&quot; €&quot;;\(#,##0&quot; €)&quot;;\–"/>
    <numFmt numFmtId="166" formatCode="0.0%;\(0.0%\);\–"/>
    <numFmt numFmtId="167" formatCode="0"/>
    <numFmt numFmtId="168" formatCode="#,##0.00&quot; €&quot;"/>
    <numFmt numFmtId="169" formatCode="#,##0;\(#,##0\);\–"/>
    <numFmt numFmtId="170" formatCode="0.00"/>
    <numFmt numFmtId="171" formatCode="0.0;\(0.0\);\–"/>
    <numFmt numFmtId="172" formatCode="0.000"/>
    <numFmt numFmtId="173" formatCode="0.0\x"/>
    <numFmt numFmtId="174" formatCode="\+0;\-0;0"/>
    <numFmt numFmtId="175" formatCode="\+#,##0&quot; €&quot;;\-#,##0&quot; €&quot;;&quot;0 €&quot;"/>
    <numFmt numFmtId="176" formatCode="0.00\x"/>
    <numFmt numFmtId="177" formatCode="\+0.0%;\-0.0%;0.0%"/>
    <numFmt numFmtId="178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2F2F2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A5F"/>
      <rgbColor rgb="FF4F81BD"/>
      <rgbColor rgb="FF003300"/>
      <rgbColor rgb="FF333300"/>
      <rgbColor rgb="FF993300"/>
      <rgbColor rgb="FFC0504D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Umsatz und Kosten pro Jahr – Basis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Diagramme!B3</c:f>
              <c:strCache>
                <c:ptCount val="1"/>
                <c:pt idx="0">
                  <c:v>Umsatz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Diagramme!$A$4:$A$8</c:f>
              <c:strCache>
                <c:ptCount val="5"/>
                <c:pt idx="0">
                  <c:v>J1 2027</c:v>
                </c:pt>
                <c:pt idx="1">
                  <c:v>J2 2028</c:v>
                </c:pt>
                <c:pt idx="2">
                  <c:v>J3 2029</c:v>
                </c:pt>
                <c:pt idx="3">
                  <c:v>J4 2030</c:v>
                </c:pt>
                <c:pt idx="4">
                  <c:v>J5 2031</c:v>
                </c:pt>
              </c:strCache>
            </c:strRef>
          </c:cat>
          <c:val>
            <c:numRef>
              <c:f>Diagramme!$B$4:$B$8</c:f>
              <c:numCache>
                <c:formatCode>#,##0" €";\(#,##0" €)";\–</c:formatCode>
                <c:ptCount val="5"/>
                <c:pt idx="0">
                  <c:v>50544</c:v>
                </c:pt>
                <c:pt idx="1">
                  <c:v>335540</c:v>
                </c:pt>
                <c:pt idx="2">
                  <c:v>1038270</c:v>
                </c:pt>
                <c:pt idx="3">
                  <c:v>1983772.5</c:v>
                </c:pt>
                <c:pt idx="4">
                  <c:v>3151812.5</c:v>
                </c:pt>
              </c:numCache>
            </c:numRef>
          </c:val>
        </c:ser>
        <c:ser>
          <c:idx val="1"/>
          <c:order val="1"/>
          <c:tx>
            <c:strRef>
              <c:f>Diagramme!C3</c:f>
              <c:strCache>
                <c:ptCount val="1"/>
                <c:pt idx="0">
                  <c:v>Kosten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Diagramme!$A$4:$A$8</c:f>
              <c:strCache>
                <c:ptCount val="5"/>
                <c:pt idx="0">
                  <c:v>J1 2027</c:v>
                </c:pt>
                <c:pt idx="1">
                  <c:v>J2 2028</c:v>
                </c:pt>
                <c:pt idx="2">
                  <c:v>J3 2029</c:v>
                </c:pt>
                <c:pt idx="3">
                  <c:v>J4 2030</c:v>
                </c:pt>
                <c:pt idx="4">
                  <c:v>J5 2031</c:v>
                </c:pt>
              </c:strCache>
            </c:strRef>
          </c:cat>
          <c:val>
            <c:numRef>
              <c:f>Diagramme!$C$4:$C$8</c:f>
              <c:numCache>
                <c:formatCode>#,##0" €";\(#,##0" €)";\–</c:formatCode>
                <c:ptCount val="5"/>
                <c:pt idx="0">
                  <c:v>166168.52</c:v>
                </c:pt>
                <c:pt idx="1">
                  <c:v>294718.2</c:v>
                </c:pt>
                <c:pt idx="2">
                  <c:v>710000</c:v>
                </c:pt>
                <c:pt idx="3">
                  <c:v>1065000</c:v>
                </c:pt>
                <c:pt idx="4">
                  <c:v>1491000</c:v>
                </c:pt>
              </c:numCache>
            </c:numRef>
          </c:val>
        </c:ser>
        <c:gapWidth val="150"/>
        <c:overlap val="0"/>
        <c:axId val="75436296"/>
        <c:axId val="33811507"/>
      </c:barChart>
      <c:catAx>
        <c:axId val="75436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11507"/>
        <c:crosses val="autoZero"/>
        <c:auto val="1"/>
        <c:lblAlgn val="ctr"/>
        <c:lblOffset val="100"/>
        <c:noMultiLvlLbl val="0"/>
      </c:catAx>
      <c:valAx>
        <c:axId val="338115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362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Kassenbestand 24 Monate – drei Szenarien und ohne Umsatz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Diagramme!G3</c:f>
              <c:strCache>
                <c:ptCount val="1"/>
                <c:pt idx="0">
                  <c:v>Konservativ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Diagramme!$F$4:$F$27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Diagramme!$G$4:$G$27</c:f>
              <c:numCache>
                <c:formatCode>#,##0" €";\(#,##0" €)";\–</c:formatCode>
                <c:ptCount val="24"/>
                <c:pt idx="0">
                  <c:v>236849.988666667</c:v>
                </c:pt>
                <c:pt idx="1">
                  <c:v>231899.954666667</c:v>
                </c:pt>
                <c:pt idx="2">
                  <c:v>221649.898</c:v>
                </c:pt>
                <c:pt idx="3">
                  <c:v>208474.818666667</c:v>
                </c:pt>
                <c:pt idx="4">
                  <c:v>195499.716666667</c:v>
                </c:pt>
                <c:pt idx="5">
                  <c:v>182724.592</c:v>
                </c:pt>
                <c:pt idx="6">
                  <c:v>169149.444666667</c:v>
                </c:pt>
                <c:pt idx="7">
                  <c:v>155774.274666667</c:v>
                </c:pt>
                <c:pt idx="8">
                  <c:v>140599.082</c:v>
                </c:pt>
                <c:pt idx="9">
                  <c:v>127623.866666667</c:v>
                </c:pt>
                <c:pt idx="10">
                  <c:v>114848.628666667</c:v>
                </c:pt>
                <c:pt idx="11">
                  <c:v>102273.368</c:v>
                </c:pt>
                <c:pt idx="12">
                  <c:v>90310.6905128205</c:v>
                </c:pt>
                <c:pt idx="13">
                  <c:v>78960.5962051282</c:v>
                </c:pt>
                <c:pt idx="14">
                  <c:v>68223.0850769231</c:v>
                </c:pt>
                <c:pt idx="15">
                  <c:v>61223.1571282051</c:v>
                </c:pt>
                <c:pt idx="16">
                  <c:v>54835.8123589744</c:v>
                </c:pt>
                <c:pt idx="17">
                  <c:v>49061.0507692308</c:v>
                </c:pt>
                <c:pt idx="18">
                  <c:v>37436.1420407164</c:v>
                </c:pt>
                <c:pt idx="19">
                  <c:v>26423.8164916892</c:v>
                </c:pt>
                <c:pt idx="20">
                  <c:v>16024.0741221492</c:v>
                </c:pt>
                <c:pt idx="21">
                  <c:v>6236.91493209638</c:v>
                </c:pt>
                <c:pt idx="22">
                  <c:v>-2937.66107846927</c:v>
                </c:pt>
                <c:pt idx="23">
                  <c:v>-11499.6539095477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Diagramme!H3</c:f>
              <c:strCache>
                <c:ptCount val="1"/>
                <c:pt idx="0">
                  <c:v>Basis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Diagramme!$F$4:$F$27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Diagramme!$H$4:$H$27</c:f>
              <c:numCache>
                <c:formatCode>#,##0" €";\(#,##0" €)";\–</c:formatCode>
                <c:ptCount val="24"/>
                <c:pt idx="0">
                  <c:v>237072.92</c:v>
                </c:pt>
                <c:pt idx="1">
                  <c:v>232791.68</c:v>
                </c:pt>
                <c:pt idx="2">
                  <c:v>223656.28</c:v>
                </c:pt>
                <c:pt idx="3">
                  <c:v>212041.72</c:v>
                </c:pt>
                <c:pt idx="4">
                  <c:v>201073</c:v>
                </c:pt>
                <c:pt idx="5">
                  <c:v>190750.12</c:v>
                </c:pt>
                <c:pt idx="6">
                  <c:v>180073.08</c:v>
                </c:pt>
                <c:pt idx="7">
                  <c:v>170041.88</c:v>
                </c:pt>
                <c:pt idx="8">
                  <c:v>158656.52</c:v>
                </c:pt>
                <c:pt idx="9">
                  <c:v>149917</c:v>
                </c:pt>
                <c:pt idx="10">
                  <c:v>141823.32</c:v>
                </c:pt>
                <c:pt idx="11">
                  <c:v>134375.48</c:v>
                </c:pt>
                <c:pt idx="12">
                  <c:v>129152.907692308</c:v>
                </c:pt>
                <c:pt idx="13">
                  <c:v>126155.603076923</c:v>
                </c:pt>
                <c:pt idx="14">
                  <c:v>125383.566153846</c:v>
                </c:pt>
                <c:pt idx="15">
                  <c:v>129961.796923077</c:v>
                </c:pt>
                <c:pt idx="16">
                  <c:v>136765.295384615</c:v>
                </c:pt>
                <c:pt idx="17">
                  <c:v>145794.061538462</c:v>
                </c:pt>
                <c:pt idx="18">
                  <c:v>137464.762051282</c:v>
                </c:pt>
                <c:pt idx="19">
                  <c:v>131360.73025641</c:v>
                </c:pt>
                <c:pt idx="20">
                  <c:v>127481.966153846</c:v>
                </c:pt>
                <c:pt idx="21">
                  <c:v>171828.46974359</c:v>
                </c:pt>
                <c:pt idx="22">
                  <c:v>172400.241025641</c:v>
                </c:pt>
                <c:pt idx="23">
                  <c:v>175197.28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Diagramme!I3</c:f>
              <c:strCache>
                <c:ptCount val="1"/>
                <c:pt idx="0">
                  <c:v>Optimistisch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Diagramme!$F$4:$F$27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Diagramme!$I$4:$I$27</c:f>
              <c:numCache>
                <c:formatCode>#,##0" €";\(#,##0" €)";\–</c:formatCode>
                <c:ptCount val="24"/>
                <c:pt idx="0">
                  <c:v>237542.81</c:v>
                </c:pt>
                <c:pt idx="1">
                  <c:v>234671.24</c:v>
                </c:pt>
                <c:pt idx="2">
                  <c:v>227885.29</c:v>
                </c:pt>
                <c:pt idx="3">
                  <c:v>219559.96</c:v>
                </c:pt>
                <c:pt idx="4">
                  <c:v>212820.25</c:v>
                </c:pt>
                <c:pt idx="5">
                  <c:v>207666.16</c:v>
                </c:pt>
                <c:pt idx="6">
                  <c:v>203097.69</c:v>
                </c:pt>
                <c:pt idx="7">
                  <c:v>200114.84</c:v>
                </c:pt>
                <c:pt idx="8">
                  <c:v>196717.61</c:v>
                </c:pt>
                <c:pt idx="9">
                  <c:v>196906</c:v>
                </c:pt>
                <c:pt idx="10">
                  <c:v>198680.01</c:v>
                </c:pt>
                <c:pt idx="11">
                  <c:v>202039.64</c:v>
                </c:pt>
                <c:pt idx="12">
                  <c:v>211939.302307692</c:v>
                </c:pt>
                <c:pt idx="13">
                  <c:v>228378.996923077</c:v>
                </c:pt>
                <c:pt idx="14">
                  <c:v>251358.723846154</c:v>
                </c:pt>
                <c:pt idx="15">
                  <c:v>284003.483076923</c:v>
                </c:pt>
                <c:pt idx="16">
                  <c:v>323188.274615385</c:v>
                </c:pt>
                <c:pt idx="17">
                  <c:v>368913.098461539</c:v>
                </c:pt>
                <c:pt idx="18">
                  <c:v>392066.564330628</c:v>
                </c:pt>
                <c:pt idx="19">
                  <c:v>421760.062507409</c:v>
                </c:pt>
                <c:pt idx="20">
                  <c:v>457993.592991883</c:v>
                </c:pt>
                <c:pt idx="21">
                  <c:v>592767.155784049</c:v>
                </c:pt>
                <c:pt idx="22">
                  <c:v>642080.750883907</c:v>
                </c:pt>
                <c:pt idx="23">
                  <c:v>697934.378291457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Diagramme!J3</c:f>
              <c:strCache>
                <c:ptCount val="1"/>
                <c:pt idx="0">
                  <c:v>Ohne Umsatz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Diagramme!$F$4:$F$27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Diagramme!$J$4:$J$27</c:f>
              <c:numCache>
                <c:formatCode>#,##0" €";\(#,##0" €)";\–</c:formatCode>
                <c:ptCount val="24"/>
                <c:pt idx="0">
                  <c:v>236750</c:v>
                </c:pt>
                <c:pt idx="1">
                  <c:v>231500</c:v>
                </c:pt>
                <c:pt idx="2">
                  <c:v>220750</c:v>
                </c:pt>
                <c:pt idx="3">
                  <c:v>206875</c:v>
                </c:pt>
                <c:pt idx="4">
                  <c:v>193000</c:v>
                </c:pt>
                <c:pt idx="5">
                  <c:v>179125</c:v>
                </c:pt>
                <c:pt idx="6">
                  <c:v>164250</c:v>
                </c:pt>
                <c:pt idx="7">
                  <c:v>149375</c:v>
                </c:pt>
                <c:pt idx="8">
                  <c:v>132500</c:v>
                </c:pt>
                <c:pt idx="9">
                  <c:v>117625</c:v>
                </c:pt>
                <c:pt idx="10">
                  <c:v>102750</c:v>
                </c:pt>
                <c:pt idx="11">
                  <c:v>87875</c:v>
                </c:pt>
                <c:pt idx="12">
                  <c:v>73000</c:v>
                </c:pt>
                <c:pt idx="13">
                  <c:v>58125</c:v>
                </c:pt>
                <c:pt idx="14">
                  <c:v>43250</c:v>
                </c:pt>
                <c:pt idx="15">
                  <c:v>31500</c:v>
                </c:pt>
                <c:pt idx="16">
                  <c:v>19750</c:v>
                </c:pt>
                <c:pt idx="17">
                  <c:v>8000</c:v>
                </c:pt>
                <c:pt idx="18">
                  <c:v>-3750</c:v>
                </c:pt>
                <c:pt idx="19">
                  <c:v>-15500</c:v>
                </c:pt>
                <c:pt idx="20">
                  <c:v>-27250</c:v>
                </c:pt>
                <c:pt idx="21">
                  <c:v>-39000</c:v>
                </c:pt>
                <c:pt idx="22">
                  <c:v>-50750</c:v>
                </c:pt>
                <c:pt idx="23">
                  <c:v>-62500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868832"/>
        <c:axId val="11820272"/>
      </c:lineChart>
      <c:catAx>
        <c:axId val="178688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Monat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20272"/>
        <c:crosses val="autoZero"/>
        <c:auto val="1"/>
        <c:lblAlgn val="ctr"/>
        <c:lblOffset val="100"/>
        <c:noMultiLvlLbl val="0"/>
      </c:catAx>
      <c:valAx>
        <c:axId val="118202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688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160560</xdr:rowOff>
    </xdr:from>
    <xdr:to>
      <xdr:col>19</xdr:col>
      <xdr:colOff>408960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1200780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21</xdr:row>
      <xdr:rowOff>160920</xdr:rowOff>
    </xdr:from>
    <xdr:to>
      <xdr:col>19</xdr:col>
      <xdr:colOff>408960</xdr:colOff>
      <xdr:row>40</xdr:row>
      <xdr:rowOff>140760</xdr:rowOff>
    </xdr:to>
    <xdr:graphicFrame>
      <xdr:nvGraphicFramePr>
        <xdr:cNvPr id="1" name="Chart 2"/>
        <xdr:cNvGraphicFramePr/>
      </xdr:nvGraphicFramePr>
      <xdr:xfrm>
        <a:off x="12007800" y="41911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4" t="s">
        <v>3</v>
      </c>
      <c r="B5" s="5"/>
      <c r="C5" s="5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6" t="s">
        <v>4</v>
      </c>
      <c r="B6" s="7" t="n">
        <v>250000</v>
      </c>
      <c r="C6" s="2"/>
      <c r="D6" s="2"/>
      <c r="E6" s="2"/>
      <c r="F6" s="2"/>
      <c r="G6" s="2"/>
      <c r="H6" s="2"/>
      <c r="I6" s="3" t="s">
        <v>5</v>
      </c>
    </row>
    <row r="7" customFormat="false" ht="15" hidden="false" customHeight="false" outlineLevel="0" collapsed="false">
      <c r="A7" s="6" t="s">
        <v>6</v>
      </c>
      <c r="B7" s="8" t="n">
        <v>250</v>
      </c>
      <c r="C7" s="2"/>
      <c r="D7" s="2"/>
      <c r="E7" s="2"/>
      <c r="F7" s="2"/>
      <c r="G7" s="2"/>
      <c r="H7" s="2"/>
      <c r="I7" s="3" t="s">
        <v>7</v>
      </c>
    </row>
    <row r="8" customFormat="false" ht="15" hidden="false" customHeight="false" outlineLevel="0" collapsed="false">
      <c r="A8" s="6" t="s">
        <v>8</v>
      </c>
      <c r="B8" s="9" t="n">
        <v>0.08</v>
      </c>
      <c r="C8" s="2"/>
      <c r="D8" s="2"/>
      <c r="E8" s="2"/>
      <c r="F8" s="2"/>
      <c r="G8" s="2"/>
      <c r="H8" s="2"/>
      <c r="I8" s="3" t="s">
        <v>9</v>
      </c>
    </row>
    <row r="9" customFormat="false" ht="15" hidden="false" customHeight="false" outlineLevel="0" collapsed="false">
      <c r="A9" s="6" t="s">
        <v>10</v>
      </c>
      <c r="B9" s="10" t="n">
        <v>10</v>
      </c>
      <c r="C9" s="2"/>
      <c r="D9" s="2"/>
      <c r="E9" s="2"/>
      <c r="F9" s="2"/>
      <c r="G9" s="2"/>
      <c r="H9" s="2"/>
      <c r="I9" s="3" t="s">
        <v>11</v>
      </c>
    </row>
    <row r="10" customFormat="false" ht="15" hidden="false" customHeight="false" outlineLevel="0" collapsed="false">
      <c r="A10" s="6" t="s">
        <v>12</v>
      </c>
      <c r="B10" s="11" t="n">
        <v>3.99</v>
      </c>
      <c r="C10" s="2"/>
      <c r="D10" s="2"/>
      <c r="E10" s="2"/>
      <c r="F10" s="2"/>
      <c r="G10" s="2"/>
      <c r="H10" s="2"/>
      <c r="I10" s="3" t="s">
        <v>13</v>
      </c>
    </row>
    <row r="11" customFormat="false" ht="15" hidden="false" customHeight="false" outlineLevel="0" collapsed="false">
      <c r="A11" s="6" t="s">
        <v>14</v>
      </c>
      <c r="B11" s="8" t="n">
        <v>49</v>
      </c>
      <c r="C11" s="2"/>
      <c r="D11" s="2"/>
      <c r="E11" s="2"/>
      <c r="F11" s="2"/>
      <c r="G11" s="2"/>
      <c r="H11" s="2"/>
      <c r="I11" s="3" t="s">
        <v>15</v>
      </c>
    </row>
    <row r="12" customFormat="false" ht="15" hidden="false" customHeight="false" outlineLevel="0" collapsed="false">
      <c r="A12" s="6" t="s">
        <v>16</v>
      </c>
      <c r="B12" s="9" t="n">
        <v>0.5</v>
      </c>
      <c r="C12" s="2"/>
      <c r="D12" s="2"/>
      <c r="E12" s="2"/>
      <c r="F12" s="2"/>
      <c r="G12" s="2"/>
      <c r="H12" s="2"/>
      <c r="I12" s="3" t="s">
        <v>17</v>
      </c>
    </row>
    <row r="13" customFormat="false" ht="15" hidden="false" customHeight="false" outlineLevel="0" collapsed="false">
      <c r="A13" s="6" t="s">
        <v>18</v>
      </c>
      <c r="B13" s="9" t="n">
        <v>0.75</v>
      </c>
      <c r="C13" s="2"/>
      <c r="D13" s="2"/>
      <c r="E13" s="2"/>
      <c r="F13" s="2"/>
      <c r="G13" s="2"/>
      <c r="H13" s="2"/>
      <c r="I13" s="3" t="s">
        <v>19</v>
      </c>
    </row>
    <row r="14" customFormat="false" ht="15" hidden="false" customHeight="false" outlineLevel="0" collapsed="false">
      <c r="A14" s="6" t="s">
        <v>20</v>
      </c>
      <c r="B14" s="10" t="n">
        <v>3</v>
      </c>
      <c r="C14" s="2"/>
      <c r="D14" s="2"/>
      <c r="E14" s="2"/>
      <c r="F14" s="2"/>
      <c r="G14" s="2"/>
      <c r="H14" s="2"/>
      <c r="I14" s="3" t="s">
        <v>21</v>
      </c>
    </row>
    <row r="15" customFormat="false" ht="15" hidden="false" customHeight="false" outlineLevel="0" collapsed="false">
      <c r="A15" s="6" t="s">
        <v>22</v>
      </c>
      <c r="B15" s="9" t="n">
        <v>0.6</v>
      </c>
      <c r="C15" s="2"/>
      <c r="D15" s="2"/>
      <c r="E15" s="2"/>
      <c r="F15" s="2"/>
      <c r="G15" s="2"/>
      <c r="H15" s="2"/>
      <c r="I15" s="3" t="s">
        <v>23</v>
      </c>
    </row>
    <row r="16" customFormat="false" ht="15" hidden="false" customHeight="false" outlineLevel="0" collapsed="false">
      <c r="A16" s="6" t="s">
        <v>24</v>
      </c>
      <c r="B16" s="8" t="n">
        <v>115000</v>
      </c>
      <c r="C16" s="2"/>
      <c r="D16" s="2"/>
      <c r="E16" s="2"/>
      <c r="F16" s="2"/>
      <c r="G16" s="2"/>
      <c r="H16" s="2"/>
      <c r="I16" s="3" t="s">
        <v>25</v>
      </c>
    </row>
    <row r="17" customFormat="false" ht="15" hidden="false" customHeight="false" outlineLevel="0" collapsed="false">
      <c r="A17" s="6" t="s">
        <v>26</v>
      </c>
      <c r="B17" s="8" t="n">
        <v>210000</v>
      </c>
      <c r="C17" s="2"/>
      <c r="D17" s="2"/>
      <c r="E17" s="2"/>
      <c r="F17" s="2"/>
      <c r="G17" s="2"/>
      <c r="H17" s="2"/>
      <c r="I17" s="3" t="s">
        <v>27</v>
      </c>
    </row>
    <row r="18" customFormat="false" ht="15" hidden="false" customHeight="false" outlineLevel="0" collapsed="false">
      <c r="A18" s="6" t="s">
        <v>28</v>
      </c>
      <c r="B18" s="10" t="n">
        <v>19</v>
      </c>
      <c r="C18" s="2"/>
      <c r="D18" s="2"/>
      <c r="E18" s="2"/>
      <c r="F18" s="2"/>
      <c r="G18" s="2"/>
      <c r="H18" s="2"/>
      <c r="I18" s="3" t="s">
        <v>29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4" t="s">
        <v>30</v>
      </c>
      <c r="B20" s="5"/>
      <c r="C20" s="5"/>
      <c r="D20" s="5"/>
      <c r="E20" s="5"/>
      <c r="F20" s="5"/>
      <c r="G20" s="5"/>
      <c r="H20" s="5"/>
      <c r="I20" s="5"/>
    </row>
    <row r="21" customFormat="false" ht="15" hidden="false" customHeight="false" outlineLevel="0" collapsed="false">
      <c r="A21" s="12" t="s">
        <v>31</v>
      </c>
      <c r="B21" s="12" t="s">
        <v>32</v>
      </c>
      <c r="C21" s="12" t="s">
        <v>33</v>
      </c>
      <c r="D21" s="12" t="s">
        <v>34</v>
      </c>
      <c r="E21" s="12" t="s">
        <v>35</v>
      </c>
      <c r="F21" s="12"/>
      <c r="G21" s="12"/>
      <c r="H21" s="12"/>
      <c r="I21" s="12" t="s">
        <v>36</v>
      </c>
    </row>
    <row r="22" customFormat="false" ht="15" hidden="false" customHeight="false" outlineLevel="0" collapsed="false">
      <c r="A22" s="6" t="s">
        <v>37</v>
      </c>
      <c r="B22" s="6" t="s">
        <v>38</v>
      </c>
      <c r="C22" s="13" t="n">
        <v>8000</v>
      </c>
      <c r="D22" s="13" t="n">
        <v>20000</v>
      </c>
      <c r="E22" s="13" t="n">
        <v>40000</v>
      </c>
      <c r="F22" s="2"/>
      <c r="G22" s="2"/>
      <c r="H22" s="2"/>
      <c r="I22" s="3" t="s">
        <v>39</v>
      </c>
    </row>
    <row r="23" customFormat="false" ht="15" hidden="false" customHeight="false" outlineLevel="0" collapsed="false">
      <c r="A23" s="6" t="s">
        <v>40</v>
      </c>
      <c r="B23" s="6" t="s">
        <v>38</v>
      </c>
      <c r="C23" s="13" t="n">
        <v>30000</v>
      </c>
      <c r="D23" s="13" t="n">
        <v>80000</v>
      </c>
      <c r="E23" s="13" t="n">
        <v>180000</v>
      </c>
      <c r="F23" s="2"/>
      <c r="G23" s="2"/>
      <c r="H23" s="2"/>
      <c r="I23" s="3" t="s">
        <v>39</v>
      </c>
    </row>
    <row r="24" customFormat="false" ht="15" hidden="false" customHeight="false" outlineLevel="0" collapsed="false">
      <c r="A24" s="6" t="s">
        <v>41</v>
      </c>
      <c r="B24" s="6" t="s">
        <v>38</v>
      </c>
      <c r="C24" s="13" t="n">
        <v>80000</v>
      </c>
      <c r="D24" s="13" t="n">
        <v>250000</v>
      </c>
      <c r="E24" s="13" t="n">
        <v>500000</v>
      </c>
      <c r="F24" s="2"/>
      <c r="G24" s="2"/>
      <c r="H24" s="2"/>
      <c r="I24" s="3" t="s">
        <v>42</v>
      </c>
    </row>
    <row r="25" customFormat="false" ht="15" hidden="false" customHeight="false" outlineLevel="0" collapsed="false">
      <c r="A25" s="6" t="s">
        <v>43</v>
      </c>
      <c r="B25" s="6" t="s">
        <v>44</v>
      </c>
      <c r="C25" s="9" t="n">
        <v>0.5</v>
      </c>
      <c r="D25" s="9" t="n">
        <v>0.8</v>
      </c>
      <c r="E25" s="9" t="n">
        <v>0.8</v>
      </c>
      <c r="F25" s="2"/>
      <c r="G25" s="2"/>
      <c r="H25" s="2"/>
      <c r="I25" s="3" t="s">
        <v>45</v>
      </c>
    </row>
    <row r="26" customFormat="false" ht="15" hidden="false" customHeight="false" outlineLevel="0" collapsed="false">
      <c r="A26" s="6" t="s">
        <v>46</v>
      </c>
      <c r="B26" s="6" t="s">
        <v>44</v>
      </c>
      <c r="C26" s="9" t="n">
        <v>0.35</v>
      </c>
      <c r="D26" s="9" t="n">
        <v>0.5</v>
      </c>
      <c r="E26" s="9" t="n">
        <v>0.5</v>
      </c>
      <c r="F26" s="2"/>
      <c r="G26" s="2"/>
      <c r="H26" s="2"/>
      <c r="I26" s="3" t="s">
        <v>47</v>
      </c>
    </row>
    <row r="27" customFormat="false" ht="15" hidden="false" customHeight="false" outlineLevel="0" collapsed="false">
      <c r="A27" s="6" t="s">
        <v>48</v>
      </c>
      <c r="B27" s="6" t="s">
        <v>44</v>
      </c>
      <c r="C27" s="9" t="n">
        <v>0.03</v>
      </c>
      <c r="D27" s="9" t="n">
        <v>0.04</v>
      </c>
      <c r="E27" s="9" t="n">
        <v>0.05</v>
      </c>
      <c r="F27" s="2"/>
      <c r="G27" s="2"/>
      <c r="H27" s="2"/>
      <c r="I27" s="3" t="s">
        <v>39</v>
      </c>
    </row>
    <row r="28" customFormat="false" ht="15" hidden="false" customHeight="false" outlineLevel="0" collapsed="false">
      <c r="A28" s="6" t="s">
        <v>49</v>
      </c>
      <c r="B28" s="6" t="s">
        <v>44</v>
      </c>
      <c r="C28" s="9" t="n">
        <v>0.03</v>
      </c>
      <c r="D28" s="9" t="n">
        <v>0.0425</v>
      </c>
      <c r="E28" s="9" t="n">
        <v>0.0525</v>
      </c>
      <c r="F28" s="2"/>
      <c r="G28" s="2"/>
      <c r="H28" s="2"/>
      <c r="I28" s="3" t="s">
        <v>50</v>
      </c>
    </row>
    <row r="29" customFormat="false" ht="15" hidden="false" customHeight="false" outlineLevel="0" collapsed="false">
      <c r="A29" s="6" t="s">
        <v>51</v>
      </c>
      <c r="B29" s="6" t="s">
        <v>44</v>
      </c>
      <c r="C29" s="9" t="n">
        <v>0.03</v>
      </c>
      <c r="D29" s="9" t="n">
        <v>0.045</v>
      </c>
      <c r="E29" s="9" t="n">
        <v>0.055</v>
      </c>
      <c r="F29" s="2"/>
      <c r="G29" s="2"/>
      <c r="H29" s="2"/>
      <c r="I29" s="3" t="s">
        <v>52</v>
      </c>
    </row>
    <row r="30" customFormat="false" ht="15" hidden="false" customHeight="false" outlineLevel="0" collapsed="false">
      <c r="A30" s="6" t="s">
        <v>53</v>
      </c>
      <c r="B30" s="6" t="s">
        <v>54</v>
      </c>
      <c r="C30" s="11" t="n">
        <v>8.5</v>
      </c>
      <c r="D30" s="11" t="n">
        <v>8.5</v>
      </c>
      <c r="E30" s="11" t="n">
        <v>8.5</v>
      </c>
      <c r="F30" s="2"/>
      <c r="G30" s="2"/>
      <c r="H30" s="2"/>
      <c r="I30" s="3" t="s">
        <v>55</v>
      </c>
    </row>
    <row r="31" customFormat="false" ht="15" hidden="false" customHeight="false" outlineLevel="0" collapsed="false">
      <c r="A31" s="6" t="s">
        <v>56</v>
      </c>
      <c r="B31" s="6" t="s">
        <v>44</v>
      </c>
      <c r="C31" s="9" t="n">
        <v>0.07</v>
      </c>
      <c r="D31" s="9" t="n">
        <v>0.1</v>
      </c>
      <c r="E31" s="9" t="n">
        <v>0.12</v>
      </c>
      <c r="F31" s="2"/>
      <c r="G31" s="2"/>
      <c r="H31" s="2"/>
      <c r="I31" s="3" t="s">
        <v>39</v>
      </c>
    </row>
    <row r="32" customFormat="false" ht="15" hidden="false" customHeight="false" outlineLevel="0" collapsed="false">
      <c r="A32" s="6" t="s">
        <v>57</v>
      </c>
      <c r="B32" s="6" t="s">
        <v>58</v>
      </c>
      <c r="C32" s="13" t="n">
        <v>2</v>
      </c>
      <c r="D32" s="13" t="n">
        <v>3</v>
      </c>
      <c r="E32" s="13" t="n">
        <v>5</v>
      </c>
      <c r="F32" s="2"/>
      <c r="G32" s="2"/>
      <c r="H32" s="2"/>
      <c r="I32" s="3" t="s">
        <v>39</v>
      </c>
    </row>
    <row r="33" customFormat="false" ht="15" hidden="false" customHeight="false" outlineLevel="0" collapsed="false">
      <c r="A33" s="6" t="s">
        <v>59</v>
      </c>
      <c r="B33" s="6" t="s">
        <v>58</v>
      </c>
      <c r="C33" s="13" t="n">
        <v>8</v>
      </c>
      <c r="D33" s="13" t="n">
        <v>15</v>
      </c>
      <c r="E33" s="13" t="n">
        <v>30</v>
      </c>
      <c r="F33" s="2"/>
      <c r="G33" s="2"/>
      <c r="H33" s="2"/>
      <c r="I33" s="3" t="s">
        <v>39</v>
      </c>
    </row>
    <row r="34" customFormat="false" ht="15" hidden="false" customHeight="false" outlineLevel="0" collapsed="false">
      <c r="A34" s="6" t="s">
        <v>60</v>
      </c>
      <c r="B34" s="6" t="s">
        <v>58</v>
      </c>
      <c r="C34" s="13" t="n">
        <v>25</v>
      </c>
      <c r="D34" s="13" t="n">
        <v>40</v>
      </c>
      <c r="E34" s="13" t="n">
        <v>80</v>
      </c>
      <c r="F34" s="2"/>
      <c r="G34" s="2"/>
      <c r="H34" s="2"/>
      <c r="I34" s="3" t="s">
        <v>39</v>
      </c>
    </row>
    <row r="35" customFormat="false" ht="15" hidden="false" customHeight="false" outlineLevel="0" collapsed="false">
      <c r="A35" s="6" t="s">
        <v>61</v>
      </c>
      <c r="B35" s="6" t="s">
        <v>58</v>
      </c>
      <c r="C35" s="13" t="n">
        <v>40</v>
      </c>
      <c r="D35" s="13" t="n">
        <v>70</v>
      </c>
      <c r="E35" s="13" t="n">
        <v>140</v>
      </c>
      <c r="F35" s="2"/>
      <c r="G35" s="2"/>
      <c r="H35" s="2"/>
      <c r="I35" s="3" t="s">
        <v>62</v>
      </c>
    </row>
    <row r="36" customFormat="false" ht="15" hidden="false" customHeight="false" outlineLevel="0" collapsed="false">
      <c r="A36" s="6" t="s">
        <v>63</v>
      </c>
      <c r="B36" s="6" t="s">
        <v>58</v>
      </c>
      <c r="C36" s="13" t="n">
        <v>60</v>
      </c>
      <c r="D36" s="13" t="n">
        <v>100</v>
      </c>
      <c r="E36" s="13" t="n">
        <v>200</v>
      </c>
      <c r="F36" s="2"/>
      <c r="G36" s="2"/>
      <c r="H36" s="2"/>
      <c r="I36" s="3" t="s">
        <v>62</v>
      </c>
    </row>
    <row r="37" customFormat="false" ht="15" hidden="false" customHeight="false" outlineLevel="0" collapsed="false">
      <c r="A37" s="6" t="s">
        <v>64</v>
      </c>
      <c r="B37" s="6" t="s">
        <v>65</v>
      </c>
      <c r="C37" s="8" t="n">
        <v>0</v>
      </c>
      <c r="D37" s="8" t="n">
        <v>0</v>
      </c>
      <c r="E37" s="8" t="n">
        <v>0</v>
      </c>
      <c r="F37" s="2"/>
      <c r="G37" s="2"/>
      <c r="H37" s="2"/>
      <c r="I37" s="3" t="s">
        <v>39</v>
      </c>
    </row>
    <row r="38" customFormat="false" ht="15" hidden="false" customHeight="false" outlineLevel="0" collapsed="false">
      <c r="A38" s="6" t="s">
        <v>66</v>
      </c>
      <c r="B38" s="6" t="s">
        <v>65</v>
      </c>
      <c r="C38" s="8" t="n">
        <v>0</v>
      </c>
      <c r="D38" s="8" t="n">
        <v>50000</v>
      </c>
      <c r="E38" s="8" t="n">
        <v>100000</v>
      </c>
      <c r="F38" s="2"/>
      <c r="G38" s="2"/>
      <c r="H38" s="2"/>
      <c r="I38" s="3" t="s">
        <v>39</v>
      </c>
    </row>
    <row r="39" customFormat="false" ht="15" hidden="false" customHeight="false" outlineLevel="0" collapsed="false">
      <c r="A39" s="6" t="s">
        <v>67</v>
      </c>
      <c r="B39" s="6" t="s">
        <v>65</v>
      </c>
      <c r="C39" s="8" t="n">
        <v>50000</v>
      </c>
      <c r="D39" s="8" t="n">
        <v>150000</v>
      </c>
      <c r="E39" s="8" t="n">
        <v>400000</v>
      </c>
      <c r="F39" s="2"/>
      <c r="G39" s="2"/>
      <c r="H39" s="2"/>
      <c r="I39" s="3" t="s">
        <v>39</v>
      </c>
    </row>
    <row r="40" customFormat="false" ht="15" hidden="false" customHeight="false" outlineLevel="0" collapsed="false">
      <c r="A40" s="6" t="s">
        <v>68</v>
      </c>
      <c r="B40" s="6" t="s">
        <v>65</v>
      </c>
      <c r="C40" s="8" t="n">
        <v>100000</v>
      </c>
      <c r="D40" s="8" t="n">
        <v>300000</v>
      </c>
      <c r="E40" s="8" t="n">
        <v>700000</v>
      </c>
      <c r="F40" s="2"/>
      <c r="G40" s="2"/>
      <c r="H40" s="2"/>
      <c r="I40" s="3" t="s">
        <v>69</v>
      </c>
    </row>
    <row r="41" customFormat="false" ht="15" hidden="false" customHeight="false" outlineLevel="0" collapsed="false">
      <c r="A41" s="6" t="s">
        <v>70</v>
      </c>
      <c r="B41" s="6" t="s">
        <v>65</v>
      </c>
      <c r="C41" s="8" t="n">
        <v>150000</v>
      </c>
      <c r="D41" s="8" t="n">
        <v>500000</v>
      </c>
      <c r="E41" s="8" t="n">
        <v>1000000</v>
      </c>
      <c r="F41" s="2"/>
      <c r="G41" s="2"/>
      <c r="H41" s="2"/>
      <c r="I41" s="3" t="s">
        <v>62</v>
      </c>
    </row>
    <row r="42" customFormat="false" ht="15" hidden="false" customHeight="false" outlineLevel="0" collapsed="false">
      <c r="A42" s="6" t="s">
        <v>71</v>
      </c>
      <c r="B42" s="6" t="s">
        <v>65</v>
      </c>
      <c r="C42" s="8" t="n">
        <v>330000</v>
      </c>
      <c r="D42" s="8" t="n">
        <v>710000</v>
      </c>
      <c r="E42" s="8" t="n">
        <v>1100000</v>
      </c>
      <c r="F42" s="2"/>
      <c r="G42" s="2"/>
      <c r="H42" s="2"/>
      <c r="I42" s="3" t="s">
        <v>72</v>
      </c>
    </row>
    <row r="43" customFormat="false" ht="15" hidden="false" customHeight="false" outlineLevel="0" collapsed="false">
      <c r="A43" s="6" t="s">
        <v>73</v>
      </c>
      <c r="B43" s="6" t="s">
        <v>44</v>
      </c>
      <c r="C43" s="9" t="n">
        <v>0.2</v>
      </c>
      <c r="D43" s="9" t="n">
        <v>0.5</v>
      </c>
      <c r="E43" s="9" t="n">
        <v>0.5</v>
      </c>
      <c r="F43" s="2"/>
      <c r="G43" s="2"/>
      <c r="H43" s="2"/>
      <c r="I43" s="3" t="s">
        <v>74</v>
      </c>
    </row>
    <row r="44" customFormat="false" ht="15" hidden="false" customHeight="false" outlineLevel="0" collapsed="false">
      <c r="A44" s="6" t="s">
        <v>75</v>
      </c>
      <c r="B44" s="6" t="s">
        <v>44</v>
      </c>
      <c r="C44" s="9" t="n">
        <v>0.15</v>
      </c>
      <c r="D44" s="9" t="n">
        <v>0.4</v>
      </c>
      <c r="E44" s="9" t="n">
        <v>0.4</v>
      </c>
      <c r="F44" s="2"/>
      <c r="G44" s="2"/>
      <c r="H44" s="2"/>
      <c r="I44" s="3" t="s">
        <v>62</v>
      </c>
    </row>
    <row r="45" customFormat="false" ht="15" hidden="false" customHeight="false" outlineLevel="0" collapsed="false">
      <c r="A45" s="6" t="s">
        <v>76</v>
      </c>
      <c r="B45" s="6" t="s">
        <v>65</v>
      </c>
      <c r="C45" s="8" t="n">
        <v>120000</v>
      </c>
      <c r="D45" s="8" t="n">
        <v>165000</v>
      </c>
      <c r="E45" s="8" t="n">
        <v>190000</v>
      </c>
      <c r="F45" s="2"/>
      <c r="G45" s="2"/>
      <c r="H45" s="2"/>
      <c r="I45" s="3" t="s">
        <v>77</v>
      </c>
    </row>
    <row r="46" customFormat="false" ht="15" hidden="false" customHeight="false" outlineLevel="0" collapsed="false">
      <c r="A46" s="6" t="s">
        <v>78</v>
      </c>
      <c r="B46" s="6" t="s">
        <v>65</v>
      </c>
      <c r="C46" s="8" t="n">
        <v>230000</v>
      </c>
      <c r="D46" s="8" t="n">
        <v>398000</v>
      </c>
      <c r="E46" s="8" t="n">
        <v>520000</v>
      </c>
      <c r="F46" s="2"/>
      <c r="G46" s="2"/>
      <c r="H46" s="2"/>
      <c r="I46" s="3" t="s">
        <v>79</v>
      </c>
    </row>
    <row r="47" customFormat="false" ht="15" hidden="false" customHeight="false" outlineLevel="0" collapsed="false">
      <c r="A47" s="6" t="s">
        <v>80</v>
      </c>
      <c r="B47" s="6" t="s">
        <v>81</v>
      </c>
      <c r="C47" s="14" t="n">
        <f aca="false">C46/$D$46</f>
        <v>0.577889447236181</v>
      </c>
      <c r="D47" s="14" t="n">
        <f aca="false">D46/$D$46</f>
        <v>1</v>
      </c>
      <c r="E47" s="14" t="n">
        <f aca="false">E46/$D$46</f>
        <v>1.30653266331658</v>
      </c>
      <c r="F47" s="2"/>
      <c r="G47" s="2"/>
      <c r="H47" s="2"/>
      <c r="I47" s="3" t="s">
        <v>82</v>
      </c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A49" s="4" t="s">
        <v>83</v>
      </c>
      <c r="B49" s="5"/>
      <c r="C49" s="5"/>
      <c r="D49" s="5"/>
      <c r="E49" s="5"/>
      <c r="F49" s="5"/>
      <c r="G49" s="5"/>
      <c r="H49" s="5"/>
      <c r="I49" s="5"/>
    </row>
    <row r="50" customFormat="false" ht="15" hidden="false" customHeight="false" outlineLevel="0" collapsed="false">
      <c r="A50" s="12" t="s">
        <v>84</v>
      </c>
      <c r="B50" s="12" t="s">
        <v>85</v>
      </c>
      <c r="C50" s="12" t="s">
        <v>54</v>
      </c>
      <c r="D50" s="12" t="s">
        <v>86</v>
      </c>
      <c r="E50" s="12" t="s">
        <v>87</v>
      </c>
      <c r="F50" s="12" t="s">
        <v>88</v>
      </c>
      <c r="G50" s="12" t="s">
        <v>89</v>
      </c>
      <c r="H50" s="12" t="s">
        <v>90</v>
      </c>
      <c r="I50" s="12" t="s">
        <v>91</v>
      </c>
    </row>
    <row r="51" customFormat="false" ht="15" hidden="false" customHeight="false" outlineLevel="0" collapsed="false">
      <c r="A51" s="6" t="s">
        <v>92</v>
      </c>
      <c r="B51" s="6" t="s">
        <v>93</v>
      </c>
      <c r="C51" s="8" t="n">
        <v>5500</v>
      </c>
      <c r="D51" s="10" t="n">
        <v>3</v>
      </c>
      <c r="E51" s="10" t="n">
        <v>18</v>
      </c>
      <c r="F51" s="8" t="n">
        <v>0</v>
      </c>
      <c r="G51" s="10" t="n">
        <v>1</v>
      </c>
      <c r="H51" s="15" t="n">
        <f aca="false">C51*MAX(0,MIN(E51,18)-D51+1)+IF(G51&lt;=18,F51,0)</f>
        <v>88000</v>
      </c>
      <c r="I51" s="3" t="s">
        <v>94</v>
      </c>
    </row>
    <row r="52" customFormat="false" ht="15" hidden="false" customHeight="false" outlineLevel="0" collapsed="false">
      <c r="A52" s="6" t="s">
        <v>95</v>
      </c>
      <c r="B52" s="6" t="s">
        <v>93</v>
      </c>
      <c r="C52" s="8" t="n">
        <v>2000</v>
      </c>
      <c r="D52" s="10" t="n">
        <v>1</v>
      </c>
      <c r="E52" s="10" t="n">
        <v>18</v>
      </c>
      <c r="F52" s="8" t="n">
        <v>0</v>
      </c>
      <c r="G52" s="10" t="n">
        <v>1</v>
      </c>
      <c r="H52" s="15" t="n">
        <f aca="false">C52*MAX(0,MIN(E52,18)-D52+1)+IF(G52&lt;=18,F52,0)</f>
        <v>36000</v>
      </c>
      <c r="I52" s="3" t="s">
        <v>96</v>
      </c>
    </row>
    <row r="53" customFormat="false" ht="15" hidden="false" customHeight="false" outlineLevel="0" collapsed="false">
      <c r="A53" s="6" t="s">
        <v>97</v>
      </c>
      <c r="B53" s="6" t="s">
        <v>93</v>
      </c>
      <c r="C53" s="8" t="n">
        <v>0</v>
      </c>
      <c r="D53" s="10" t="n">
        <v>1</v>
      </c>
      <c r="E53" s="10" t="n">
        <v>18</v>
      </c>
      <c r="F53" s="8" t="n">
        <v>1000</v>
      </c>
      <c r="G53" s="10" t="n">
        <v>1</v>
      </c>
      <c r="H53" s="15" t="n">
        <f aca="false">C53*MAX(0,MIN(E53,18)-D53+1)+IF(G53&lt;=18,F53,0)</f>
        <v>1000</v>
      </c>
      <c r="I53" s="3" t="s">
        <v>98</v>
      </c>
    </row>
    <row r="54" customFormat="false" ht="15" hidden="false" customHeight="false" outlineLevel="0" collapsed="false">
      <c r="A54" s="6" t="s">
        <v>99</v>
      </c>
      <c r="B54" s="6" t="s">
        <v>100</v>
      </c>
      <c r="C54" s="8" t="n">
        <v>2000</v>
      </c>
      <c r="D54" s="10" t="n">
        <v>1</v>
      </c>
      <c r="E54" s="10" t="n">
        <v>6</v>
      </c>
      <c r="F54" s="8" t="n">
        <v>0</v>
      </c>
      <c r="G54" s="10" t="n">
        <v>1</v>
      </c>
      <c r="H54" s="15" t="n">
        <f aca="false">C54*MAX(0,MIN(E54,18)-D54+1)+IF(G54&lt;=18,F54,0)</f>
        <v>12000</v>
      </c>
      <c r="I54" s="3" t="s">
        <v>101</v>
      </c>
    </row>
    <row r="55" customFormat="false" ht="15" hidden="false" customHeight="false" outlineLevel="0" collapsed="false">
      <c r="A55" s="6" t="s">
        <v>102</v>
      </c>
      <c r="B55" s="6" t="s">
        <v>100</v>
      </c>
      <c r="C55" s="8" t="n">
        <v>3000</v>
      </c>
      <c r="D55" s="10" t="n">
        <v>7</v>
      </c>
      <c r="E55" s="10" t="n">
        <v>18</v>
      </c>
      <c r="F55" s="8" t="n">
        <v>0</v>
      </c>
      <c r="G55" s="10" t="n">
        <v>1</v>
      </c>
      <c r="H55" s="15" t="n">
        <f aca="false">C55*MAX(0,MIN(E55,18)-D55+1)+IF(G55&lt;=18,F55,0)</f>
        <v>36000</v>
      </c>
      <c r="I55" s="3" t="s">
        <v>103</v>
      </c>
    </row>
    <row r="56" customFormat="false" ht="15" hidden="false" customHeight="false" outlineLevel="0" collapsed="false">
      <c r="A56" s="6" t="s">
        <v>104</v>
      </c>
      <c r="B56" s="6" t="s">
        <v>100</v>
      </c>
      <c r="C56" s="8" t="n">
        <v>0</v>
      </c>
      <c r="D56" s="10" t="n">
        <v>1</v>
      </c>
      <c r="E56" s="10" t="n">
        <v>18</v>
      </c>
      <c r="F56" s="8" t="n">
        <v>2000</v>
      </c>
      <c r="G56" s="10" t="n">
        <v>9</v>
      </c>
      <c r="H56" s="15" t="n">
        <f aca="false">C56*MAX(0,MIN(E56,18)-D56+1)+IF(G56&lt;=18,F56,0)</f>
        <v>2000</v>
      </c>
      <c r="I56" s="3" t="s">
        <v>105</v>
      </c>
    </row>
    <row r="57" customFormat="false" ht="15" hidden="false" customHeight="false" outlineLevel="0" collapsed="false">
      <c r="A57" s="6" t="s">
        <v>106</v>
      </c>
      <c r="B57" s="6" t="s">
        <v>107</v>
      </c>
      <c r="C57" s="8" t="n">
        <v>3125</v>
      </c>
      <c r="D57" s="10" t="n">
        <v>4</v>
      </c>
      <c r="E57" s="10" t="n">
        <v>15</v>
      </c>
      <c r="F57" s="8" t="n">
        <v>0</v>
      </c>
      <c r="G57" s="10" t="n">
        <v>1</v>
      </c>
      <c r="H57" s="15" t="n">
        <f aca="false">C57*MAX(0,MIN(E57,18)-D57+1)+IF(G57&lt;=18,F57,0)</f>
        <v>37500</v>
      </c>
      <c r="I57" s="3" t="s">
        <v>108</v>
      </c>
    </row>
    <row r="58" customFormat="false" ht="15" hidden="false" customHeight="false" outlineLevel="0" collapsed="false">
      <c r="A58" s="6" t="s">
        <v>109</v>
      </c>
      <c r="B58" s="6" t="s">
        <v>110</v>
      </c>
      <c r="C58" s="8" t="n">
        <v>1000</v>
      </c>
      <c r="D58" s="10" t="n">
        <v>1</v>
      </c>
      <c r="E58" s="10" t="n">
        <v>18</v>
      </c>
      <c r="F58" s="8" t="n">
        <v>7000</v>
      </c>
      <c r="G58" s="10" t="n">
        <v>1</v>
      </c>
      <c r="H58" s="15" t="n">
        <f aca="false">C58*MAX(0,MIN(E58,18)-D58+1)+IF(G58&lt;=18,F58,0)</f>
        <v>25000</v>
      </c>
      <c r="I58" s="3" t="s">
        <v>111</v>
      </c>
    </row>
    <row r="59" customFormat="false" ht="15" hidden="false" customHeight="false" outlineLevel="0" collapsed="false">
      <c r="A59" s="16" t="s">
        <v>112</v>
      </c>
      <c r="B59" s="2"/>
      <c r="C59" s="2"/>
      <c r="D59" s="2"/>
      <c r="E59" s="2"/>
      <c r="F59" s="2"/>
      <c r="G59" s="2"/>
      <c r="H59" s="17" t="n">
        <f aca="false">SUM(H51:H58)</f>
        <v>237500</v>
      </c>
      <c r="I59" s="2"/>
    </row>
    <row r="60" customFormat="false" ht="15" hidden="false" customHeight="false" outlineLevel="0" collapsed="false">
      <c r="A60" s="6" t="s">
        <v>113</v>
      </c>
      <c r="B60" s="2"/>
      <c r="C60" s="15" t="n">
        <f aca="false">C51+C52+C55+C58</f>
        <v>11500</v>
      </c>
      <c r="D60" s="2"/>
      <c r="E60" s="2"/>
      <c r="F60" s="2"/>
      <c r="G60" s="2"/>
      <c r="H60" s="2"/>
      <c r="I60" s="3" t="s">
        <v>114</v>
      </c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</row>
    <row r="62" customFormat="false" ht="15" hidden="false" customHeight="false" outlineLevel="0" collapsed="false">
      <c r="A62" s="4" t="s">
        <v>115</v>
      </c>
      <c r="B62" s="5"/>
      <c r="C62" s="5"/>
      <c r="D62" s="5"/>
      <c r="E62" s="5"/>
      <c r="F62" s="5"/>
      <c r="G62" s="5"/>
      <c r="H62" s="5"/>
      <c r="I62" s="5"/>
    </row>
    <row r="63" customFormat="false" ht="15" hidden="false" customHeight="false" outlineLevel="0" collapsed="false">
      <c r="A63" s="12" t="s">
        <v>116</v>
      </c>
      <c r="B63" s="12" t="s">
        <v>117</v>
      </c>
      <c r="C63" s="12" t="s">
        <v>118</v>
      </c>
      <c r="D63" s="12" t="s">
        <v>119</v>
      </c>
      <c r="E63" s="12"/>
      <c r="F63" s="12"/>
      <c r="G63" s="12"/>
      <c r="H63" s="12"/>
      <c r="I63" s="12" t="s">
        <v>120</v>
      </c>
    </row>
    <row r="64" customFormat="false" ht="15" hidden="false" customHeight="false" outlineLevel="0" collapsed="false">
      <c r="A64" s="6" t="s">
        <v>121</v>
      </c>
      <c r="B64" s="6" t="s">
        <v>122</v>
      </c>
      <c r="C64" s="8" t="n">
        <v>160000</v>
      </c>
      <c r="D64" s="15" t="n">
        <f aca="false">C64/12</f>
        <v>13333.3333333333</v>
      </c>
      <c r="E64" s="2"/>
      <c r="F64" s="2"/>
      <c r="G64" s="2"/>
      <c r="H64" s="2"/>
      <c r="I64" s="2"/>
    </row>
    <row r="65" customFormat="false" ht="15" hidden="false" customHeight="false" outlineLevel="0" collapsed="false">
      <c r="A65" s="6" t="s">
        <v>123</v>
      </c>
      <c r="B65" s="6" t="s">
        <v>124</v>
      </c>
      <c r="C65" s="8" t="n">
        <v>60000</v>
      </c>
      <c r="D65" s="15" t="n">
        <f aca="false">C65/12</f>
        <v>5000</v>
      </c>
      <c r="E65" s="2"/>
      <c r="F65" s="2"/>
      <c r="G65" s="2"/>
      <c r="H65" s="2"/>
      <c r="I65" s="2"/>
    </row>
    <row r="66" customFormat="false" ht="15" hidden="false" customHeight="false" outlineLevel="0" collapsed="false">
      <c r="A66" s="6" t="s">
        <v>125</v>
      </c>
      <c r="B66" s="6" t="s">
        <v>126</v>
      </c>
      <c r="C66" s="8" t="n">
        <v>48000</v>
      </c>
      <c r="D66" s="15" t="n">
        <f aca="false">C66/12</f>
        <v>4000</v>
      </c>
      <c r="E66" s="2"/>
      <c r="F66" s="2"/>
      <c r="G66" s="2"/>
      <c r="H66" s="2"/>
      <c r="I66" s="2"/>
    </row>
    <row r="67" customFormat="false" ht="15" hidden="false" customHeight="false" outlineLevel="0" collapsed="false">
      <c r="A67" s="6" t="s">
        <v>127</v>
      </c>
      <c r="B67" s="6" t="s">
        <v>128</v>
      </c>
      <c r="C67" s="8" t="n">
        <v>25000</v>
      </c>
      <c r="D67" s="15" t="n">
        <f aca="false">C67/12</f>
        <v>2083.33333333333</v>
      </c>
      <c r="E67" s="2"/>
      <c r="F67" s="2"/>
      <c r="G67" s="2"/>
      <c r="H67" s="2"/>
      <c r="I67" s="2"/>
    </row>
    <row r="68" customFormat="false" ht="15" hidden="false" customHeight="false" outlineLevel="0" collapsed="false">
      <c r="A68" s="6" t="s">
        <v>129</v>
      </c>
      <c r="B68" s="6" t="s">
        <v>130</v>
      </c>
      <c r="C68" s="8" t="n">
        <v>60000</v>
      </c>
      <c r="D68" s="15" t="n">
        <f aca="false">C68/12</f>
        <v>5000</v>
      </c>
      <c r="E68" s="2"/>
      <c r="F68" s="2"/>
      <c r="G68" s="2"/>
      <c r="H68" s="2"/>
      <c r="I68" s="2"/>
    </row>
    <row r="69" customFormat="false" ht="15" hidden="false" customHeight="false" outlineLevel="0" collapsed="false">
      <c r="A69" s="6" t="s">
        <v>131</v>
      </c>
      <c r="B69" s="6" t="s">
        <v>110</v>
      </c>
      <c r="C69" s="8" t="n">
        <v>20000</v>
      </c>
      <c r="D69" s="15" t="n">
        <f aca="false">C69/12</f>
        <v>1666.66666666667</v>
      </c>
      <c r="E69" s="2"/>
      <c r="F69" s="2"/>
      <c r="G69" s="2"/>
      <c r="H69" s="2"/>
      <c r="I69" s="2"/>
    </row>
    <row r="70" customFormat="false" ht="15" hidden="false" customHeight="false" outlineLevel="0" collapsed="false">
      <c r="A70" s="16" t="s">
        <v>132</v>
      </c>
      <c r="B70" s="2"/>
      <c r="C70" s="17" t="n">
        <f aca="false">SUM(C64:C69)</f>
        <v>373000</v>
      </c>
      <c r="D70" s="17" t="n">
        <f aca="false">SUM(D64:D69)</f>
        <v>31083.3333333333</v>
      </c>
      <c r="E70" s="2"/>
      <c r="F70" s="2"/>
      <c r="G70" s="2"/>
      <c r="H70" s="2"/>
      <c r="I70" s="3" t="s">
        <v>133</v>
      </c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</row>
    <row r="72" customFormat="false" ht="15" hidden="false" customHeight="false" outlineLevel="0" collapsed="false">
      <c r="A72" s="4" t="s">
        <v>134</v>
      </c>
      <c r="B72" s="5"/>
      <c r="C72" s="5"/>
      <c r="D72" s="5"/>
      <c r="E72" s="5"/>
      <c r="F72" s="5"/>
      <c r="G72" s="5"/>
      <c r="H72" s="5"/>
      <c r="I72" s="5"/>
    </row>
    <row r="73" customFormat="false" ht="15" hidden="false" customHeight="false" outlineLevel="0" collapsed="false">
      <c r="A73" s="12" t="s">
        <v>135</v>
      </c>
      <c r="B73" s="12" t="s">
        <v>136</v>
      </c>
      <c r="C73" s="12" t="s">
        <v>137</v>
      </c>
      <c r="D73" s="12" t="s">
        <v>138</v>
      </c>
      <c r="E73" s="12" t="s">
        <v>139</v>
      </c>
      <c r="F73" s="12"/>
      <c r="G73" s="12"/>
      <c r="H73" s="12"/>
      <c r="I73" s="12" t="s">
        <v>120</v>
      </c>
    </row>
    <row r="74" customFormat="false" ht="15" hidden="false" customHeight="false" outlineLevel="0" collapsed="false">
      <c r="A74" s="6" t="s">
        <v>140</v>
      </c>
      <c r="B74" s="6" t="s">
        <v>33</v>
      </c>
      <c r="C74" s="13" t="n">
        <v>15</v>
      </c>
      <c r="D74" s="13" t="n">
        <v>81</v>
      </c>
      <c r="E74" s="13" t="n">
        <v>268</v>
      </c>
      <c r="F74" s="2"/>
      <c r="G74" s="2"/>
      <c r="H74" s="2"/>
      <c r="I74" s="2"/>
    </row>
    <row r="75" customFormat="false" ht="15" hidden="false" customHeight="false" outlineLevel="0" collapsed="false">
      <c r="A75" s="6" t="s">
        <v>141</v>
      </c>
      <c r="B75" s="6" t="s">
        <v>33</v>
      </c>
      <c r="C75" s="13" t="n">
        <v>1</v>
      </c>
      <c r="D75" s="13" t="n">
        <v>4</v>
      </c>
      <c r="E75" s="13" t="n">
        <v>12</v>
      </c>
      <c r="F75" s="2"/>
      <c r="G75" s="2"/>
      <c r="H75" s="2"/>
      <c r="I75" s="3" t="s">
        <v>142</v>
      </c>
    </row>
    <row r="76" customFormat="false" ht="15" hidden="false" customHeight="false" outlineLevel="0" collapsed="false">
      <c r="A76" s="6" t="s">
        <v>143</v>
      </c>
      <c r="B76" s="6" t="s">
        <v>33</v>
      </c>
      <c r="C76" s="13" t="n">
        <v>-105</v>
      </c>
      <c r="D76" s="13" t="n">
        <v>-149</v>
      </c>
      <c r="E76" s="13" t="n">
        <v>-62</v>
      </c>
      <c r="F76" s="2"/>
      <c r="G76" s="2"/>
      <c r="H76" s="2"/>
      <c r="I76" s="2"/>
    </row>
    <row r="77" customFormat="false" ht="15" hidden="false" customHeight="false" outlineLevel="0" collapsed="false">
      <c r="A77" s="6" t="s">
        <v>140</v>
      </c>
      <c r="B77" s="6" t="s">
        <v>34</v>
      </c>
      <c r="C77" s="13" t="n">
        <v>51</v>
      </c>
      <c r="D77" s="13" t="n">
        <v>336</v>
      </c>
      <c r="E77" s="13" t="n">
        <v>1039</v>
      </c>
      <c r="F77" s="2"/>
      <c r="G77" s="2"/>
      <c r="H77" s="2"/>
      <c r="I77" s="2"/>
    </row>
    <row r="78" customFormat="false" ht="15" hidden="false" customHeight="false" outlineLevel="0" collapsed="false">
      <c r="A78" s="6" t="s">
        <v>141</v>
      </c>
      <c r="B78" s="6" t="s">
        <v>34</v>
      </c>
      <c r="C78" s="13" t="n">
        <v>2</v>
      </c>
      <c r="D78" s="13" t="n">
        <v>9</v>
      </c>
      <c r="E78" s="13" t="n">
        <v>24</v>
      </c>
      <c r="F78" s="2"/>
      <c r="G78" s="2"/>
      <c r="H78" s="2"/>
      <c r="I78" s="2"/>
    </row>
    <row r="79" customFormat="false" ht="15" hidden="false" customHeight="false" outlineLevel="0" collapsed="false">
      <c r="A79" s="6" t="s">
        <v>143</v>
      </c>
      <c r="B79" s="6" t="s">
        <v>34</v>
      </c>
      <c r="C79" s="13" t="n">
        <v>-114</v>
      </c>
      <c r="D79" s="13" t="n">
        <v>-62</v>
      </c>
      <c r="E79" s="13" t="n">
        <v>329</v>
      </c>
      <c r="F79" s="2"/>
      <c r="G79" s="2"/>
      <c r="H79" s="2"/>
      <c r="I79" s="2"/>
    </row>
    <row r="80" customFormat="false" ht="15" hidden="false" customHeight="false" outlineLevel="0" collapsed="false">
      <c r="A80" s="6" t="s">
        <v>140</v>
      </c>
      <c r="B80" s="6" t="s">
        <v>35</v>
      </c>
      <c r="C80" s="13" t="n">
        <v>124</v>
      </c>
      <c r="D80" s="13" t="n">
        <v>893</v>
      </c>
      <c r="E80" s="13" t="n">
        <v>2601</v>
      </c>
      <c r="F80" s="2"/>
      <c r="G80" s="2"/>
      <c r="H80" s="2"/>
      <c r="I80" s="2"/>
    </row>
    <row r="81" customFormat="false" ht="15" hidden="false" customHeight="false" outlineLevel="0" collapsed="false">
      <c r="A81" s="6" t="s">
        <v>141</v>
      </c>
      <c r="B81" s="6" t="s">
        <v>35</v>
      </c>
      <c r="C81" s="13" t="n">
        <v>3</v>
      </c>
      <c r="D81" s="13" t="n">
        <v>18</v>
      </c>
      <c r="E81" s="13" t="n">
        <v>48</v>
      </c>
      <c r="F81" s="2"/>
      <c r="G81" s="2"/>
      <c r="H81" s="2"/>
      <c r="I81" s="2"/>
    </row>
    <row r="82" customFormat="false" ht="15" hidden="false" customHeight="false" outlineLevel="0" collapsed="false">
      <c r="A82" s="6" t="s">
        <v>143</v>
      </c>
      <c r="B82" s="6" t="s">
        <v>35</v>
      </c>
      <c r="C82" s="13" t="n">
        <v>-66</v>
      </c>
      <c r="D82" s="13" t="n">
        <v>373</v>
      </c>
      <c r="E82" s="13" t="n">
        <v>1501</v>
      </c>
      <c r="F82" s="2"/>
      <c r="G82" s="2"/>
      <c r="H82" s="2"/>
      <c r="I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</row>
    <row r="84" customFormat="false" ht="15" hidden="false" customHeight="false" outlineLevel="0" collapsed="false">
      <c r="A84" s="4" t="s">
        <v>144</v>
      </c>
      <c r="B84" s="5"/>
      <c r="C84" s="5"/>
      <c r="D84" s="5"/>
      <c r="E84" s="5"/>
      <c r="F84" s="5"/>
      <c r="G84" s="5"/>
      <c r="H84" s="5"/>
      <c r="I84" s="5"/>
    </row>
    <row r="85" customFormat="false" ht="15" hidden="false" customHeight="false" outlineLevel="0" collapsed="false">
      <c r="A85" s="6" t="s">
        <v>145</v>
      </c>
      <c r="B85" s="2"/>
      <c r="C85" s="2"/>
      <c r="D85" s="2"/>
      <c r="E85" s="2"/>
      <c r="F85" s="2"/>
      <c r="G85" s="2"/>
      <c r="H85" s="2"/>
      <c r="I85" s="2"/>
    </row>
    <row r="86" customFormat="false" ht="15" hidden="false" customHeight="false" outlineLevel="0" collapsed="false">
      <c r="A86" s="6" t="s">
        <v>146</v>
      </c>
      <c r="B86" s="2"/>
      <c r="C86" s="2"/>
      <c r="D86" s="2"/>
      <c r="E86" s="2"/>
      <c r="F86" s="2"/>
      <c r="G86" s="2"/>
      <c r="H86" s="2"/>
      <c r="I86" s="2"/>
    </row>
    <row r="87" customFormat="false" ht="15" hidden="false" customHeight="false" outlineLevel="0" collapsed="false">
      <c r="A87" s="6" t="s">
        <v>147</v>
      </c>
      <c r="B87" s="2"/>
      <c r="C87" s="2"/>
      <c r="D87" s="2"/>
      <c r="E87" s="2"/>
      <c r="F87" s="2"/>
      <c r="G87" s="2"/>
      <c r="H87" s="2"/>
      <c r="I87" s="2"/>
    </row>
    <row r="88" customFormat="false" ht="15" hidden="false" customHeight="false" outlineLevel="0" collapsed="false">
      <c r="A88" s="6" t="s">
        <v>148</v>
      </c>
      <c r="B88" s="2"/>
      <c r="C88" s="2"/>
      <c r="D88" s="2"/>
      <c r="E88" s="2"/>
      <c r="F88" s="2"/>
      <c r="G88" s="2"/>
      <c r="H88" s="2"/>
      <c r="I88" s="2"/>
    </row>
    <row r="89" customFormat="false" ht="15" hidden="false" customHeight="false" outlineLevel="0" collapsed="false">
      <c r="A89" s="6" t="s">
        <v>149</v>
      </c>
      <c r="B89" s="2"/>
      <c r="C89" s="2"/>
      <c r="D89" s="2"/>
      <c r="E89" s="2"/>
      <c r="F89" s="2"/>
      <c r="G89" s="2"/>
      <c r="H89" s="2"/>
      <c r="I89" s="2"/>
    </row>
    <row r="90" customFormat="false" ht="15" hidden="false" customHeight="false" outlineLevel="0" collapsed="false">
      <c r="A90" s="6" t="s">
        <v>150</v>
      </c>
      <c r="B90" s="2"/>
      <c r="C90" s="2"/>
      <c r="D90" s="2"/>
      <c r="E90" s="2"/>
      <c r="F90" s="2"/>
      <c r="G90" s="2"/>
      <c r="H90" s="2"/>
      <c r="I90" s="2"/>
    </row>
    <row r="91" customFormat="false" ht="15" hidden="false" customHeight="false" outlineLevel="0" collapsed="false">
      <c r="A91" s="6" t="s">
        <v>151</v>
      </c>
      <c r="B91" s="2"/>
      <c r="C91" s="2"/>
      <c r="D91" s="2"/>
      <c r="E91" s="2"/>
      <c r="F91" s="2"/>
      <c r="G91" s="2"/>
      <c r="H91" s="2"/>
      <c r="I91" s="2"/>
    </row>
    <row r="92" customFormat="false" ht="15" hidden="false" customHeight="false" outlineLevel="0" collapsed="false">
      <c r="A92" s="6" t="s">
        <v>152</v>
      </c>
      <c r="B92" s="2"/>
      <c r="C92" s="2"/>
      <c r="D92" s="2"/>
      <c r="E92" s="2"/>
      <c r="F92" s="2"/>
      <c r="G92" s="2"/>
      <c r="H92" s="2"/>
      <c r="I9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7" min="3" style="0" width="15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153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154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4" t="s">
        <v>155</v>
      </c>
      <c r="B4" s="5"/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A5" s="12" t="s">
        <v>156</v>
      </c>
      <c r="B5" s="12" t="s">
        <v>32</v>
      </c>
      <c r="C5" s="12" t="s">
        <v>157</v>
      </c>
      <c r="D5" s="12" t="s">
        <v>158</v>
      </c>
      <c r="E5" s="12" t="s">
        <v>159</v>
      </c>
      <c r="F5" s="12" t="s">
        <v>160</v>
      </c>
      <c r="G5" s="12" t="s">
        <v>161</v>
      </c>
      <c r="H5" s="12" t="s">
        <v>162</v>
      </c>
    </row>
    <row r="6" customFormat="false" ht="15" hidden="false" customHeight="false" outlineLevel="0" collapsed="false">
      <c r="A6" s="6" t="s">
        <v>163</v>
      </c>
      <c r="B6" s="6" t="s">
        <v>38</v>
      </c>
      <c r="C6" s="18" t="n">
        <f aca="false">Annahmen!$C$22</f>
        <v>8000</v>
      </c>
      <c r="D6" s="18" t="n">
        <f aca="false">Annahmen!$C$23</f>
        <v>30000</v>
      </c>
      <c r="E6" s="18" t="n">
        <f aca="false">Annahmen!$C$24</f>
        <v>80000</v>
      </c>
      <c r="F6" s="18" t="n">
        <f aca="false">E6*(1+Annahmen!$C$25)</f>
        <v>120000</v>
      </c>
      <c r="G6" s="18" t="n">
        <f aca="false">F6*(1+Annahmen!$C$26)</f>
        <v>162000</v>
      </c>
      <c r="H6" s="3" t="s">
        <v>164</v>
      </c>
    </row>
    <row r="7" customFormat="false" ht="15" hidden="false" customHeight="false" outlineLevel="0" collapsed="false">
      <c r="A7" s="6" t="s">
        <v>165</v>
      </c>
      <c r="B7" s="6" t="s">
        <v>44</v>
      </c>
      <c r="C7" s="19" t="n">
        <f aca="false">Annahmen!$C$27</f>
        <v>0.03</v>
      </c>
      <c r="D7" s="19" t="n">
        <f aca="false">Annahmen!$C$27</f>
        <v>0.03</v>
      </c>
      <c r="E7" s="19" t="n">
        <f aca="false">Annahmen!$C$27</f>
        <v>0.03</v>
      </c>
      <c r="F7" s="19" t="n">
        <f aca="false">Annahmen!$C$28</f>
        <v>0.03</v>
      </c>
      <c r="G7" s="19" t="n">
        <f aca="false">Annahmen!$C$29</f>
        <v>0.03</v>
      </c>
      <c r="H7" s="2"/>
    </row>
    <row r="8" customFormat="false" ht="15" hidden="false" customHeight="false" outlineLevel="0" collapsed="false">
      <c r="A8" s="6" t="s">
        <v>166</v>
      </c>
      <c r="B8" s="6" t="s">
        <v>167</v>
      </c>
      <c r="C8" s="20" t="n">
        <f aca="false">C6*C7</f>
        <v>240</v>
      </c>
      <c r="D8" s="20" t="n">
        <f aca="false">D6*D7</f>
        <v>900</v>
      </c>
      <c r="E8" s="20" t="n">
        <f aca="false">E6*E7</f>
        <v>2400</v>
      </c>
      <c r="F8" s="20" t="n">
        <f aca="false">F6*F7</f>
        <v>3600</v>
      </c>
      <c r="G8" s="20" t="n">
        <f aca="false">G6*G7</f>
        <v>4860</v>
      </c>
      <c r="H8" s="2"/>
    </row>
    <row r="9" customFormat="false" ht="15" hidden="false" customHeight="false" outlineLevel="0" collapsed="false">
      <c r="A9" s="6" t="s">
        <v>168</v>
      </c>
      <c r="B9" s="6" t="s">
        <v>167</v>
      </c>
      <c r="C9" s="18" t="n">
        <f aca="false">C8*Annahmen!$B$12</f>
        <v>120</v>
      </c>
      <c r="D9" s="18" t="n">
        <f aca="false">D8*Annahmen!$B$13</f>
        <v>675</v>
      </c>
      <c r="E9" s="18" t="n">
        <f aca="false">E8*Annahmen!$B$13</f>
        <v>1800</v>
      </c>
      <c r="F9" s="18" t="n">
        <f aca="false">F8*Annahmen!$B$13</f>
        <v>2700</v>
      </c>
      <c r="G9" s="18" t="n">
        <f aca="false">G8*Annahmen!$B$13</f>
        <v>3645</v>
      </c>
      <c r="H9" s="3" t="s">
        <v>169</v>
      </c>
    </row>
    <row r="10" customFormat="false" ht="15" hidden="false" customHeight="false" outlineLevel="0" collapsed="false">
      <c r="A10" s="6" t="s">
        <v>170</v>
      </c>
      <c r="B10" s="6" t="s">
        <v>65</v>
      </c>
      <c r="C10" s="21" t="n">
        <f aca="false">C9*Annahmen!$C$30*12</f>
        <v>12240</v>
      </c>
      <c r="D10" s="21" t="n">
        <f aca="false">D9*Annahmen!$C$30*12</f>
        <v>68850</v>
      </c>
      <c r="E10" s="21" t="n">
        <f aca="false">E9*Annahmen!$C$30*12</f>
        <v>183600</v>
      </c>
      <c r="F10" s="21" t="n">
        <f aca="false">F9*Annahmen!$C$30*12</f>
        <v>275400</v>
      </c>
      <c r="G10" s="21" t="n">
        <f aca="false">G9*Annahmen!$C$30*12</f>
        <v>371790</v>
      </c>
      <c r="H10" s="2"/>
    </row>
    <row r="11" customFormat="false" ht="15" hidden="false" customHeight="false" outlineLevel="0" collapsed="false">
      <c r="A11" s="6" t="s">
        <v>171</v>
      </c>
      <c r="B11" s="6" t="s">
        <v>65</v>
      </c>
      <c r="C11" s="21" t="n">
        <f aca="false">C6*Annahmen!$C$31*Annahmen!$B$10</f>
        <v>2234.4</v>
      </c>
      <c r="D11" s="21" t="n">
        <f aca="false">D6*Annahmen!$C$31*Annahmen!$B$10</f>
        <v>8379</v>
      </c>
      <c r="E11" s="21" t="n">
        <f aca="false">E6*Annahmen!$C$31*Annahmen!$B$10</f>
        <v>22344</v>
      </c>
      <c r="F11" s="21" t="n">
        <f aca="false">F6*Annahmen!$C$31*Annahmen!$B$10</f>
        <v>33516</v>
      </c>
      <c r="G11" s="21" t="n">
        <f aca="false">G6*Annahmen!$C$31*Annahmen!$B$10</f>
        <v>45246.6</v>
      </c>
      <c r="H11" s="2"/>
    </row>
    <row r="12" customFormat="false" ht="15" hidden="false" customHeight="false" outlineLevel="0" collapsed="false">
      <c r="A12" s="6" t="s">
        <v>172</v>
      </c>
      <c r="B12" s="6" t="s">
        <v>65</v>
      </c>
      <c r="C12" s="21" t="n">
        <f aca="false">Annahmen!$C$32*Annahmen!$B$11*12</f>
        <v>1176</v>
      </c>
      <c r="D12" s="21" t="n">
        <f aca="false">Annahmen!$C$33*Annahmen!$B$11*12</f>
        <v>4704</v>
      </c>
      <c r="E12" s="21" t="n">
        <f aca="false">Annahmen!$C$34*Annahmen!$B$11*12</f>
        <v>14700</v>
      </c>
      <c r="F12" s="21" t="n">
        <f aca="false">Annahmen!$C$35*Annahmen!$B$11*12</f>
        <v>23520</v>
      </c>
      <c r="G12" s="21" t="n">
        <f aca="false">Annahmen!$C$36*Annahmen!$B$11*12</f>
        <v>35280</v>
      </c>
      <c r="H12" s="3" t="s">
        <v>173</v>
      </c>
    </row>
    <row r="13" customFormat="false" ht="15" hidden="false" customHeight="false" outlineLevel="0" collapsed="false">
      <c r="A13" s="6" t="s">
        <v>174</v>
      </c>
      <c r="B13" s="6" t="s">
        <v>65</v>
      </c>
      <c r="C13" s="15" t="n">
        <f aca="false">C10+C11+C12</f>
        <v>15650.4</v>
      </c>
      <c r="D13" s="15" t="n">
        <f aca="false">D10+D11+D12</f>
        <v>81933</v>
      </c>
      <c r="E13" s="15" t="n">
        <f aca="false">E10+E11+E12</f>
        <v>220644</v>
      </c>
      <c r="F13" s="15" t="n">
        <f aca="false">F10+F11+F12</f>
        <v>332436</v>
      </c>
      <c r="G13" s="15" t="n">
        <f aca="false">G10+G11+G12</f>
        <v>452316.6</v>
      </c>
      <c r="H13" s="2"/>
    </row>
    <row r="14" customFormat="false" ht="15" hidden="false" customHeight="false" outlineLevel="0" collapsed="false">
      <c r="A14" s="6" t="s">
        <v>175</v>
      </c>
      <c r="B14" s="6" t="s">
        <v>65</v>
      </c>
      <c r="C14" s="21" t="n">
        <f aca="false">Annahmen!$C$37</f>
        <v>0</v>
      </c>
      <c r="D14" s="21" t="n">
        <f aca="false">Annahmen!$C$38</f>
        <v>0</v>
      </c>
      <c r="E14" s="21" t="n">
        <f aca="false">Annahmen!$C$39</f>
        <v>50000</v>
      </c>
      <c r="F14" s="21" t="n">
        <f aca="false">Annahmen!$C$40</f>
        <v>100000</v>
      </c>
      <c r="G14" s="21" t="n">
        <f aca="false">Annahmen!$C$41</f>
        <v>150000</v>
      </c>
      <c r="H14" s="2"/>
    </row>
    <row r="15" customFormat="false" ht="15" hidden="false" customHeight="false" outlineLevel="0" collapsed="false">
      <c r="A15" s="16" t="s">
        <v>176</v>
      </c>
      <c r="B15" s="6" t="s">
        <v>65</v>
      </c>
      <c r="C15" s="22" t="n">
        <f aca="false">C13+C14</f>
        <v>15650.4</v>
      </c>
      <c r="D15" s="22" t="n">
        <f aca="false">D13+D14</f>
        <v>81933</v>
      </c>
      <c r="E15" s="22" t="n">
        <f aca="false">E13+E14</f>
        <v>270644</v>
      </c>
      <c r="F15" s="22" t="n">
        <f aca="false">F13+F14</f>
        <v>432436</v>
      </c>
      <c r="G15" s="22" t="n">
        <f aca="false">G13+G14</f>
        <v>602316.6</v>
      </c>
      <c r="H15" s="2"/>
    </row>
    <row r="16" customFormat="false" ht="15" hidden="false" customHeight="false" outlineLevel="0" collapsed="false">
      <c r="A16" s="16" t="s">
        <v>177</v>
      </c>
      <c r="B16" s="6" t="s">
        <v>65</v>
      </c>
      <c r="C16" s="23" t="n">
        <f aca="false">'Liquidität 24M'!$AB$65</f>
        <v>163377.032</v>
      </c>
      <c r="D16" s="23" t="n">
        <f aca="false">'Liquidität 24M'!$AC$65</f>
        <v>195706.021909548</v>
      </c>
      <c r="E16" s="23" t="n">
        <f aca="false">Annahmen!$C$42</f>
        <v>330000</v>
      </c>
      <c r="F16" s="23" t="n">
        <f aca="false">E16*(1+Annahmen!$C$43)</f>
        <v>396000</v>
      </c>
      <c r="G16" s="23" t="n">
        <f aca="false">F16*(1+Annahmen!$C$44)</f>
        <v>455400</v>
      </c>
      <c r="H16" s="3" t="s">
        <v>178</v>
      </c>
    </row>
    <row r="17" customFormat="false" ht="15" hidden="false" customHeight="false" outlineLevel="0" collapsed="false">
      <c r="A17" s="16" t="s">
        <v>179</v>
      </c>
      <c r="B17" s="6" t="s">
        <v>65</v>
      </c>
      <c r="C17" s="24" t="n">
        <f aca="false">C15-C16</f>
        <v>-147726.632</v>
      </c>
      <c r="D17" s="24" t="n">
        <f aca="false">D15-D16</f>
        <v>-113773.021909548</v>
      </c>
      <c r="E17" s="24" t="n">
        <f aca="false">E15-E16</f>
        <v>-59356</v>
      </c>
      <c r="F17" s="24" t="n">
        <f aca="false">F15-F16</f>
        <v>36436</v>
      </c>
      <c r="G17" s="24" t="n">
        <f aca="false">G15-G16</f>
        <v>146916.6</v>
      </c>
      <c r="H17" s="2"/>
    </row>
    <row r="18" customFormat="false" ht="15" hidden="false" customHeight="false" outlineLevel="0" collapsed="false">
      <c r="A18" s="6" t="s">
        <v>180</v>
      </c>
      <c r="B18" s="6" t="s">
        <v>44</v>
      </c>
      <c r="C18" s="25" t="n">
        <f aca="false">IF(C15=0,0,C17/C15)</f>
        <v>-9.43916014926136</v>
      </c>
      <c r="D18" s="25" t="n">
        <f aca="false">IF(D15=0,0,D17/D15)</f>
        <v>-1.38861047330804</v>
      </c>
      <c r="E18" s="25" t="n">
        <f aca="false">IF(E15=0,0,E17/E15)</f>
        <v>-0.219313932693871</v>
      </c>
      <c r="F18" s="25" t="n">
        <f aca="false">IF(F15=0,0,F17/F15)</f>
        <v>0.0842575548751723</v>
      </c>
      <c r="G18" s="25" t="n">
        <f aca="false">IF(G15=0,0,G17/G15)</f>
        <v>0.243919227861228</v>
      </c>
      <c r="H18" s="2"/>
    </row>
    <row r="19" customFormat="false" ht="15" hidden="false" customHeight="false" outlineLevel="0" collapsed="false">
      <c r="A19" s="6" t="s">
        <v>181</v>
      </c>
      <c r="B19" s="6" t="s">
        <v>65</v>
      </c>
      <c r="C19" s="15" t="n">
        <f aca="false">C17</f>
        <v>-147726.632</v>
      </c>
      <c r="D19" s="15" t="n">
        <f aca="false">C19+D17</f>
        <v>-261499.653909548</v>
      </c>
      <c r="E19" s="15" t="n">
        <f aca="false">D19+E17</f>
        <v>-320855.653909548</v>
      </c>
      <c r="F19" s="15" t="n">
        <f aca="false">E19+F17</f>
        <v>-284419.653909548</v>
      </c>
      <c r="G19" s="15" t="n">
        <f aca="false">F19+G17</f>
        <v>-137503.053909548</v>
      </c>
      <c r="H19" s="2"/>
    </row>
    <row r="20" customFormat="false" ht="15" hidden="false" customHeight="false" outlineLevel="0" collapsed="false">
      <c r="A20" s="6" t="s">
        <v>182</v>
      </c>
      <c r="B20" s="6" t="s">
        <v>65</v>
      </c>
      <c r="C20" s="21" t="n">
        <f aca="false">'Liquidität 24M'!$O$67</f>
        <v>102273.368</v>
      </c>
      <c r="D20" s="21" t="n">
        <f aca="false">'Liquidität 24M'!$AA$67</f>
        <v>-11499.6539095477</v>
      </c>
      <c r="E20" s="15" t="n">
        <f aca="false">D20+E17</f>
        <v>-70855.6539095477</v>
      </c>
      <c r="F20" s="15" t="n">
        <f aca="false">E20+F17</f>
        <v>-34419.6539095477</v>
      </c>
      <c r="G20" s="15" t="n">
        <f aca="false">F20+G17</f>
        <v>112496.946090452</v>
      </c>
      <c r="H20" s="3" t="s">
        <v>183</v>
      </c>
    </row>
    <row r="21" customFormat="false" ht="15" hidden="false" customHeight="false" outlineLevel="0" collapsed="false">
      <c r="A21" s="26" t="s">
        <v>184</v>
      </c>
      <c r="B21" s="2"/>
      <c r="C21" s="18" t="n">
        <f aca="false">Annahmen!$C$74</f>
        <v>15</v>
      </c>
      <c r="D21" s="18" t="n">
        <f aca="false">Annahmen!$D$74</f>
        <v>81</v>
      </c>
      <c r="E21" s="18" t="n">
        <f aca="false">Annahmen!$E$74</f>
        <v>268</v>
      </c>
      <c r="F21" s="2"/>
      <c r="G21" s="2"/>
      <c r="H21" s="2"/>
    </row>
    <row r="22" customFormat="false" ht="15" hidden="false" customHeight="false" outlineLevel="0" collapsed="false">
      <c r="A22" s="26" t="s">
        <v>185</v>
      </c>
      <c r="B22" s="2"/>
      <c r="C22" s="27" t="n">
        <f aca="false">C15/1000-C21</f>
        <v>0.650399999999999</v>
      </c>
      <c r="D22" s="27" t="n">
        <f aca="false">D15/1000-D21</f>
        <v>0.933000000000007</v>
      </c>
      <c r="E22" s="27" t="n">
        <f aca="false">E15/1000-E21</f>
        <v>2.64400000000001</v>
      </c>
      <c r="F22" s="2"/>
      <c r="G22" s="2"/>
      <c r="H22" s="3" t="s">
        <v>186</v>
      </c>
    </row>
    <row r="23" customFormat="false" ht="15" hidden="false" customHeight="false" outlineLevel="0" collapsed="false">
      <c r="A23" s="26" t="s">
        <v>187</v>
      </c>
      <c r="B23" s="2"/>
      <c r="C23" s="18" t="n">
        <f aca="false">Annahmen!$C$76</f>
        <v>-105</v>
      </c>
      <c r="D23" s="18" t="n">
        <f aca="false">Annahmen!$D$76</f>
        <v>-149</v>
      </c>
      <c r="E23" s="18" t="n">
        <f aca="false">Annahmen!$E$76</f>
        <v>-62</v>
      </c>
      <c r="F23" s="2"/>
      <c r="G23" s="2"/>
      <c r="H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4" t="s">
        <v>188</v>
      </c>
      <c r="B25" s="5"/>
      <c r="C25" s="5"/>
      <c r="D25" s="5"/>
      <c r="E25" s="5"/>
      <c r="F25" s="5"/>
      <c r="G25" s="5"/>
      <c r="H25" s="5"/>
    </row>
    <row r="26" customFormat="false" ht="15" hidden="false" customHeight="false" outlineLevel="0" collapsed="false">
      <c r="A26" s="12" t="s">
        <v>156</v>
      </c>
      <c r="B26" s="12" t="s">
        <v>32</v>
      </c>
      <c r="C26" s="12" t="s">
        <v>157</v>
      </c>
      <c r="D26" s="12" t="s">
        <v>158</v>
      </c>
      <c r="E26" s="12" t="s">
        <v>159</v>
      </c>
      <c r="F26" s="12" t="s">
        <v>160</v>
      </c>
      <c r="G26" s="12" t="s">
        <v>161</v>
      </c>
      <c r="H26" s="12" t="s">
        <v>162</v>
      </c>
    </row>
    <row r="27" customFormat="false" ht="15" hidden="false" customHeight="false" outlineLevel="0" collapsed="false">
      <c r="A27" s="6" t="s">
        <v>163</v>
      </c>
      <c r="B27" s="6" t="s">
        <v>38</v>
      </c>
      <c r="C27" s="18" t="n">
        <f aca="false">Annahmen!$D$22</f>
        <v>20000</v>
      </c>
      <c r="D27" s="18" t="n">
        <f aca="false">Annahmen!$D$23</f>
        <v>80000</v>
      </c>
      <c r="E27" s="18" t="n">
        <f aca="false">Annahmen!$D$24</f>
        <v>250000</v>
      </c>
      <c r="F27" s="18" t="n">
        <f aca="false">E27*(1+Annahmen!$D$25)</f>
        <v>450000</v>
      </c>
      <c r="G27" s="18" t="n">
        <f aca="false">F27*(1+Annahmen!$D$26)</f>
        <v>675000</v>
      </c>
      <c r="H27" s="3" t="s">
        <v>164</v>
      </c>
    </row>
    <row r="28" customFormat="false" ht="15" hidden="false" customHeight="false" outlineLevel="0" collapsed="false">
      <c r="A28" s="6" t="s">
        <v>165</v>
      </c>
      <c r="B28" s="6" t="s">
        <v>44</v>
      </c>
      <c r="C28" s="19" t="n">
        <f aca="false">Annahmen!$D$27</f>
        <v>0.04</v>
      </c>
      <c r="D28" s="19" t="n">
        <f aca="false">Annahmen!$D$27</f>
        <v>0.04</v>
      </c>
      <c r="E28" s="19" t="n">
        <f aca="false">Annahmen!$D$27</f>
        <v>0.04</v>
      </c>
      <c r="F28" s="19" t="n">
        <f aca="false">Annahmen!$D$28</f>
        <v>0.0425</v>
      </c>
      <c r="G28" s="19" t="n">
        <f aca="false">Annahmen!$D$29</f>
        <v>0.045</v>
      </c>
      <c r="H28" s="2"/>
    </row>
    <row r="29" customFormat="false" ht="15" hidden="false" customHeight="false" outlineLevel="0" collapsed="false">
      <c r="A29" s="6" t="s">
        <v>166</v>
      </c>
      <c r="B29" s="6" t="s">
        <v>167</v>
      </c>
      <c r="C29" s="20" t="n">
        <f aca="false">C27*C28</f>
        <v>800</v>
      </c>
      <c r="D29" s="20" t="n">
        <f aca="false">D27*D28</f>
        <v>3200</v>
      </c>
      <c r="E29" s="20" t="n">
        <f aca="false">E27*E28</f>
        <v>10000</v>
      </c>
      <c r="F29" s="20" t="n">
        <f aca="false">F27*F28</f>
        <v>19125</v>
      </c>
      <c r="G29" s="20" t="n">
        <f aca="false">G27*G28</f>
        <v>30375</v>
      </c>
      <c r="H29" s="2"/>
    </row>
    <row r="30" customFormat="false" ht="15" hidden="false" customHeight="false" outlineLevel="0" collapsed="false">
      <c r="A30" s="6" t="s">
        <v>168</v>
      </c>
      <c r="B30" s="6" t="s">
        <v>167</v>
      </c>
      <c r="C30" s="18" t="n">
        <f aca="false">C29*Annahmen!$B$12</f>
        <v>400</v>
      </c>
      <c r="D30" s="18" t="n">
        <f aca="false">D29*Annahmen!$B$13</f>
        <v>2400</v>
      </c>
      <c r="E30" s="18" t="n">
        <f aca="false">E29*Annahmen!$B$13</f>
        <v>7500</v>
      </c>
      <c r="F30" s="18" t="n">
        <f aca="false">F29*Annahmen!$B$13</f>
        <v>14343.75</v>
      </c>
      <c r="G30" s="18" t="n">
        <f aca="false">G29*Annahmen!$B$13</f>
        <v>22781.25</v>
      </c>
      <c r="H30" s="3" t="s">
        <v>169</v>
      </c>
    </row>
    <row r="31" customFormat="false" ht="15" hidden="false" customHeight="false" outlineLevel="0" collapsed="false">
      <c r="A31" s="6" t="s">
        <v>170</v>
      </c>
      <c r="B31" s="6" t="s">
        <v>65</v>
      </c>
      <c r="C31" s="21" t="n">
        <f aca="false">C30*Annahmen!$D$30*12</f>
        <v>40800</v>
      </c>
      <c r="D31" s="21" t="n">
        <f aca="false">D30*Annahmen!$D$30*12</f>
        <v>244800</v>
      </c>
      <c r="E31" s="21" t="n">
        <f aca="false">E30*Annahmen!$D$30*12</f>
        <v>765000</v>
      </c>
      <c r="F31" s="21" t="n">
        <f aca="false">F30*Annahmen!$D$30*12</f>
        <v>1463062.5</v>
      </c>
      <c r="G31" s="21" t="n">
        <f aca="false">G30*Annahmen!$D$30*12</f>
        <v>2323687.5</v>
      </c>
      <c r="H31" s="2"/>
    </row>
    <row r="32" customFormat="false" ht="15" hidden="false" customHeight="false" outlineLevel="0" collapsed="false">
      <c r="A32" s="6" t="s">
        <v>171</v>
      </c>
      <c r="B32" s="6" t="s">
        <v>65</v>
      </c>
      <c r="C32" s="21" t="n">
        <f aca="false">C27*Annahmen!$D$31*Annahmen!$B$10</f>
        <v>7980</v>
      </c>
      <c r="D32" s="21" t="n">
        <f aca="false">D27*Annahmen!$D$31*Annahmen!$B$10</f>
        <v>31920</v>
      </c>
      <c r="E32" s="21" t="n">
        <f aca="false">E27*Annahmen!$D$31*Annahmen!$B$10</f>
        <v>99750</v>
      </c>
      <c r="F32" s="21" t="n">
        <f aca="false">F27*Annahmen!$D$31*Annahmen!$B$10</f>
        <v>179550</v>
      </c>
      <c r="G32" s="21" t="n">
        <f aca="false">G27*Annahmen!$D$31*Annahmen!$B$10</f>
        <v>269325</v>
      </c>
      <c r="H32" s="2"/>
    </row>
    <row r="33" customFormat="false" ht="15" hidden="false" customHeight="false" outlineLevel="0" collapsed="false">
      <c r="A33" s="6" t="s">
        <v>172</v>
      </c>
      <c r="B33" s="6" t="s">
        <v>65</v>
      </c>
      <c r="C33" s="21" t="n">
        <f aca="false">Annahmen!$D$32*Annahmen!$B$11*12</f>
        <v>1764</v>
      </c>
      <c r="D33" s="21" t="n">
        <f aca="false">Annahmen!$D$33*Annahmen!$B$11*12</f>
        <v>8820</v>
      </c>
      <c r="E33" s="21" t="n">
        <f aca="false">Annahmen!$D$34*Annahmen!$B$11*12</f>
        <v>23520</v>
      </c>
      <c r="F33" s="21" t="n">
        <f aca="false">Annahmen!$D$35*Annahmen!$B$11*12</f>
        <v>41160</v>
      </c>
      <c r="G33" s="21" t="n">
        <f aca="false">Annahmen!$D$36*Annahmen!$B$11*12</f>
        <v>58800</v>
      </c>
      <c r="H33" s="3" t="s">
        <v>173</v>
      </c>
    </row>
    <row r="34" customFormat="false" ht="15" hidden="false" customHeight="false" outlineLevel="0" collapsed="false">
      <c r="A34" s="6" t="s">
        <v>174</v>
      </c>
      <c r="B34" s="6" t="s">
        <v>65</v>
      </c>
      <c r="C34" s="15" t="n">
        <f aca="false">C31+C32+C33</f>
        <v>50544</v>
      </c>
      <c r="D34" s="15" t="n">
        <f aca="false">D31+D32+D33</f>
        <v>285540</v>
      </c>
      <c r="E34" s="15" t="n">
        <f aca="false">E31+E32+E33</f>
        <v>888270</v>
      </c>
      <c r="F34" s="15" t="n">
        <f aca="false">F31+F32+F33</f>
        <v>1683772.5</v>
      </c>
      <c r="G34" s="15" t="n">
        <f aca="false">G31+G32+G33</f>
        <v>2651812.5</v>
      </c>
      <c r="H34" s="2"/>
    </row>
    <row r="35" customFormat="false" ht="15" hidden="false" customHeight="false" outlineLevel="0" collapsed="false">
      <c r="A35" s="6" t="s">
        <v>175</v>
      </c>
      <c r="B35" s="6" t="s">
        <v>65</v>
      </c>
      <c r="C35" s="21" t="n">
        <f aca="false">Annahmen!$D$37</f>
        <v>0</v>
      </c>
      <c r="D35" s="21" t="n">
        <f aca="false">Annahmen!$D$38</f>
        <v>50000</v>
      </c>
      <c r="E35" s="21" t="n">
        <f aca="false">Annahmen!$D$39</f>
        <v>150000</v>
      </c>
      <c r="F35" s="21" t="n">
        <f aca="false">Annahmen!$D$40</f>
        <v>300000</v>
      </c>
      <c r="G35" s="21" t="n">
        <f aca="false">Annahmen!$D$41</f>
        <v>500000</v>
      </c>
      <c r="H35" s="2"/>
    </row>
    <row r="36" customFormat="false" ht="15" hidden="false" customHeight="false" outlineLevel="0" collapsed="false">
      <c r="A36" s="16" t="s">
        <v>176</v>
      </c>
      <c r="B36" s="6" t="s">
        <v>65</v>
      </c>
      <c r="C36" s="22" t="n">
        <f aca="false">C34+C35</f>
        <v>50544</v>
      </c>
      <c r="D36" s="22" t="n">
        <f aca="false">D34+D35</f>
        <v>335540</v>
      </c>
      <c r="E36" s="22" t="n">
        <f aca="false">E34+E35</f>
        <v>1038270</v>
      </c>
      <c r="F36" s="22" t="n">
        <f aca="false">F34+F35</f>
        <v>1983772.5</v>
      </c>
      <c r="G36" s="22" t="n">
        <f aca="false">G34+G35</f>
        <v>3151812.5</v>
      </c>
      <c r="H36" s="2"/>
    </row>
    <row r="37" customFormat="false" ht="15" hidden="false" customHeight="false" outlineLevel="0" collapsed="false">
      <c r="A37" s="16" t="s">
        <v>177</v>
      </c>
      <c r="B37" s="6" t="s">
        <v>65</v>
      </c>
      <c r="C37" s="23" t="n">
        <f aca="false">'Liquidität 24M'!$AB$86</f>
        <v>166168.52</v>
      </c>
      <c r="D37" s="23" t="n">
        <f aca="false">'Liquidität 24M'!$AC$86</f>
        <v>294718.2</v>
      </c>
      <c r="E37" s="23" t="n">
        <f aca="false">Annahmen!$D$42</f>
        <v>710000</v>
      </c>
      <c r="F37" s="23" t="n">
        <f aca="false">E37*(1+Annahmen!$D$43)</f>
        <v>1065000</v>
      </c>
      <c r="G37" s="23" t="n">
        <f aca="false">F37*(1+Annahmen!$D$44)</f>
        <v>1491000</v>
      </c>
      <c r="H37" s="3" t="s">
        <v>178</v>
      </c>
    </row>
    <row r="38" customFormat="false" ht="15" hidden="false" customHeight="false" outlineLevel="0" collapsed="false">
      <c r="A38" s="16" t="s">
        <v>179</v>
      </c>
      <c r="B38" s="6" t="s">
        <v>65</v>
      </c>
      <c r="C38" s="24" t="n">
        <f aca="false">C36-C37</f>
        <v>-115624.52</v>
      </c>
      <c r="D38" s="24" t="n">
        <f aca="false">D36-D37</f>
        <v>40821.8</v>
      </c>
      <c r="E38" s="24" t="n">
        <f aca="false">E36-E37</f>
        <v>328270</v>
      </c>
      <c r="F38" s="24" t="n">
        <f aca="false">F36-F37</f>
        <v>918772.5</v>
      </c>
      <c r="G38" s="24" t="n">
        <f aca="false">G36-G37</f>
        <v>1660812.5</v>
      </c>
      <c r="H38" s="2"/>
    </row>
    <row r="39" customFormat="false" ht="15" hidden="false" customHeight="false" outlineLevel="0" collapsed="false">
      <c r="A39" s="6" t="s">
        <v>180</v>
      </c>
      <c r="B39" s="6" t="s">
        <v>44</v>
      </c>
      <c r="C39" s="25" t="n">
        <f aca="false">IF(C36=0,0,C38/C36)</f>
        <v>-2.28760129787908</v>
      </c>
      <c r="D39" s="25" t="n">
        <f aca="false">IF(D36=0,0,D38/D36)</f>
        <v>0.121660010728974</v>
      </c>
      <c r="E39" s="25" t="n">
        <f aca="false">IF(E36=0,0,E38/E36)</f>
        <v>0.31617016768278</v>
      </c>
      <c r="F39" s="25" t="n">
        <f aca="false">IF(F36=0,0,F38/F36)</f>
        <v>0.463144085322284</v>
      </c>
      <c r="G39" s="25" t="n">
        <f aca="false">IF(G36=0,0,G38/G36)</f>
        <v>0.526938864542228</v>
      </c>
      <c r="H39" s="2"/>
    </row>
    <row r="40" customFormat="false" ht="15" hidden="false" customHeight="false" outlineLevel="0" collapsed="false">
      <c r="A40" s="6" t="s">
        <v>181</v>
      </c>
      <c r="B40" s="6" t="s">
        <v>65</v>
      </c>
      <c r="C40" s="15" t="n">
        <f aca="false">C38</f>
        <v>-115624.52</v>
      </c>
      <c r="D40" s="15" t="n">
        <f aca="false">C40+D38</f>
        <v>-74802.72</v>
      </c>
      <c r="E40" s="15" t="n">
        <f aca="false">D40+E38</f>
        <v>253467.28</v>
      </c>
      <c r="F40" s="15" t="n">
        <f aca="false">E40+F38</f>
        <v>1172239.78</v>
      </c>
      <c r="G40" s="15" t="n">
        <f aca="false">F40+G38</f>
        <v>2833052.28</v>
      </c>
      <c r="H40" s="2"/>
    </row>
    <row r="41" customFormat="false" ht="15" hidden="false" customHeight="false" outlineLevel="0" collapsed="false">
      <c r="A41" s="6" t="s">
        <v>182</v>
      </c>
      <c r="B41" s="6" t="s">
        <v>65</v>
      </c>
      <c r="C41" s="21" t="n">
        <f aca="false">'Liquidität 24M'!$O$88</f>
        <v>134375.48</v>
      </c>
      <c r="D41" s="21" t="n">
        <f aca="false">'Liquidität 24M'!$AA$88</f>
        <v>175197.28</v>
      </c>
      <c r="E41" s="15" t="n">
        <f aca="false">D41+E38</f>
        <v>503467.28</v>
      </c>
      <c r="F41" s="15" t="n">
        <f aca="false">E41+F38</f>
        <v>1422239.78</v>
      </c>
      <c r="G41" s="15" t="n">
        <f aca="false">F41+G38</f>
        <v>3083052.28</v>
      </c>
      <c r="H41" s="3" t="s">
        <v>183</v>
      </c>
    </row>
    <row r="42" customFormat="false" ht="15" hidden="false" customHeight="false" outlineLevel="0" collapsed="false">
      <c r="A42" s="26" t="s">
        <v>184</v>
      </c>
      <c r="B42" s="2"/>
      <c r="C42" s="18" t="n">
        <f aca="false">Annahmen!$C$77</f>
        <v>51</v>
      </c>
      <c r="D42" s="18" t="n">
        <f aca="false">Annahmen!$D$77</f>
        <v>336</v>
      </c>
      <c r="E42" s="18" t="n">
        <f aca="false">Annahmen!$E$77</f>
        <v>1039</v>
      </c>
      <c r="F42" s="2"/>
      <c r="G42" s="2"/>
      <c r="H42" s="2"/>
    </row>
    <row r="43" customFormat="false" ht="15" hidden="false" customHeight="false" outlineLevel="0" collapsed="false">
      <c r="A43" s="26" t="s">
        <v>185</v>
      </c>
      <c r="B43" s="2"/>
      <c r="C43" s="27" t="n">
        <f aca="false">C36/1000-C42</f>
        <v>-0.456000000000003</v>
      </c>
      <c r="D43" s="27" t="n">
        <f aca="false">D36/1000-D42</f>
        <v>-0.45999999999998</v>
      </c>
      <c r="E43" s="27" t="n">
        <f aca="false">E36/1000-E42</f>
        <v>-0.730000000000018</v>
      </c>
      <c r="F43" s="2"/>
      <c r="G43" s="2"/>
      <c r="H43" s="3" t="s">
        <v>186</v>
      </c>
    </row>
    <row r="44" customFormat="false" ht="15" hidden="false" customHeight="false" outlineLevel="0" collapsed="false">
      <c r="A44" s="26" t="s">
        <v>187</v>
      </c>
      <c r="B44" s="2"/>
      <c r="C44" s="18" t="n">
        <f aca="false">Annahmen!$C$79</f>
        <v>-114</v>
      </c>
      <c r="D44" s="18" t="n">
        <f aca="false">Annahmen!$D$79</f>
        <v>-62</v>
      </c>
      <c r="E44" s="18" t="n">
        <f aca="false">Annahmen!$E$79</f>
        <v>329</v>
      </c>
      <c r="F44" s="2"/>
      <c r="G44" s="2"/>
      <c r="H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A46" s="4" t="s">
        <v>189</v>
      </c>
      <c r="B46" s="5"/>
      <c r="C46" s="5"/>
      <c r="D46" s="5"/>
      <c r="E46" s="5"/>
      <c r="F46" s="5"/>
      <c r="G46" s="5"/>
      <c r="H46" s="5"/>
    </row>
    <row r="47" customFormat="false" ht="15" hidden="false" customHeight="false" outlineLevel="0" collapsed="false">
      <c r="A47" s="12" t="s">
        <v>156</v>
      </c>
      <c r="B47" s="12" t="s">
        <v>32</v>
      </c>
      <c r="C47" s="12" t="s">
        <v>157</v>
      </c>
      <c r="D47" s="12" t="s">
        <v>158</v>
      </c>
      <c r="E47" s="12" t="s">
        <v>159</v>
      </c>
      <c r="F47" s="12" t="s">
        <v>160</v>
      </c>
      <c r="G47" s="12" t="s">
        <v>161</v>
      </c>
      <c r="H47" s="12" t="s">
        <v>162</v>
      </c>
    </row>
    <row r="48" customFormat="false" ht="15" hidden="false" customHeight="false" outlineLevel="0" collapsed="false">
      <c r="A48" s="6" t="s">
        <v>163</v>
      </c>
      <c r="B48" s="6" t="s">
        <v>38</v>
      </c>
      <c r="C48" s="18" t="n">
        <f aca="false">Annahmen!$E$22</f>
        <v>40000</v>
      </c>
      <c r="D48" s="18" t="n">
        <f aca="false">Annahmen!$E$23</f>
        <v>180000</v>
      </c>
      <c r="E48" s="18" t="n">
        <f aca="false">Annahmen!$E$24</f>
        <v>500000</v>
      </c>
      <c r="F48" s="18" t="n">
        <f aca="false">E48*(1+Annahmen!$E$25)</f>
        <v>900000</v>
      </c>
      <c r="G48" s="18" t="n">
        <f aca="false">F48*(1+Annahmen!$E$26)</f>
        <v>1350000</v>
      </c>
      <c r="H48" s="3" t="s">
        <v>164</v>
      </c>
    </row>
    <row r="49" customFormat="false" ht="15" hidden="false" customHeight="false" outlineLevel="0" collapsed="false">
      <c r="A49" s="6" t="s">
        <v>165</v>
      </c>
      <c r="B49" s="6" t="s">
        <v>44</v>
      </c>
      <c r="C49" s="19" t="n">
        <f aca="false">Annahmen!$E$27</f>
        <v>0.05</v>
      </c>
      <c r="D49" s="19" t="n">
        <f aca="false">Annahmen!$E$27</f>
        <v>0.05</v>
      </c>
      <c r="E49" s="19" t="n">
        <f aca="false">Annahmen!$E$27</f>
        <v>0.05</v>
      </c>
      <c r="F49" s="19" t="n">
        <f aca="false">Annahmen!$E$28</f>
        <v>0.0525</v>
      </c>
      <c r="G49" s="19" t="n">
        <f aca="false">Annahmen!$E$29</f>
        <v>0.055</v>
      </c>
      <c r="H49" s="2"/>
    </row>
    <row r="50" customFormat="false" ht="15" hidden="false" customHeight="false" outlineLevel="0" collapsed="false">
      <c r="A50" s="6" t="s">
        <v>166</v>
      </c>
      <c r="B50" s="6" t="s">
        <v>167</v>
      </c>
      <c r="C50" s="20" t="n">
        <f aca="false">C48*C49</f>
        <v>2000</v>
      </c>
      <c r="D50" s="20" t="n">
        <f aca="false">D48*D49</f>
        <v>9000</v>
      </c>
      <c r="E50" s="20" t="n">
        <f aca="false">E48*E49</f>
        <v>25000</v>
      </c>
      <c r="F50" s="20" t="n">
        <f aca="false">F48*F49</f>
        <v>47250</v>
      </c>
      <c r="G50" s="20" t="n">
        <f aca="false">G48*G49</f>
        <v>74250</v>
      </c>
      <c r="H50" s="2"/>
    </row>
    <row r="51" customFormat="false" ht="15" hidden="false" customHeight="false" outlineLevel="0" collapsed="false">
      <c r="A51" s="6" t="s">
        <v>168</v>
      </c>
      <c r="B51" s="6" t="s">
        <v>167</v>
      </c>
      <c r="C51" s="18" t="n">
        <f aca="false">C50*Annahmen!$B$12</f>
        <v>1000</v>
      </c>
      <c r="D51" s="18" t="n">
        <f aca="false">D50*Annahmen!$B$13</f>
        <v>6750</v>
      </c>
      <c r="E51" s="18" t="n">
        <f aca="false">E50*Annahmen!$B$13</f>
        <v>18750</v>
      </c>
      <c r="F51" s="18" t="n">
        <f aca="false">F50*Annahmen!$B$13</f>
        <v>35437.5</v>
      </c>
      <c r="G51" s="18" t="n">
        <f aca="false">G50*Annahmen!$B$13</f>
        <v>55687.5</v>
      </c>
      <c r="H51" s="3" t="s">
        <v>169</v>
      </c>
    </row>
    <row r="52" customFormat="false" ht="15" hidden="false" customHeight="false" outlineLevel="0" collapsed="false">
      <c r="A52" s="6" t="s">
        <v>170</v>
      </c>
      <c r="B52" s="6" t="s">
        <v>65</v>
      </c>
      <c r="C52" s="21" t="n">
        <f aca="false">C51*Annahmen!$E$30*12</f>
        <v>102000</v>
      </c>
      <c r="D52" s="21" t="n">
        <f aca="false">D51*Annahmen!$E$30*12</f>
        <v>688500</v>
      </c>
      <c r="E52" s="21" t="n">
        <f aca="false">E51*Annahmen!$E$30*12</f>
        <v>1912500</v>
      </c>
      <c r="F52" s="21" t="n">
        <f aca="false">F51*Annahmen!$E$30*12</f>
        <v>3614625</v>
      </c>
      <c r="G52" s="21" t="n">
        <f aca="false">G51*Annahmen!$E$30*12</f>
        <v>5680125</v>
      </c>
      <c r="H52" s="2"/>
    </row>
    <row r="53" customFormat="false" ht="15" hidden="false" customHeight="false" outlineLevel="0" collapsed="false">
      <c r="A53" s="6" t="s">
        <v>171</v>
      </c>
      <c r="B53" s="6" t="s">
        <v>65</v>
      </c>
      <c r="C53" s="21" t="n">
        <f aca="false">C48*Annahmen!$E$31*Annahmen!$B$10</f>
        <v>19152</v>
      </c>
      <c r="D53" s="21" t="n">
        <f aca="false">D48*Annahmen!$E$31*Annahmen!$B$10</f>
        <v>86184</v>
      </c>
      <c r="E53" s="21" t="n">
        <f aca="false">E48*Annahmen!$E$31*Annahmen!$B$10</f>
        <v>239400</v>
      </c>
      <c r="F53" s="21" t="n">
        <f aca="false">F48*Annahmen!$E$31*Annahmen!$B$10</f>
        <v>430920</v>
      </c>
      <c r="G53" s="21" t="n">
        <f aca="false">G48*Annahmen!$E$31*Annahmen!$B$10</f>
        <v>646380</v>
      </c>
      <c r="H53" s="2"/>
    </row>
    <row r="54" customFormat="false" ht="15" hidden="false" customHeight="false" outlineLevel="0" collapsed="false">
      <c r="A54" s="6" t="s">
        <v>172</v>
      </c>
      <c r="B54" s="6" t="s">
        <v>65</v>
      </c>
      <c r="C54" s="21" t="n">
        <f aca="false">Annahmen!$E$32*Annahmen!$B$11*12</f>
        <v>2940</v>
      </c>
      <c r="D54" s="21" t="n">
        <f aca="false">Annahmen!$E$33*Annahmen!$B$11*12</f>
        <v>17640</v>
      </c>
      <c r="E54" s="21" t="n">
        <f aca="false">Annahmen!$E$34*Annahmen!$B$11*12</f>
        <v>47040</v>
      </c>
      <c r="F54" s="21" t="n">
        <f aca="false">Annahmen!$E$35*Annahmen!$B$11*12</f>
        <v>82320</v>
      </c>
      <c r="G54" s="21" t="n">
        <f aca="false">Annahmen!$E$36*Annahmen!$B$11*12</f>
        <v>117600</v>
      </c>
      <c r="H54" s="3" t="s">
        <v>173</v>
      </c>
    </row>
    <row r="55" customFormat="false" ht="15" hidden="false" customHeight="false" outlineLevel="0" collapsed="false">
      <c r="A55" s="6" t="s">
        <v>174</v>
      </c>
      <c r="B55" s="6" t="s">
        <v>65</v>
      </c>
      <c r="C55" s="15" t="n">
        <f aca="false">C52+C53+C54</f>
        <v>124092</v>
      </c>
      <c r="D55" s="15" t="n">
        <f aca="false">D52+D53+D54</f>
        <v>792324</v>
      </c>
      <c r="E55" s="15" t="n">
        <f aca="false">E52+E53+E54</f>
        <v>2198940</v>
      </c>
      <c r="F55" s="15" t="n">
        <f aca="false">F52+F53+F54</f>
        <v>4127865</v>
      </c>
      <c r="G55" s="15" t="n">
        <f aca="false">G52+G53+G54</f>
        <v>6444105</v>
      </c>
      <c r="H55" s="2"/>
    </row>
    <row r="56" customFormat="false" ht="15" hidden="false" customHeight="false" outlineLevel="0" collapsed="false">
      <c r="A56" s="6" t="s">
        <v>175</v>
      </c>
      <c r="B56" s="6" t="s">
        <v>65</v>
      </c>
      <c r="C56" s="21" t="n">
        <f aca="false">Annahmen!$E$37</f>
        <v>0</v>
      </c>
      <c r="D56" s="21" t="n">
        <f aca="false">Annahmen!$E$38</f>
        <v>100000</v>
      </c>
      <c r="E56" s="21" t="n">
        <f aca="false">Annahmen!$E$39</f>
        <v>400000</v>
      </c>
      <c r="F56" s="21" t="n">
        <f aca="false">Annahmen!$E$40</f>
        <v>700000</v>
      </c>
      <c r="G56" s="21" t="n">
        <f aca="false">Annahmen!$E$41</f>
        <v>1000000</v>
      </c>
      <c r="H56" s="2"/>
    </row>
    <row r="57" customFormat="false" ht="15" hidden="false" customHeight="false" outlineLevel="0" collapsed="false">
      <c r="A57" s="16" t="s">
        <v>176</v>
      </c>
      <c r="B57" s="6" t="s">
        <v>65</v>
      </c>
      <c r="C57" s="22" t="n">
        <f aca="false">C55+C56</f>
        <v>124092</v>
      </c>
      <c r="D57" s="22" t="n">
        <f aca="false">D55+D56</f>
        <v>892324</v>
      </c>
      <c r="E57" s="22" t="n">
        <f aca="false">E55+E56</f>
        <v>2598940</v>
      </c>
      <c r="F57" s="22" t="n">
        <f aca="false">F55+F56</f>
        <v>4827865</v>
      </c>
      <c r="G57" s="22" t="n">
        <f aca="false">G55+G56</f>
        <v>7444105</v>
      </c>
      <c r="H57" s="2"/>
    </row>
    <row r="58" customFormat="false" ht="15" hidden="false" customHeight="false" outlineLevel="0" collapsed="false">
      <c r="A58" s="16" t="s">
        <v>177</v>
      </c>
      <c r="B58" s="6" t="s">
        <v>65</v>
      </c>
      <c r="C58" s="23" t="n">
        <f aca="false">'Liquidität 24M'!$AB$107</f>
        <v>172052.36</v>
      </c>
      <c r="D58" s="23" t="n">
        <f aca="false">'Liquidität 24M'!$AC$107</f>
        <v>396429.261708543</v>
      </c>
      <c r="E58" s="23" t="n">
        <f aca="false">Annahmen!$E$42</f>
        <v>1100000</v>
      </c>
      <c r="F58" s="23" t="n">
        <f aca="false">E58*(1+Annahmen!$E$43)</f>
        <v>1650000</v>
      </c>
      <c r="G58" s="23" t="n">
        <f aca="false">F58*(1+Annahmen!$E$44)</f>
        <v>2310000</v>
      </c>
      <c r="H58" s="3" t="s">
        <v>178</v>
      </c>
    </row>
    <row r="59" customFormat="false" ht="15" hidden="false" customHeight="false" outlineLevel="0" collapsed="false">
      <c r="A59" s="16" t="s">
        <v>179</v>
      </c>
      <c r="B59" s="6" t="s">
        <v>65</v>
      </c>
      <c r="C59" s="24" t="n">
        <f aca="false">C57-C58</f>
        <v>-47960.36</v>
      </c>
      <c r="D59" s="24" t="n">
        <f aca="false">D57-D58</f>
        <v>495894.738291457</v>
      </c>
      <c r="E59" s="24" t="n">
        <f aca="false">E57-E58</f>
        <v>1498940</v>
      </c>
      <c r="F59" s="24" t="n">
        <f aca="false">F57-F58</f>
        <v>3177865</v>
      </c>
      <c r="G59" s="24" t="n">
        <f aca="false">G57-G58</f>
        <v>5134105</v>
      </c>
      <c r="H59" s="2"/>
    </row>
    <row r="60" customFormat="false" ht="15" hidden="false" customHeight="false" outlineLevel="0" collapsed="false">
      <c r="A60" s="6" t="s">
        <v>180</v>
      </c>
      <c r="B60" s="6" t="s">
        <v>44</v>
      </c>
      <c r="C60" s="25" t="n">
        <f aca="false">IF(C57=0,0,C59/C57)</f>
        <v>-0.386490345872417</v>
      </c>
      <c r="D60" s="25" t="n">
        <f aca="false">IF(D57=0,0,D59/D57)</f>
        <v>0.55573394674071</v>
      </c>
      <c r="E60" s="25" t="n">
        <f aca="false">IF(E57=0,0,E59/E57)</f>
        <v>0.576750521366403</v>
      </c>
      <c r="F60" s="25" t="n">
        <f aca="false">IF(F57=0,0,F59/F57)</f>
        <v>0.658234022699475</v>
      </c>
      <c r="G60" s="25" t="n">
        <f aca="false">IF(G57=0,0,G59/G57)</f>
        <v>0.68968734320647</v>
      </c>
      <c r="H60" s="2"/>
    </row>
    <row r="61" customFormat="false" ht="15" hidden="false" customHeight="false" outlineLevel="0" collapsed="false">
      <c r="A61" s="6" t="s">
        <v>181</v>
      </c>
      <c r="B61" s="6" t="s">
        <v>65</v>
      </c>
      <c r="C61" s="15" t="n">
        <f aca="false">C59</f>
        <v>-47960.36</v>
      </c>
      <c r="D61" s="15" t="n">
        <f aca="false">C61+D59</f>
        <v>447934.378291457</v>
      </c>
      <c r="E61" s="15" t="n">
        <f aca="false">D61+E59</f>
        <v>1946874.37829146</v>
      </c>
      <c r="F61" s="15" t="n">
        <f aca="false">E61+F59</f>
        <v>5124739.37829146</v>
      </c>
      <c r="G61" s="15" t="n">
        <f aca="false">F61+G59</f>
        <v>10258844.3782915</v>
      </c>
      <c r="H61" s="2"/>
    </row>
    <row r="62" customFormat="false" ht="15" hidden="false" customHeight="false" outlineLevel="0" collapsed="false">
      <c r="A62" s="6" t="s">
        <v>182</v>
      </c>
      <c r="B62" s="6" t="s">
        <v>65</v>
      </c>
      <c r="C62" s="21" t="n">
        <f aca="false">'Liquidität 24M'!$O$109</f>
        <v>202039.64</v>
      </c>
      <c r="D62" s="21" t="n">
        <f aca="false">'Liquidität 24M'!$AA$109</f>
        <v>697934.378291457</v>
      </c>
      <c r="E62" s="15" t="n">
        <f aca="false">D62+E59</f>
        <v>2196874.37829146</v>
      </c>
      <c r="F62" s="15" t="n">
        <f aca="false">E62+F59</f>
        <v>5374739.37829146</v>
      </c>
      <c r="G62" s="15" t="n">
        <f aca="false">F62+G59</f>
        <v>10508844.3782915</v>
      </c>
      <c r="H62" s="3" t="s">
        <v>183</v>
      </c>
    </row>
    <row r="63" customFormat="false" ht="15" hidden="false" customHeight="false" outlineLevel="0" collapsed="false">
      <c r="A63" s="26" t="s">
        <v>184</v>
      </c>
      <c r="B63" s="2"/>
      <c r="C63" s="18" t="n">
        <f aca="false">Annahmen!$C$80</f>
        <v>124</v>
      </c>
      <c r="D63" s="18" t="n">
        <f aca="false">Annahmen!$D$80</f>
        <v>893</v>
      </c>
      <c r="E63" s="18" t="n">
        <f aca="false">Annahmen!$E$80</f>
        <v>2601</v>
      </c>
      <c r="F63" s="2"/>
      <c r="G63" s="2"/>
      <c r="H63" s="2"/>
    </row>
    <row r="64" customFormat="false" ht="15" hidden="false" customHeight="false" outlineLevel="0" collapsed="false">
      <c r="A64" s="26" t="s">
        <v>185</v>
      </c>
      <c r="B64" s="2"/>
      <c r="C64" s="27" t="n">
        <f aca="false">C57/1000-C63</f>
        <v>0.0919999999999988</v>
      </c>
      <c r="D64" s="27" t="n">
        <f aca="false">D57/1000-D63</f>
        <v>-0.676000000000045</v>
      </c>
      <c r="E64" s="27" t="n">
        <f aca="false">E57/1000-E63</f>
        <v>-2.05999999999995</v>
      </c>
      <c r="F64" s="2"/>
      <c r="G64" s="2"/>
      <c r="H64" s="3" t="s">
        <v>186</v>
      </c>
    </row>
    <row r="65" customFormat="false" ht="15" hidden="false" customHeight="false" outlineLevel="0" collapsed="false">
      <c r="A65" s="26" t="s">
        <v>187</v>
      </c>
      <c r="B65" s="2"/>
      <c r="C65" s="18" t="n">
        <f aca="false">Annahmen!$C$82</f>
        <v>-66</v>
      </c>
      <c r="D65" s="18" t="n">
        <f aca="false">Annahmen!$D$82</f>
        <v>373</v>
      </c>
      <c r="E65" s="18" t="n">
        <f aca="false">Annahmen!$E$82</f>
        <v>1501</v>
      </c>
      <c r="F65" s="2"/>
      <c r="G65" s="2"/>
      <c r="H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</row>
    <row r="67" customFormat="false" ht="15" hidden="false" customHeight="false" outlineLevel="0" collapsed="false">
      <c r="A67" s="4" t="s">
        <v>190</v>
      </c>
      <c r="B67" s="5"/>
      <c r="C67" s="5"/>
      <c r="D67" s="5"/>
      <c r="E67" s="5"/>
      <c r="F67" s="5"/>
      <c r="G67" s="5"/>
      <c r="H67" s="5"/>
    </row>
    <row r="68" customFormat="false" ht="15" hidden="false" customHeight="false" outlineLevel="0" collapsed="false">
      <c r="A68" s="12" t="s">
        <v>156</v>
      </c>
      <c r="B68" s="12" t="s">
        <v>32</v>
      </c>
      <c r="C68" s="12" t="s">
        <v>157</v>
      </c>
      <c r="D68" s="12" t="s">
        <v>158</v>
      </c>
      <c r="E68" s="12" t="s">
        <v>159</v>
      </c>
      <c r="F68" s="12"/>
      <c r="G68" s="12"/>
      <c r="H68" s="12" t="s">
        <v>191</v>
      </c>
    </row>
    <row r="69" customFormat="false" ht="15" hidden="false" customHeight="false" outlineLevel="0" collapsed="false">
      <c r="A69" s="6" t="s">
        <v>192</v>
      </c>
      <c r="B69" s="6" t="s">
        <v>65</v>
      </c>
      <c r="C69" s="8" t="n">
        <v>0</v>
      </c>
      <c r="D69" s="8" t="n">
        <v>26000</v>
      </c>
      <c r="E69" s="8" t="n">
        <v>102000</v>
      </c>
      <c r="F69" s="2"/>
      <c r="G69" s="2"/>
      <c r="H69" s="3" t="s">
        <v>193</v>
      </c>
    </row>
    <row r="70" customFormat="false" ht="15" hidden="false" customHeight="false" outlineLevel="0" collapsed="false">
      <c r="A70" s="6" t="s">
        <v>194</v>
      </c>
      <c r="B70" s="6" t="s">
        <v>65</v>
      </c>
      <c r="C70" s="8" t="n">
        <v>2500</v>
      </c>
      <c r="D70" s="8" t="n">
        <v>20000</v>
      </c>
      <c r="E70" s="8" t="n">
        <v>75000</v>
      </c>
      <c r="F70" s="2"/>
      <c r="G70" s="2"/>
      <c r="H70" s="3" t="s">
        <v>193</v>
      </c>
    </row>
    <row r="71" customFormat="false" ht="15" hidden="false" customHeight="false" outlineLevel="0" collapsed="false">
      <c r="A71" s="6" t="s">
        <v>195</v>
      </c>
      <c r="B71" s="6" t="s">
        <v>65</v>
      </c>
      <c r="C71" s="8" t="n">
        <v>0</v>
      </c>
      <c r="D71" s="8" t="n">
        <v>9800</v>
      </c>
      <c r="E71" s="8" t="n">
        <v>39200</v>
      </c>
      <c r="F71" s="2"/>
      <c r="G71" s="2"/>
      <c r="H71" s="3" t="s">
        <v>193</v>
      </c>
    </row>
    <row r="72" customFormat="false" ht="15" hidden="false" customHeight="false" outlineLevel="0" collapsed="false">
      <c r="A72" s="16" t="s">
        <v>196</v>
      </c>
      <c r="B72" s="2"/>
      <c r="C72" s="17" t="n">
        <f aca="false">SUM(C69:C71)</f>
        <v>2500</v>
      </c>
      <c r="D72" s="17" t="n">
        <f aca="false">SUM(D69:D71)</f>
        <v>55800</v>
      </c>
      <c r="E72" s="17" t="n">
        <f aca="false">SUM(E69:E71)</f>
        <v>216200</v>
      </c>
      <c r="F72" s="2"/>
      <c r="G72" s="2"/>
      <c r="H7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6" min="5" style="0" width="15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197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198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26.85" hidden="false" customHeight="false" outlineLevel="0" collapsed="false">
      <c r="A4" s="12" t="s">
        <v>199</v>
      </c>
      <c r="B4" s="12" t="s">
        <v>200</v>
      </c>
      <c r="C4" s="12" t="s">
        <v>201</v>
      </c>
      <c r="D4" s="12" t="s">
        <v>202</v>
      </c>
      <c r="E4" s="12" t="s">
        <v>203</v>
      </c>
      <c r="F4" s="12" t="s">
        <v>204</v>
      </c>
      <c r="G4" s="12" t="s">
        <v>205</v>
      </c>
    </row>
    <row r="5" customFormat="false" ht="15" hidden="false" customHeight="false" outlineLevel="0" collapsed="false">
      <c r="A5" s="6" t="s">
        <v>206</v>
      </c>
      <c r="B5" s="9" t="n">
        <v>0.5</v>
      </c>
      <c r="C5" s="21" t="n">
        <f aca="false">B5*Annahmen!$B$6</f>
        <v>125000</v>
      </c>
      <c r="D5" s="21" t="n">
        <f aca="false">'Liquidität 24M'!$AD$31+'Liquidität 24M'!$AD$32+'Liquidität 24M'!$AD$33</f>
        <v>125000</v>
      </c>
      <c r="E5" s="15" t="n">
        <f aca="false">C5-D5</f>
        <v>0</v>
      </c>
      <c r="F5" s="15" t="n">
        <f aca="false">C5/18</f>
        <v>6944.44444444444</v>
      </c>
      <c r="G5" s="6" t="s">
        <v>207</v>
      </c>
    </row>
    <row r="6" customFormat="false" ht="15" hidden="false" customHeight="false" outlineLevel="0" collapsed="false">
      <c r="A6" s="6" t="s">
        <v>208</v>
      </c>
      <c r="B6" s="9" t="n">
        <v>0.2</v>
      </c>
      <c r="C6" s="21" t="n">
        <f aca="false">B6*Annahmen!$B$6</f>
        <v>50000</v>
      </c>
      <c r="D6" s="21" t="n">
        <f aca="false">'Liquidität 24M'!$AD$34+'Liquidität 24M'!$AD$35+'Liquidität 24M'!$AD$36</f>
        <v>50000</v>
      </c>
      <c r="E6" s="15" t="n">
        <f aca="false">C6-D6</f>
        <v>0</v>
      </c>
      <c r="F6" s="15" t="n">
        <f aca="false">C6/18</f>
        <v>2777.77777777778</v>
      </c>
      <c r="G6" s="6" t="s">
        <v>209</v>
      </c>
    </row>
    <row r="7" customFormat="false" ht="15" hidden="false" customHeight="false" outlineLevel="0" collapsed="false">
      <c r="A7" s="6" t="s">
        <v>210</v>
      </c>
      <c r="B7" s="9" t="n">
        <v>0.15</v>
      </c>
      <c r="C7" s="21" t="n">
        <f aca="false">B7*Annahmen!$B$6</f>
        <v>37500</v>
      </c>
      <c r="D7" s="21" t="n">
        <f aca="false">'Liquidität 24M'!$AD$37</f>
        <v>37500</v>
      </c>
      <c r="E7" s="15" t="n">
        <f aca="false">C7-D7</f>
        <v>0</v>
      </c>
      <c r="F7" s="15" t="n">
        <f aca="false">C7/18</f>
        <v>2083.33333333333</v>
      </c>
      <c r="G7" s="6" t="s">
        <v>211</v>
      </c>
    </row>
    <row r="8" customFormat="false" ht="15" hidden="false" customHeight="false" outlineLevel="0" collapsed="false">
      <c r="A8" s="6" t="s">
        <v>212</v>
      </c>
      <c r="B8" s="9" t="n">
        <v>0.1</v>
      </c>
      <c r="C8" s="21" t="n">
        <f aca="false">B8*Annahmen!$B$6</f>
        <v>25000</v>
      </c>
      <c r="D8" s="21" t="n">
        <f aca="false">'Liquidität 24M'!$AD$38</f>
        <v>25000</v>
      </c>
      <c r="E8" s="15" t="n">
        <f aca="false">C8-D8</f>
        <v>0</v>
      </c>
      <c r="F8" s="15" t="n">
        <f aca="false">C8/18</f>
        <v>1388.88888888889</v>
      </c>
      <c r="G8" s="6" t="s">
        <v>213</v>
      </c>
    </row>
    <row r="9" customFormat="false" ht="15" hidden="false" customHeight="false" outlineLevel="0" collapsed="false">
      <c r="A9" s="6" t="s">
        <v>214</v>
      </c>
      <c r="B9" s="9" t="n">
        <v>0.05</v>
      </c>
      <c r="C9" s="21" t="n">
        <f aca="false">B9*Annahmen!$B$6</f>
        <v>12500</v>
      </c>
      <c r="D9" s="15" t="n">
        <f aca="false">0</f>
        <v>0</v>
      </c>
      <c r="E9" s="15" t="n">
        <f aca="false">C9-D9</f>
        <v>12500</v>
      </c>
      <c r="F9" s="15" t="n">
        <f aca="false">C9/18</f>
        <v>694.444444444445</v>
      </c>
      <c r="G9" s="6" t="s">
        <v>215</v>
      </c>
    </row>
    <row r="10" customFormat="false" ht="15" hidden="false" customHeight="false" outlineLevel="0" collapsed="false">
      <c r="A10" s="28" t="s">
        <v>216</v>
      </c>
      <c r="B10" s="29" t="n">
        <f aca="false">SUM(B5:B9)</f>
        <v>1</v>
      </c>
      <c r="C10" s="30" t="n">
        <f aca="false">SUM(C5:C9)</f>
        <v>250000</v>
      </c>
      <c r="D10" s="30" t="n">
        <f aca="false">SUM(D5:D9)</f>
        <v>237500</v>
      </c>
      <c r="E10" s="30" t="n">
        <f aca="false">C10-D10</f>
        <v>12500</v>
      </c>
      <c r="F10" s="30" t="n">
        <f aca="false">C10/18</f>
        <v>13888.8888888889</v>
      </c>
      <c r="G10" s="2"/>
    </row>
    <row r="11" customFormat="false" ht="15" hidden="false" customHeight="false" outlineLevel="0" collapsed="false">
      <c r="A11" s="6" t="s">
        <v>217</v>
      </c>
      <c r="B11" s="2"/>
      <c r="C11" s="31" t="str">
        <f aca="false">IF(AND(ROUND(B10,4)=1,ROUND(C10-Annahmen!$B$6,0)=0),"OK","PRÜFEN")</f>
        <v>OK</v>
      </c>
      <c r="D11" s="2"/>
      <c r="E11" s="2"/>
      <c r="F11" s="2"/>
      <c r="G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</row>
    <row r="13" customFormat="false" ht="15" hidden="false" customHeight="false" outlineLevel="0" collapsed="false">
      <c r="A13" s="4" t="s">
        <v>218</v>
      </c>
      <c r="B13" s="5"/>
      <c r="C13" s="5"/>
      <c r="D13" s="5"/>
      <c r="E13" s="5"/>
      <c r="F13" s="5"/>
      <c r="G13" s="5"/>
    </row>
    <row r="14" customFormat="false" ht="15" hidden="false" customHeight="false" outlineLevel="0" collapsed="false">
      <c r="A14" s="6" t="s">
        <v>219</v>
      </c>
      <c r="B14" s="2"/>
      <c r="C14" s="2"/>
      <c r="D14" s="2"/>
      <c r="E14" s="2"/>
      <c r="F14" s="2"/>
      <c r="G14" s="2"/>
    </row>
    <row r="15" customFormat="false" ht="15" hidden="false" customHeight="false" outlineLevel="0" collapsed="false">
      <c r="A15" s="6" t="s">
        <v>220</v>
      </c>
      <c r="B15" s="2"/>
      <c r="C15" s="2"/>
      <c r="D15" s="2"/>
      <c r="E15" s="2"/>
      <c r="F15" s="2"/>
      <c r="G15" s="2"/>
    </row>
    <row r="16" customFormat="false" ht="15" hidden="false" customHeight="false" outlineLevel="0" collapsed="false">
      <c r="A16" s="6" t="s">
        <v>221</v>
      </c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6" t="s">
        <v>222</v>
      </c>
      <c r="B17" s="2"/>
      <c r="C17" s="2"/>
      <c r="D17" s="2"/>
      <c r="E17" s="2"/>
      <c r="F17" s="2"/>
      <c r="G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</row>
    <row r="19" customFormat="false" ht="15" hidden="false" customHeight="false" outlineLevel="0" collapsed="false">
      <c r="A19" s="4" t="s">
        <v>223</v>
      </c>
      <c r="B19" s="5"/>
      <c r="C19" s="5"/>
      <c r="D19" s="5"/>
      <c r="E19" s="5"/>
      <c r="F19" s="5"/>
      <c r="G19" s="5"/>
    </row>
    <row r="20" customFormat="false" ht="15" hidden="false" customHeight="false" outlineLevel="0" collapsed="false">
      <c r="A20" s="12" t="s">
        <v>224</v>
      </c>
      <c r="B20" s="12"/>
      <c r="C20" s="12" t="s">
        <v>225</v>
      </c>
      <c r="D20" s="12" t="s">
        <v>226</v>
      </c>
      <c r="E20" s="12" t="s">
        <v>227</v>
      </c>
      <c r="F20" s="12" t="s">
        <v>228</v>
      </c>
      <c r="G20" s="12" t="s">
        <v>229</v>
      </c>
    </row>
    <row r="21" customFormat="false" ht="15" hidden="false" customHeight="false" outlineLevel="0" collapsed="false">
      <c r="A21" s="6" t="s">
        <v>230</v>
      </c>
      <c r="B21" s="2"/>
      <c r="C21" s="8" t="n">
        <v>75000</v>
      </c>
      <c r="D21" s="21" t="n">
        <f aca="false">'Liquidität 24M'!$AB$31+'Liquidität 24M'!$AB$33+'Liquidität 24M'!$AB$42</f>
        <v>56000</v>
      </c>
      <c r="E21" s="8" t="n">
        <v>160000</v>
      </c>
      <c r="F21" s="21" t="n">
        <f aca="false">'Liquidität 24M'!$AC$31+'Liquidität 24M'!$AC$33+'Liquidität 24M'!$AC$42</f>
        <v>113000</v>
      </c>
      <c r="G21" s="6" t="s">
        <v>231</v>
      </c>
    </row>
    <row r="22" customFormat="false" ht="15" hidden="false" customHeight="false" outlineLevel="0" collapsed="false">
      <c r="A22" s="6" t="s">
        <v>123</v>
      </c>
      <c r="B22" s="2"/>
      <c r="C22" s="8" t="n">
        <v>0</v>
      </c>
      <c r="D22" s="21" t="n">
        <f aca="false">'Liquidität 24M'!$AB$43</f>
        <v>0</v>
      </c>
      <c r="E22" s="8" t="n">
        <v>60000</v>
      </c>
      <c r="F22" s="21" t="n">
        <f aca="false">'Liquidität 24M'!$AC$43</f>
        <v>30000</v>
      </c>
      <c r="G22" s="6" t="s">
        <v>232</v>
      </c>
    </row>
    <row r="23" customFormat="false" ht="15" hidden="false" customHeight="false" outlineLevel="0" collapsed="false">
      <c r="A23" s="6" t="s">
        <v>125</v>
      </c>
      <c r="B23" s="2"/>
      <c r="C23" s="8" t="n">
        <v>30000</v>
      </c>
      <c r="D23" s="21" t="n">
        <f aca="false">'Liquidität 24M'!$AB$32+'Liquidität 24M'!$AB$44</f>
        <v>24000</v>
      </c>
      <c r="E23" s="8" t="n">
        <v>48000</v>
      </c>
      <c r="F23" s="21" t="n">
        <f aca="false">'Liquidität 24M'!$AC$32+'Liquidität 24M'!$AC$44</f>
        <v>36000</v>
      </c>
      <c r="G23" s="6" t="s">
        <v>233</v>
      </c>
    </row>
    <row r="24" customFormat="false" ht="15" hidden="false" customHeight="false" outlineLevel="0" collapsed="false">
      <c r="A24" s="6" t="s">
        <v>234</v>
      </c>
      <c r="B24" s="2"/>
      <c r="C24" s="8" t="n">
        <v>15000</v>
      </c>
      <c r="D24" s="21" t="n">
        <f aca="false">'Liquidität 24M'!$AB$37+'Liquidität 24M'!$AB$45</f>
        <v>28125</v>
      </c>
      <c r="E24" s="8" t="n">
        <v>25000</v>
      </c>
      <c r="F24" s="21" t="n">
        <f aca="false">'Liquidität 24M'!$AC$37+'Liquidität 24M'!$AC$45</f>
        <v>21875</v>
      </c>
      <c r="G24" s="6" t="s">
        <v>235</v>
      </c>
    </row>
    <row r="25" customFormat="false" ht="15" hidden="false" customHeight="false" outlineLevel="0" collapsed="false">
      <c r="A25" s="6" t="s">
        <v>236</v>
      </c>
      <c r="B25" s="2"/>
      <c r="C25" s="8" t="n">
        <v>25000</v>
      </c>
      <c r="D25" s="21" t="n">
        <f aca="false">'Liquidität 24M'!$AB$34+'Liquidität 24M'!$AB$35+'Liquidität 24M'!$AB$36+'Liquidität 24M'!$AB$46</f>
        <v>32000</v>
      </c>
      <c r="E25" s="8" t="n">
        <v>60000</v>
      </c>
      <c r="F25" s="21" t="n">
        <f aca="false">'Liquidität 24M'!$AC$34+'Liquidität 24M'!$AC$35+'Liquidität 24M'!$AC$36+'Liquidität 24M'!$AC$46</f>
        <v>48000</v>
      </c>
      <c r="G25" s="6" t="s">
        <v>237</v>
      </c>
    </row>
    <row r="26" customFormat="false" ht="15" hidden="false" customHeight="false" outlineLevel="0" collapsed="false">
      <c r="A26" s="6" t="s">
        <v>238</v>
      </c>
      <c r="B26" s="2"/>
      <c r="C26" s="8" t="n">
        <v>8000</v>
      </c>
      <c r="D26" s="21" t="n">
        <f aca="false">'Liquidität 24M'!$AB$85</f>
        <v>7043.52</v>
      </c>
      <c r="E26" s="8" t="n">
        <v>25000</v>
      </c>
      <c r="F26" s="21" t="n">
        <f aca="false">'Liquidität 24M'!$AC$85</f>
        <v>29843.2</v>
      </c>
      <c r="G26" s="6" t="s">
        <v>239</v>
      </c>
    </row>
    <row r="27" customFormat="false" ht="15" hidden="false" customHeight="false" outlineLevel="0" collapsed="false">
      <c r="A27" s="6" t="s">
        <v>131</v>
      </c>
      <c r="B27" s="2"/>
      <c r="C27" s="8" t="n">
        <v>12000</v>
      </c>
      <c r="D27" s="21" t="n">
        <f aca="false">'Liquidität 24M'!$AB$38+'Liquidität 24M'!$AB$47</f>
        <v>19000</v>
      </c>
      <c r="E27" s="8" t="n">
        <v>20000</v>
      </c>
      <c r="F27" s="21" t="n">
        <f aca="false">'Liquidität 24M'!$AC$38+'Liquidität 24M'!$AC$47</f>
        <v>16000</v>
      </c>
      <c r="G27" s="6" t="s">
        <v>240</v>
      </c>
    </row>
    <row r="28" customFormat="false" ht="15" hidden="false" customHeight="false" outlineLevel="0" collapsed="false">
      <c r="A28" s="16" t="s">
        <v>241</v>
      </c>
      <c r="B28" s="2"/>
      <c r="C28" s="17" t="n">
        <f aca="false">SUM(C21:C27)</f>
        <v>165000</v>
      </c>
      <c r="D28" s="17" t="n">
        <f aca="false">SUM(D21:D27)</f>
        <v>166168.52</v>
      </c>
      <c r="E28" s="17" t="n">
        <f aca="false">SUM(E21:E27)</f>
        <v>398000</v>
      </c>
      <c r="F28" s="17" t="n">
        <f aca="false">SUM(F21:F27)</f>
        <v>294718.2</v>
      </c>
      <c r="G28" s="2"/>
    </row>
    <row r="29" customFormat="false" ht="15" hidden="false" customHeight="false" outlineLevel="0" collapsed="false">
      <c r="A29" s="6" t="s">
        <v>242</v>
      </c>
      <c r="B29" s="2"/>
      <c r="C29" s="2"/>
      <c r="D29" s="31" t="str">
        <f aca="false">IF(ROUND(D28-'GuV 5 Jahre'!$C$37,0)=0,"OK","PRÜFEN")</f>
        <v>OK</v>
      </c>
      <c r="E29" s="2"/>
      <c r="F29" s="31" t="str">
        <f aca="false">IF(ROUND(F28-'GuV 5 Jahre'!$D$37,0)=0,"OK","PRÜFEN")</f>
        <v>OK</v>
      </c>
      <c r="G2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8" topLeftCell="D29" activePane="bottomRight" state="frozen"/>
      <selection pane="topLeft" activeCell="A1" activeCellId="0" sqref="A1"/>
      <selection pane="topRight" activeCell="D1" activeCellId="0" sqref="D1"/>
      <selection pane="bottomLeft" activeCell="A29" activeCellId="0" sqref="A2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30" min="4" style="0" width="13"/>
  </cols>
  <sheetData>
    <row r="1" customFormat="false" ht="17.35" hidden="false" customHeight="false" outlineLevel="0" collapsed="false">
      <c r="A1" s="1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customFormat="false" ht="15" hidden="false" customHeight="false" outlineLevel="0" collapsed="false">
      <c r="A4" s="4" t="s">
        <v>244</v>
      </c>
      <c r="B4" s="5"/>
      <c r="C4" s="5"/>
      <c r="D4" s="5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customFormat="false" ht="15" hidden="false" customHeight="false" outlineLevel="0" collapsed="false">
      <c r="A5" s="12" t="s">
        <v>245</v>
      </c>
      <c r="B5" s="12" t="s">
        <v>32</v>
      </c>
      <c r="C5" s="12" t="s">
        <v>33</v>
      </c>
      <c r="D5" s="12" t="s">
        <v>34</v>
      </c>
      <c r="E5" s="12" t="s">
        <v>35</v>
      </c>
      <c r="F5" s="12" t="s">
        <v>246</v>
      </c>
      <c r="G5" s="12" t="s">
        <v>247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customFormat="false" ht="15" hidden="false" customHeight="false" outlineLevel="0" collapsed="false">
      <c r="A6" s="6" t="s">
        <v>248</v>
      </c>
      <c r="B6" s="6" t="s">
        <v>65</v>
      </c>
      <c r="C6" s="15" t="n">
        <f aca="false">INDEX($D$67:$AA$67,6)</f>
        <v>182724.592</v>
      </c>
      <c r="D6" s="15" t="n">
        <f aca="false">INDEX($D$88:$AA$88,6)</f>
        <v>190750.12</v>
      </c>
      <c r="E6" s="15" t="n">
        <f aca="false">INDEX($D$109:$AA$109,6)</f>
        <v>207666.16</v>
      </c>
      <c r="F6" s="15" t="n">
        <f aca="false">INDEX($D$117:$AA$117,6)</f>
        <v>179125</v>
      </c>
      <c r="G6" s="3" t="s">
        <v>249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customFormat="false" ht="15" hidden="false" customHeight="false" outlineLevel="0" collapsed="false">
      <c r="A7" s="6" t="s">
        <v>250</v>
      </c>
      <c r="B7" s="6" t="s">
        <v>65</v>
      </c>
      <c r="C7" s="15" t="n">
        <f aca="false">INDEX($D$67:$AA$67,12)</f>
        <v>102273.368</v>
      </c>
      <c r="D7" s="15" t="n">
        <f aca="false">INDEX($D$88:$AA$88,12)</f>
        <v>134375.48</v>
      </c>
      <c r="E7" s="15" t="n">
        <f aca="false">INDEX($D$109:$AA$109,12)</f>
        <v>202039.64</v>
      </c>
      <c r="F7" s="15" t="n">
        <f aca="false">INDEX($D$117:$AA$117,12)</f>
        <v>87875</v>
      </c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customFormat="false" ht="15" hidden="false" customHeight="false" outlineLevel="0" collapsed="false">
      <c r="A8" s="6" t="s">
        <v>251</v>
      </c>
      <c r="B8" s="6" t="s">
        <v>65</v>
      </c>
      <c r="C8" s="15" t="n">
        <f aca="false">INDEX($D$67:$AA$67,18)</f>
        <v>49061.0507692308</v>
      </c>
      <c r="D8" s="15" t="n">
        <f aca="false">INDEX($D$88:$AA$88,18)</f>
        <v>145794.061538462</v>
      </c>
      <c r="E8" s="15" t="n">
        <f aca="false">INDEX($D$109:$AA$109,18)</f>
        <v>368913.098461539</v>
      </c>
      <c r="F8" s="15" t="n">
        <f aca="false">INDEX($D$117:$AA$117,18)</f>
        <v>8000</v>
      </c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customFormat="false" ht="15" hidden="false" customHeight="false" outlineLevel="0" collapsed="false">
      <c r="A9" s="6" t="s">
        <v>252</v>
      </c>
      <c r="B9" s="6" t="s">
        <v>65</v>
      </c>
      <c r="C9" s="15" t="n">
        <f aca="false">INDEX($D$67:$AA$67,24)</f>
        <v>-11499.6539095477</v>
      </c>
      <c r="D9" s="15" t="n">
        <f aca="false">INDEX($D$88:$AA$88,24)</f>
        <v>175197.28</v>
      </c>
      <c r="E9" s="15" t="n">
        <f aca="false">INDEX($D$109:$AA$109,24)</f>
        <v>697934.378291457</v>
      </c>
      <c r="F9" s="15" t="n">
        <f aca="false">INDEX($D$117:$AA$117,24)</f>
        <v>-62500</v>
      </c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customFormat="false" ht="15" hidden="false" customHeight="false" outlineLevel="0" collapsed="false">
      <c r="A10" s="6" t="s">
        <v>253</v>
      </c>
      <c r="B10" s="6" t="s">
        <v>65</v>
      </c>
      <c r="C10" s="15" t="n">
        <f aca="false">MIN($D$67:$AA$67)</f>
        <v>-11499.6539095477</v>
      </c>
      <c r="D10" s="15" t="n">
        <f aca="false">MIN($D$88:$AA$88)</f>
        <v>125383.566153846</v>
      </c>
      <c r="E10" s="15" t="n">
        <f aca="false">MIN($D$109:$AA$109)</f>
        <v>196717.61</v>
      </c>
      <c r="F10" s="15" t="n">
        <f aca="false">MIN($D$117:$AA$117)</f>
        <v>-62500</v>
      </c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customFormat="false" ht="15" hidden="false" customHeight="false" outlineLevel="0" collapsed="false">
      <c r="A11" s="6" t="s">
        <v>254</v>
      </c>
      <c r="B11" s="6" t="s">
        <v>255</v>
      </c>
      <c r="C11" s="32" t="n">
        <f aca="false">MATCH(MIN($D$67:$AA$67),$D$67:$AA$67,0)</f>
        <v>24</v>
      </c>
      <c r="D11" s="32" t="n">
        <f aca="false">MATCH(MIN($D$88:$AA$88),$D$88:$AA$88,0)</f>
        <v>15</v>
      </c>
      <c r="E11" s="32" t="n">
        <f aca="false">MATCH(MIN($D$109:$AA$109),$D$109:$AA$109,0)</f>
        <v>9</v>
      </c>
      <c r="F11" s="32" t="n">
        <f aca="false">MATCH(MIN($D$117:$AA$117),$D$117:$AA$117,0)</f>
        <v>24</v>
      </c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customFormat="false" ht="15" hidden="false" customHeight="false" outlineLevel="0" collapsed="false">
      <c r="A12" s="6" t="s">
        <v>256</v>
      </c>
      <c r="B12" s="6" t="s">
        <v>255</v>
      </c>
      <c r="C12" s="32" t="n">
        <f aca="false">IFERROR(MATCH(1,$D$68:$AA$68,0),"keiner bis M24")</f>
        <v>23</v>
      </c>
      <c r="D12" s="32" t="str">
        <f aca="false">IFERROR(MATCH(1,$D$89:$AA$89,0),"keiner bis M24")</f>
        <v>keiner bis M24</v>
      </c>
      <c r="E12" s="32" t="str">
        <f aca="false">IFERROR(MATCH(1,$D$110:$AA$110,0),"keiner bis M24")</f>
        <v>keiner bis M24</v>
      </c>
      <c r="F12" s="32" t="n">
        <f aca="false">IFERROR(MATCH(1,$D$118:$AA$118,0),"keiner bis M24")</f>
        <v>19</v>
      </c>
      <c r="G12" s="3" t="s">
        <v>257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customFormat="false" ht="15" hidden="false" customHeight="false" outlineLevel="0" collapsed="false">
      <c r="A13" s="6" t="s">
        <v>258</v>
      </c>
      <c r="B13" s="6" t="s">
        <v>259</v>
      </c>
      <c r="C13" s="32" t="n">
        <f aca="false">IFERROR(MATCH(1,$D$68:$AA$68,0)-1,"&gt; 24")</f>
        <v>22</v>
      </c>
      <c r="D13" s="32" t="str">
        <f aca="false">IFERROR(MATCH(1,$D$89:$AA$89,0)-1,"&gt; 24")</f>
        <v>&gt; 24</v>
      </c>
      <c r="E13" s="32" t="str">
        <f aca="false">IFERROR(MATCH(1,$D$110:$AA$110,0)-1,"&gt; 24")</f>
        <v>&gt; 24</v>
      </c>
      <c r="F13" s="32" t="n">
        <f aca="false">IFERROR(MATCH(1,$D$118:$AA$118,0)-1,"&gt; 24")</f>
        <v>18</v>
      </c>
      <c r="G13" s="3" t="s">
        <v>260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customFormat="false" ht="15" hidden="false" customHeight="false" outlineLevel="0" collapsed="false">
      <c r="A14" s="6" t="s">
        <v>261</v>
      </c>
      <c r="B14" s="6" t="s">
        <v>255</v>
      </c>
      <c r="C14" s="32" t="str">
        <f aca="false">IFERROR(MATCH(1,$D$70:$AA$70,0),"nach M24")</f>
        <v>nach M24</v>
      </c>
      <c r="D14" s="32" t="n">
        <f aca="false">IFERROR(MATCH(1,$D$91:$AA$91,0),"nach M24")</f>
        <v>22</v>
      </c>
      <c r="E14" s="32" t="n">
        <f aca="false">IFERROR(MATCH(1,$D$112:$AA$112,0),"nach M24")</f>
        <v>10</v>
      </c>
      <c r="F14" s="2"/>
      <c r="G14" s="3" t="s">
        <v>262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customFormat="false" ht="15" hidden="false" customHeight="false" outlineLevel="0" collapsed="false">
      <c r="A15" s="6" t="s">
        <v>263</v>
      </c>
      <c r="B15" s="6" t="s">
        <v>54</v>
      </c>
      <c r="C15" s="2"/>
      <c r="D15" s="2"/>
      <c r="E15" s="2"/>
      <c r="F15" s="15" t="n">
        <f aca="false">SUM($D$116:$U$116)/18</f>
        <v>13444.4444444444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customFormat="false" ht="15" hidden="false" customHeight="false" outlineLevel="0" collapsed="false">
      <c r="A16" s="6" t="s">
        <v>264</v>
      </c>
      <c r="B16" s="6" t="s">
        <v>255</v>
      </c>
      <c r="C16" s="32" t="n">
        <f aca="false">IFERROR(MATCH(1,$D$71:$AA$71,0),"nie bis M24")</f>
        <v>19</v>
      </c>
      <c r="D16" s="32" t="str">
        <f aca="false">IFERROR(MATCH(1,$D$92:$AA$92,0),"nie bis M24")</f>
        <v>nie bis M24</v>
      </c>
      <c r="E16" s="32" t="str">
        <f aca="false">IFERROR(MATCH(1,$D$113:$AA$113,0),"nie bis M24")</f>
        <v>nie bis M24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customFormat="false" ht="15" hidden="false" customHeight="false" outlineLevel="0" collapsed="false">
      <c r="A17" s="6" t="s">
        <v>265</v>
      </c>
      <c r="B17" s="6" t="s">
        <v>65</v>
      </c>
      <c r="C17" s="21" t="n">
        <f aca="false">C9+'GuV 5 Jahre'!$E$17</f>
        <v>-70855.6539095477</v>
      </c>
      <c r="D17" s="21" t="n">
        <f aca="false">D9+'GuV 5 Jahre'!$E$38</f>
        <v>503467.28</v>
      </c>
      <c r="E17" s="21" t="n">
        <f aca="false">E9+'GuV 5 Jahre'!$E$59</f>
        <v>2196874.37829146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customFormat="false" ht="15" hidden="false" customHeight="false" outlineLevel="0" collapsed="false">
      <c r="A18" s="6" t="s">
        <v>266</v>
      </c>
      <c r="B18" s="6" t="s">
        <v>65</v>
      </c>
      <c r="C18" s="21" t="n">
        <f aca="false">Annahmen!$B$14*'GuV 5 Jahre'!$E$16/12</f>
        <v>82500</v>
      </c>
      <c r="D18" s="21" t="n">
        <f aca="false">Annahmen!$B$14*'GuV 5 Jahre'!$E$37/12</f>
        <v>177500</v>
      </c>
      <c r="E18" s="21" t="n">
        <f aca="false">Annahmen!$B$14*'GuV 5 Jahre'!$E$58/12</f>
        <v>275000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customFormat="false" ht="15" hidden="false" customHeight="false" outlineLevel="0" collapsed="false">
      <c r="A19" s="6" t="s">
        <v>267</v>
      </c>
      <c r="B19" s="6" t="s">
        <v>65</v>
      </c>
      <c r="C19" s="15" t="n">
        <f aca="false">MAX(0,C18-MIN(C10,C17))</f>
        <v>153355.653909548</v>
      </c>
      <c r="D19" s="15" t="n">
        <f aca="false">MAX(0,D18-MIN(D10,D17))</f>
        <v>52116.4338461538</v>
      </c>
      <c r="E19" s="15" t="n">
        <f aca="false">MAX(0,E18-MIN(E10,E17))</f>
        <v>78282.39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customFormat="false" ht="15" hidden="false" customHeight="false" outlineLevel="0" collapsed="false">
      <c r="A20" s="6" t="s">
        <v>268</v>
      </c>
      <c r="B20" s="6" t="s">
        <v>65</v>
      </c>
      <c r="C20" s="21" t="n">
        <f aca="false">Annahmen!$B$15*(Annahmen!$B$16/2+Annahmen!$B$17)</f>
        <v>160500</v>
      </c>
      <c r="D20" s="21" t="n">
        <f aca="false">Annahmen!$B$15*(Annahmen!$B$16/2+Annahmen!$B$17)</f>
        <v>160500</v>
      </c>
      <c r="E20" s="21" t="n">
        <f aca="false">Annahmen!$B$15*(Annahmen!$B$16/2+Annahmen!$B$17)</f>
        <v>160500</v>
      </c>
      <c r="F20" s="2"/>
      <c r="G20" s="3" t="s">
        <v>269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customFormat="false" ht="15" hidden="false" customHeight="false" outlineLevel="0" collapsed="false">
      <c r="A21" s="16" t="s">
        <v>270</v>
      </c>
      <c r="B21" s="6" t="s">
        <v>65</v>
      </c>
      <c r="C21" s="24" t="n">
        <f aca="false">C19+C20</f>
        <v>313855.653909548</v>
      </c>
      <c r="D21" s="24" t="n">
        <f aca="false">D19+D20</f>
        <v>212616.433846154</v>
      </c>
      <c r="E21" s="24" t="n">
        <f aca="false">E19+E20</f>
        <v>238782.39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customFormat="false" ht="15" hidden="false" customHeight="false" outlineLevel="0" collapsed="false">
      <c r="A22" s="6" t="s">
        <v>271</v>
      </c>
      <c r="B22" s="6" t="s">
        <v>255</v>
      </c>
      <c r="C22" s="32" t="n">
        <f aca="false">IF(ISNUMBER(C16),MIN(18,C16),18)</f>
        <v>18</v>
      </c>
      <c r="D22" s="32" t="n">
        <f aca="false">IF(ISNUMBER(D16),MIN(18,D16),18)</f>
        <v>18</v>
      </c>
      <c r="E22" s="32" t="n">
        <f aca="false">IF(ISNUMBER(E16),MIN(18,E16),18)</f>
        <v>18</v>
      </c>
      <c r="F22" s="2"/>
      <c r="G22" s="3" t="s">
        <v>272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customFormat="false" ht="15" hidden="false" customHeight="false" outlineLevel="0" collapsed="false">
      <c r="A23" s="16" t="s">
        <v>273</v>
      </c>
      <c r="B23" s="6" t="s">
        <v>65</v>
      </c>
      <c r="C23" s="2"/>
      <c r="D23" s="24" t="n">
        <f aca="false">CEILING(MAX(C21:E21),50000)</f>
        <v>350000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customFormat="false" ht="15" hidden="false" customHeight="false" outlineLevel="0" collapsed="false">
      <c r="A27" s="16" t="s">
        <v>255</v>
      </c>
      <c r="B27" s="2"/>
      <c r="C27" s="2"/>
      <c r="D27" s="33" t="n">
        <v>1</v>
      </c>
      <c r="E27" s="33" t="n">
        <v>2</v>
      </c>
      <c r="F27" s="33" t="n">
        <v>3</v>
      </c>
      <c r="G27" s="33" t="n">
        <v>4</v>
      </c>
      <c r="H27" s="33" t="n">
        <v>5</v>
      </c>
      <c r="I27" s="33" t="n">
        <v>6</v>
      </c>
      <c r="J27" s="33" t="n">
        <v>7</v>
      </c>
      <c r="K27" s="33" t="n">
        <v>8</v>
      </c>
      <c r="L27" s="33" t="n">
        <v>9</v>
      </c>
      <c r="M27" s="33" t="n">
        <v>10</v>
      </c>
      <c r="N27" s="33" t="n">
        <v>11</v>
      </c>
      <c r="O27" s="33" t="n">
        <v>12</v>
      </c>
      <c r="P27" s="33" t="n">
        <v>13</v>
      </c>
      <c r="Q27" s="33" t="n">
        <v>14</v>
      </c>
      <c r="R27" s="33" t="n">
        <v>15</v>
      </c>
      <c r="S27" s="33" t="n">
        <v>16</v>
      </c>
      <c r="T27" s="33" t="n">
        <v>17</v>
      </c>
      <c r="U27" s="33" t="n">
        <v>18</v>
      </c>
      <c r="V27" s="33" t="n">
        <v>19</v>
      </c>
      <c r="W27" s="33" t="n">
        <v>20</v>
      </c>
      <c r="X27" s="33" t="n">
        <v>21</v>
      </c>
      <c r="Y27" s="33" t="n">
        <v>22</v>
      </c>
      <c r="Z27" s="33" t="n">
        <v>23</v>
      </c>
      <c r="AA27" s="33" t="n">
        <v>24</v>
      </c>
      <c r="AB27" s="34" t="s">
        <v>274</v>
      </c>
      <c r="AC27" s="34" t="s">
        <v>275</v>
      </c>
      <c r="AD27" s="34" t="s">
        <v>90</v>
      </c>
    </row>
    <row r="28" customFormat="false" ht="15" hidden="false" customHeight="false" outlineLevel="0" collapsed="false">
      <c r="A28" s="16" t="s">
        <v>276</v>
      </c>
      <c r="B28" s="2"/>
      <c r="C28" s="2"/>
      <c r="D28" s="35" t="s">
        <v>277</v>
      </c>
      <c r="E28" s="35" t="s">
        <v>278</v>
      </c>
      <c r="F28" s="35" t="s">
        <v>279</v>
      </c>
      <c r="G28" s="35" t="s">
        <v>280</v>
      </c>
      <c r="H28" s="35" t="s">
        <v>281</v>
      </c>
      <c r="I28" s="35" t="s">
        <v>282</v>
      </c>
      <c r="J28" s="35" t="s">
        <v>283</v>
      </c>
      <c r="K28" s="35" t="s">
        <v>284</v>
      </c>
      <c r="L28" s="35" t="s">
        <v>285</v>
      </c>
      <c r="M28" s="35" t="s">
        <v>286</v>
      </c>
      <c r="N28" s="35" t="s">
        <v>287</v>
      </c>
      <c r="O28" s="35" t="s">
        <v>288</v>
      </c>
      <c r="P28" s="35" t="s">
        <v>289</v>
      </c>
      <c r="Q28" s="35" t="s">
        <v>290</v>
      </c>
      <c r="R28" s="35" t="s">
        <v>291</v>
      </c>
      <c r="S28" s="35" t="s">
        <v>292</v>
      </c>
      <c r="T28" s="35" t="s">
        <v>293</v>
      </c>
      <c r="U28" s="35" t="s">
        <v>294</v>
      </c>
      <c r="V28" s="35" t="s">
        <v>295</v>
      </c>
      <c r="W28" s="35" t="s">
        <v>296</v>
      </c>
      <c r="X28" s="35" t="s">
        <v>297</v>
      </c>
      <c r="Y28" s="35" t="s">
        <v>298</v>
      </c>
      <c r="Z28" s="35" t="s">
        <v>299</v>
      </c>
      <c r="AA28" s="35" t="s">
        <v>300</v>
      </c>
      <c r="AB28" s="2"/>
      <c r="AC28" s="2"/>
      <c r="AD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customFormat="false" ht="15" hidden="false" customHeight="false" outlineLevel="0" collapsed="false">
      <c r="A30" s="4" t="s">
        <v>301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customFormat="false" ht="15" hidden="false" customHeight="false" outlineLevel="0" collapsed="false">
      <c r="A31" s="6" t="s">
        <v>92</v>
      </c>
      <c r="B31" s="6" t="s">
        <v>65</v>
      </c>
      <c r="C31" s="2"/>
      <c r="D31" s="21" t="n">
        <f aca="false">IF(AND(D$27&gt;=Annahmen!$D$51,D$27&lt;=Annahmen!$E$51),Annahmen!$C$51,0)+IF(D$27=Annahmen!$G$51,Annahmen!$F$51,0)</f>
        <v>0</v>
      </c>
      <c r="E31" s="21" t="n">
        <f aca="false">IF(AND(E$27&gt;=Annahmen!$D$51,E$27&lt;=Annahmen!$E$51),Annahmen!$C$51,0)+IF(E$27=Annahmen!$G$51,Annahmen!$F$51,0)</f>
        <v>0</v>
      </c>
      <c r="F31" s="21" t="n">
        <f aca="false">IF(AND(F$27&gt;=Annahmen!$D$51,F$27&lt;=Annahmen!$E$51),Annahmen!$C$51,0)+IF(F$27=Annahmen!$G$51,Annahmen!$F$51,0)</f>
        <v>5500</v>
      </c>
      <c r="G31" s="21" t="n">
        <f aca="false">IF(AND(G$27&gt;=Annahmen!$D$51,G$27&lt;=Annahmen!$E$51),Annahmen!$C$51,0)+IF(G$27=Annahmen!$G$51,Annahmen!$F$51,0)</f>
        <v>5500</v>
      </c>
      <c r="H31" s="21" t="n">
        <f aca="false">IF(AND(H$27&gt;=Annahmen!$D$51,H$27&lt;=Annahmen!$E$51),Annahmen!$C$51,0)+IF(H$27=Annahmen!$G$51,Annahmen!$F$51,0)</f>
        <v>5500</v>
      </c>
      <c r="I31" s="21" t="n">
        <f aca="false">IF(AND(I$27&gt;=Annahmen!$D$51,I$27&lt;=Annahmen!$E$51),Annahmen!$C$51,0)+IF(I$27=Annahmen!$G$51,Annahmen!$F$51,0)</f>
        <v>5500</v>
      </c>
      <c r="J31" s="21" t="n">
        <f aca="false">IF(AND(J$27&gt;=Annahmen!$D$51,J$27&lt;=Annahmen!$E$51),Annahmen!$C$51,0)+IF(J$27=Annahmen!$G$51,Annahmen!$F$51,0)</f>
        <v>5500</v>
      </c>
      <c r="K31" s="21" t="n">
        <f aca="false">IF(AND(K$27&gt;=Annahmen!$D$51,K$27&lt;=Annahmen!$E$51),Annahmen!$C$51,0)+IF(K$27=Annahmen!$G$51,Annahmen!$F$51,0)</f>
        <v>5500</v>
      </c>
      <c r="L31" s="21" t="n">
        <f aca="false">IF(AND(L$27&gt;=Annahmen!$D$51,L$27&lt;=Annahmen!$E$51),Annahmen!$C$51,0)+IF(L$27=Annahmen!$G$51,Annahmen!$F$51,0)</f>
        <v>5500</v>
      </c>
      <c r="M31" s="21" t="n">
        <f aca="false">IF(AND(M$27&gt;=Annahmen!$D$51,M$27&lt;=Annahmen!$E$51),Annahmen!$C$51,0)+IF(M$27=Annahmen!$G$51,Annahmen!$F$51,0)</f>
        <v>5500</v>
      </c>
      <c r="N31" s="21" t="n">
        <f aca="false">IF(AND(N$27&gt;=Annahmen!$D$51,N$27&lt;=Annahmen!$E$51),Annahmen!$C$51,0)+IF(N$27=Annahmen!$G$51,Annahmen!$F$51,0)</f>
        <v>5500</v>
      </c>
      <c r="O31" s="21" t="n">
        <f aca="false">IF(AND(O$27&gt;=Annahmen!$D$51,O$27&lt;=Annahmen!$E$51),Annahmen!$C$51,0)+IF(O$27=Annahmen!$G$51,Annahmen!$F$51,0)</f>
        <v>5500</v>
      </c>
      <c r="P31" s="21" t="n">
        <f aca="false">IF(AND(P$27&gt;=Annahmen!$D$51,P$27&lt;=Annahmen!$E$51),Annahmen!$C$51,0)+IF(P$27=Annahmen!$G$51,Annahmen!$F$51,0)</f>
        <v>5500</v>
      </c>
      <c r="Q31" s="21" t="n">
        <f aca="false">IF(AND(Q$27&gt;=Annahmen!$D$51,Q$27&lt;=Annahmen!$E$51),Annahmen!$C$51,0)+IF(Q$27=Annahmen!$G$51,Annahmen!$F$51,0)</f>
        <v>5500</v>
      </c>
      <c r="R31" s="21" t="n">
        <f aca="false">IF(AND(R$27&gt;=Annahmen!$D$51,R$27&lt;=Annahmen!$E$51),Annahmen!$C$51,0)+IF(R$27=Annahmen!$G$51,Annahmen!$F$51,0)</f>
        <v>5500</v>
      </c>
      <c r="S31" s="21" t="n">
        <f aca="false">IF(AND(S$27&gt;=Annahmen!$D$51,S$27&lt;=Annahmen!$E$51),Annahmen!$C$51,0)+IF(S$27=Annahmen!$G$51,Annahmen!$F$51,0)</f>
        <v>5500</v>
      </c>
      <c r="T31" s="21" t="n">
        <f aca="false">IF(AND(T$27&gt;=Annahmen!$D$51,T$27&lt;=Annahmen!$E$51),Annahmen!$C$51,0)+IF(T$27=Annahmen!$G$51,Annahmen!$F$51,0)</f>
        <v>5500</v>
      </c>
      <c r="U31" s="21" t="n">
        <f aca="false">IF(AND(U$27&gt;=Annahmen!$D$51,U$27&lt;=Annahmen!$E$51),Annahmen!$C$51,0)+IF(U$27=Annahmen!$G$51,Annahmen!$F$51,0)</f>
        <v>5500</v>
      </c>
      <c r="V31" s="21" t="n">
        <f aca="false">IF(AND(V$27&gt;=Annahmen!$D$51,V$27&lt;=Annahmen!$E$51),Annahmen!$C$51,0)+IF(V$27=Annahmen!$G$51,Annahmen!$F$51,0)</f>
        <v>0</v>
      </c>
      <c r="W31" s="21" t="n">
        <f aca="false">IF(AND(W$27&gt;=Annahmen!$D$51,W$27&lt;=Annahmen!$E$51),Annahmen!$C$51,0)+IF(W$27=Annahmen!$G$51,Annahmen!$F$51,0)</f>
        <v>0</v>
      </c>
      <c r="X31" s="21" t="n">
        <f aca="false">IF(AND(X$27&gt;=Annahmen!$D$51,X$27&lt;=Annahmen!$E$51),Annahmen!$C$51,0)+IF(X$27=Annahmen!$G$51,Annahmen!$F$51,0)</f>
        <v>0</v>
      </c>
      <c r="Y31" s="21" t="n">
        <f aca="false">IF(AND(Y$27&gt;=Annahmen!$D$51,Y$27&lt;=Annahmen!$E$51),Annahmen!$C$51,0)+IF(Y$27=Annahmen!$G$51,Annahmen!$F$51,0)</f>
        <v>0</v>
      </c>
      <c r="Z31" s="21" t="n">
        <f aca="false">IF(AND(Z$27&gt;=Annahmen!$D$51,Z$27&lt;=Annahmen!$E$51),Annahmen!$C$51,0)+IF(Z$27=Annahmen!$G$51,Annahmen!$F$51,0)</f>
        <v>0</v>
      </c>
      <c r="AA31" s="21" t="n">
        <f aca="false">IF(AND(AA$27&gt;=Annahmen!$D$51,AA$27&lt;=Annahmen!$E$51),Annahmen!$C$51,0)+IF(AA$27=Annahmen!$G$51,Annahmen!$F$51,0)</f>
        <v>0</v>
      </c>
      <c r="AB31" s="15" t="n">
        <f aca="false">SUM(D31:O31)</f>
        <v>55000</v>
      </c>
      <c r="AC31" s="15" t="n">
        <f aca="false">SUM(P31:AA31)</f>
        <v>33000</v>
      </c>
      <c r="AD31" s="15" t="n">
        <f aca="false">SUM(D31:U31)</f>
        <v>88000</v>
      </c>
    </row>
    <row r="32" customFormat="false" ht="15" hidden="false" customHeight="false" outlineLevel="0" collapsed="false">
      <c r="A32" s="6" t="s">
        <v>95</v>
      </c>
      <c r="B32" s="6" t="s">
        <v>65</v>
      </c>
      <c r="C32" s="2"/>
      <c r="D32" s="21" t="n">
        <f aca="false">IF(AND(D$27&gt;=Annahmen!$D$52,D$27&lt;=Annahmen!$E$52),Annahmen!$C$52,0)+IF(D$27=Annahmen!$G$52,Annahmen!$F$52,0)</f>
        <v>2000</v>
      </c>
      <c r="E32" s="21" t="n">
        <f aca="false">IF(AND(E$27&gt;=Annahmen!$D$52,E$27&lt;=Annahmen!$E$52),Annahmen!$C$52,0)+IF(E$27=Annahmen!$G$52,Annahmen!$F$52,0)</f>
        <v>2000</v>
      </c>
      <c r="F32" s="21" t="n">
        <f aca="false">IF(AND(F$27&gt;=Annahmen!$D$52,F$27&lt;=Annahmen!$E$52),Annahmen!$C$52,0)+IF(F$27=Annahmen!$G$52,Annahmen!$F$52,0)</f>
        <v>2000</v>
      </c>
      <c r="G32" s="21" t="n">
        <f aca="false">IF(AND(G$27&gt;=Annahmen!$D$52,G$27&lt;=Annahmen!$E$52),Annahmen!$C$52,0)+IF(G$27=Annahmen!$G$52,Annahmen!$F$52,0)</f>
        <v>2000</v>
      </c>
      <c r="H32" s="21" t="n">
        <f aca="false">IF(AND(H$27&gt;=Annahmen!$D$52,H$27&lt;=Annahmen!$E$52),Annahmen!$C$52,0)+IF(H$27=Annahmen!$G$52,Annahmen!$F$52,0)</f>
        <v>2000</v>
      </c>
      <c r="I32" s="21" t="n">
        <f aca="false">IF(AND(I$27&gt;=Annahmen!$D$52,I$27&lt;=Annahmen!$E$52),Annahmen!$C$52,0)+IF(I$27=Annahmen!$G$52,Annahmen!$F$52,0)</f>
        <v>2000</v>
      </c>
      <c r="J32" s="21" t="n">
        <f aca="false">IF(AND(J$27&gt;=Annahmen!$D$52,J$27&lt;=Annahmen!$E$52),Annahmen!$C$52,0)+IF(J$27=Annahmen!$G$52,Annahmen!$F$52,0)</f>
        <v>2000</v>
      </c>
      <c r="K32" s="21" t="n">
        <f aca="false">IF(AND(K$27&gt;=Annahmen!$D$52,K$27&lt;=Annahmen!$E$52),Annahmen!$C$52,0)+IF(K$27=Annahmen!$G$52,Annahmen!$F$52,0)</f>
        <v>2000</v>
      </c>
      <c r="L32" s="21" t="n">
        <f aca="false">IF(AND(L$27&gt;=Annahmen!$D$52,L$27&lt;=Annahmen!$E$52),Annahmen!$C$52,0)+IF(L$27=Annahmen!$G$52,Annahmen!$F$52,0)</f>
        <v>2000</v>
      </c>
      <c r="M32" s="21" t="n">
        <f aca="false">IF(AND(M$27&gt;=Annahmen!$D$52,M$27&lt;=Annahmen!$E$52),Annahmen!$C$52,0)+IF(M$27=Annahmen!$G$52,Annahmen!$F$52,0)</f>
        <v>2000</v>
      </c>
      <c r="N32" s="21" t="n">
        <f aca="false">IF(AND(N$27&gt;=Annahmen!$D$52,N$27&lt;=Annahmen!$E$52),Annahmen!$C$52,0)+IF(N$27=Annahmen!$G$52,Annahmen!$F$52,0)</f>
        <v>2000</v>
      </c>
      <c r="O32" s="21" t="n">
        <f aca="false">IF(AND(O$27&gt;=Annahmen!$D$52,O$27&lt;=Annahmen!$E$52),Annahmen!$C$52,0)+IF(O$27=Annahmen!$G$52,Annahmen!$F$52,0)</f>
        <v>2000</v>
      </c>
      <c r="P32" s="21" t="n">
        <f aca="false">IF(AND(P$27&gt;=Annahmen!$D$52,P$27&lt;=Annahmen!$E$52),Annahmen!$C$52,0)+IF(P$27=Annahmen!$G$52,Annahmen!$F$52,0)</f>
        <v>2000</v>
      </c>
      <c r="Q32" s="21" t="n">
        <f aca="false">IF(AND(Q$27&gt;=Annahmen!$D$52,Q$27&lt;=Annahmen!$E$52),Annahmen!$C$52,0)+IF(Q$27=Annahmen!$G$52,Annahmen!$F$52,0)</f>
        <v>2000</v>
      </c>
      <c r="R32" s="21" t="n">
        <f aca="false">IF(AND(R$27&gt;=Annahmen!$D$52,R$27&lt;=Annahmen!$E$52),Annahmen!$C$52,0)+IF(R$27=Annahmen!$G$52,Annahmen!$F$52,0)</f>
        <v>2000</v>
      </c>
      <c r="S32" s="21" t="n">
        <f aca="false">IF(AND(S$27&gt;=Annahmen!$D$52,S$27&lt;=Annahmen!$E$52),Annahmen!$C$52,0)+IF(S$27=Annahmen!$G$52,Annahmen!$F$52,0)</f>
        <v>2000</v>
      </c>
      <c r="T32" s="21" t="n">
        <f aca="false">IF(AND(T$27&gt;=Annahmen!$D$52,T$27&lt;=Annahmen!$E$52),Annahmen!$C$52,0)+IF(T$27=Annahmen!$G$52,Annahmen!$F$52,0)</f>
        <v>2000</v>
      </c>
      <c r="U32" s="21" t="n">
        <f aca="false">IF(AND(U$27&gt;=Annahmen!$D$52,U$27&lt;=Annahmen!$E$52),Annahmen!$C$52,0)+IF(U$27=Annahmen!$G$52,Annahmen!$F$52,0)</f>
        <v>2000</v>
      </c>
      <c r="V32" s="21" t="n">
        <f aca="false">IF(AND(V$27&gt;=Annahmen!$D$52,V$27&lt;=Annahmen!$E$52),Annahmen!$C$52,0)+IF(V$27=Annahmen!$G$52,Annahmen!$F$52,0)</f>
        <v>0</v>
      </c>
      <c r="W32" s="21" t="n">
        <f aca="false">IF(AND(W$27&gt;=Annahmen!$D$52,W$27&lt;=Annahmen!$E$52),Annahmen!$C$52,0)+IF(W$27=Annahmen!$G$52,Annahmen!$F$52,0)</f>
        <v>0</v>
      </c>
      <c r="X32" s="21" t="n">
        <f aca="false">IF(AND(X$27&gt;=Annahmen!$D$52,X$27&lt;=Annahmen!$E$52),Annahmen!$C$52,0)+IF(X$27=Annahmen!$G$52,Annahmen!$F$52,0)</f>
        <v>0</v>
      </c>
      <c r="Y32" s="21" t="n">
        <f aca="false">IF(AND(Y$27&gt;=Annahmen!$D$52,Y$27&lt;=Annahmen!$E$52),Annahmen!$C$52,0)+IF(Y$27=Annahmen!$G$52,Annahmen!$F$52,0)</f>
        <v>0</v>
      </c>
      <c r="Z32" s="21" t="n">
        <f aca="false">IF(AND(Z$27&gt;=Annahmen!$D$52,Z$27&lt;=Annahmen!$E$52),Annahmen!$C$52,0)+IF(Z$27=Annahmen!$G$52,Annahmen!$F$52,0)</f>
        <v>0</v>
      </c>
      <c r="AA32" s="21" t="n">
        <f aca="false">IF(AND(AA$27&gt;=Annahmen!$D$52,AA$27&lt;=Annahmen!$E$52),Annahmen!$C$52,0)+IF(AA$27=Annahmen!$G$52,Annahmen!$F$52,0)</f>
        <v>0</v>
      </c>
      <c r="AB32" s="15" t="n">
        <f aca="false">SUM(D32:O32)</f>
        <v>24000</v>
      </c>
      <c r="AC32" s="15" t="n">
        <f aca="false">SUM(P32:AA32)</f>
        <v>12000</v>
      </c>
      <c r="AD32" s="15" t="n">
        <f aca="false">SUM(D32:U32)</f>
        <v>36000</v>
      </c>
    </row>
    <row r="33" customFormat="false" ht="15" hidden="false" customHeight="false" outlineLevel="0" collapsed="false">
      <c r="A33" s="6" t="s">
        <v>97</v>
      </c>
      <c r="B33" s="6" t="s">
        <v>65</v>
      </c>
      <c r="C33" s="2"/>
      <c r="D33" s="21" t="n">
        <f aca="false">IF(AND(D$27&gt;=Annahmen!$D$53,D$27&lt;=Annahmen!$E$53),Annahmen!$C$53,0)+IF(D$27=Annahmen!$G$53,Annahmen!$F$53,0)</f>
        <v>1000</v>
      </c>
      <c r="E33" s="21" t="n">
        <f aca="false">IF(AND(E$27&gt;=Annahmen!$D$53,E$27&lt;=Annahmen!$E$53),Annahmen!$C$53,0)+IF(E$27=Annahmen!$G$53,Annahmen!$F$53,0)</f>
        <v>0</v>
      </c>
      <c r="F33" s="21" t="n">
        <f aca="false">IF(AND(F$27&gt;=Annahmen!$D$53,F$27&lt;=Annahmen!$E$53),Annahmen!$C$53,0)+IF(F$27=Annahmen!$G$53,Annahmen!$F$53,0)</f>
        <v>0</v>
      </c>
      <c r="G33" s="21" t="n">
        <f aca="false">IF(AND(G$27&gt;=Annahmen!$D$53,G$27&lt;=Annahmen!$E$53),Annahmen!$C$53,0)+IF(G$27=Annahmen!$G$53,Annahmen!$F$53,0)</f>
        <v>0</v>
      </c>
      <c r="H33" s="21" t="n">
        <f aca="false">IF(AND(H$27&gt;=Annahmen!$D$53,H$27&lt;=Annahmen!$E$53),Annahmen!$C$53,0)+IF(H$27=Annahmen!$G$53,Annahmen!$F$53,0)</f>
        <v>0</v>
      </c>
      <c r="I33" s="21" t="n">
        <f aca="false">IF(AND(I$27&gt;=Annahmen!$D$53,I$27&lt;=Annahmen!$E$53),Annahmen!$C$53,0)+IF(I$27=Annahmen!$G$53,Annahmen!$F$53,0)</f>
        <v>0</v>
      </c>
      <c r="J33" s="21" t="n">
        <f aca="false">IF(AND(J$27&gt;=Annahmen!$D$53,J$27&lt;=Annahmen!$E$53),Annahmen!$C$53,0)+IF(J$27=Annahmen!$G$53,Annahmen!$F$53,0)</f>
        <v>0</v>
      </c>
      <c r="K33" s="21" t="n">
        <f aca="false">IF(AND(K$27&gt;=Annahmen!$D$53,K$27&lt;=Annahmen!$E$53),Annahmen!$C$53,0)+IF(K$27=Annahmen!$G$53,Annahmen!$F$53,0)</f>
        <v>0</v>
      </c>
      <c r="L33" s="21" t="n">
        <f aca="false">IF(AND(L$27&gt;=Annahmen!$D$53,L$27&lt;=Annahmen!$E$53),Annahmen!$C$53,0)+IF(L$27=Annahmen!$G$53,Annahmen!$F$53,0)</f>
        <v>0</v>
      </c>
      <c r="M33" s="21" t="n">
        <f aca="false">IF(AND(M$27&gt;=Annahmen!$D$53,M$27&lt;=Annahmen!$E$53),Annahmen!$C$53,0)+IF(M$27=Annahmen!$G$53,Annahmen!$F$53,0)</f>
        <v>0</v>
      </c>
      <c r="N33" s="21" t="n">
        <f aca="false">IF(AND(N$27&gt;=Annahmen!$D$53,N$27&lt;=Annahmen!$E$53),Annahmen!$C$53,0)+IF(N$27=Annahmen!$G$53,Annahmen!$F$53,0)</f>
        <v>0</v>
      </c>
      <c r="O33" s="21" t="n">
        <f aca="false">IF(AND(O$27&gt;=Annahmen!$D$53,O$27&lt;=Annahmen!$E$53),Annahmen!$C$53,0)+IF(O$27=Annahmen!$G$53,Annahmen!$F$53,0)</f>
        <v>0</v>
      </c>
      <c r="P33" s="21" t="n">
        <f aca="false">IF(AND(P$27&gt;=Annahmen!$D$53,P$27&lt;=Annahmen!$E$53),Annahmen!$C$53,0)+IF(P$27=Annahmen!$G$53,Annahmen!$F$53,0)</f>
        <v>0</v>
      </c>
      <c r="Q33" s="21" t="n">
        <f aca="false">IF(AND(Q$27&gt;=Annahmen!$D$53,Q$27&lt;=Annahmen!$E$53),Annahmen!$C$53,0)+IF(Q$27=Annahmen!$G$53,Annahmen!$F$53,0)</f>
        <v>0</v>
      </c>
      <c r="R33" s="21" t="n">
        <f aca="false">IF(AND(R$27&gt;=Annahmen!$D$53,R$27&lt;=Annahmen!$E$53),Annahmen!$C$53,0)+IF(R$27=Annahmen!$G$53,Annahmen!$F$53,0)</f>
        <v>0</v>
      </c>
      <c r="S33" s="21" t="n">
        <f aca="false">IF(AND(S$27&gt;=Annahmen!$D$53,S$27&lt;=Annahmen!$E$53),Annahmen!$C$53,0)+IF(S$27=Annahmen!$G$53,Annahmen!$F$53,0)</f>
        <v>0</v>
      </c>
      <c r="T33" s="21" t="n">
        <f aca="false">IF(AND(T$27&gt;=Annahmen!$D$53,T$27&lt;=Annahmen!$E$53),Annahmen!$C$53,0)+IF(T$27=Annahmen!$G$53,Annahmen!$F$53,0)</f>
        <v>0</v>
      </c>
      <c r="U33" s="21" t="n">
        <f aca="false">IF(AND(U$27&gt;=Annahmen!$D$53,U$27&lt;=Annahmen!$E$53),Annahmen!$C$53,0)+IF(U$27=Annahmen!$G$53,Annahmen!$F$53,0)</f>
        <v>0</v>
      </c>
      <c r="V33" s="21" t="n">
        <f aca="false">IF(AND(V$27&gt;=Annahmen!$D$53,V$27&lt;=Annahmen!$E$53),Annahmen!$C$53,0)+IF(V$27=Annahmen!$G$53,Annahmen!$F$53,0)</f>
        <v>0</v>
      </c>
      <c r="W33" s="21" t="n">
        <f aca="false">IF(AND(W$27&gt;=Annahmen!$D$53,W$27&lt;=Annahmen!$E$53),Annahmen!$C$53,0)+IF(W$27=Annahmen!$G$53,Annahmen!$F$53,0)</f>
        <v>0</v>
      </c>
      <c r="X33" s="21" t="n">
        <f aca="false">IF(AND(X$27&gt;=Annahmen!$D$53,X$27&lt;=Annahmen!$E$53),Annahmen!$C$53,0)+IF(X$27=Annahmen!$G$53,Annahmen!$F$53,0)</f>
        <v>0</v>
      </c>
      <c r="Y33" s="21" t="n">
        <f aca="false">IF(AND(Y$27&gt;=Annahmen!$D$53,Y$27&lt;=Annahmen!$E$53),Annahmen!$C$53,0)+IF(Y$27=Annahmen!$G$53,Annahmen!$F$53,0)</f>
        <v>0</v>
      </c>
      <c r="Z33" s="21" t="n">
        <f aca="false">IF(AND(Z$27&gt;=Annahmen!$D$53,Z$27&lt;=Annahmen!$E$53),Annahmen!$C$53,0)+IF(Z$27=Annahmen!$G$53,Annahmen!$F$53,0)</f>
        <v>0</v>
      </c>
      <c r="AA33" s="21" t="n">
        <f aca="false">IF(AND(AA$27&gt;=Annahmen!$D$53,AA$27&lt;=Annahmen!$E$53),Annahmen!$C$53,0)+IF(AA$27=Annahmen!$G$53,Annahmen!$F$53,0)</f>
        <v>0</v>
      </c>
      <c r="AB33" s="15" t="n">
        <f aca="false">SUM(D33:O33)</f>
        <v>1000</v>
      </c>
      <c r="AC33" s="15" t="n">
        <f aca="false">SUM(P33:AA33)</f>
        <v>0</v>
      </c>
      <c r="AD33" s="15" t="n">
        <f aca="false">SUM(D33:U33)</f>
        <v>1000</v>
      </c>
    </row>
    <row r="34" customFormat="false" ht="15" hidden="false" customHeight="false" outlineLevel="0" collapsed="false">
      <c r="A34" s="6" t="s">
        <v>99</v>
      </c>
      <c r="B34" s="6" t="s">
        <v>65</v>
      </c>
      <c r="C34" s="2"/>
      <c r="D34" s="21" t="n">
        <f aca="false">IF(AND(D$27&gt;=Annahmen!$D$54,D$27&lt;=Annahmen!$E$54),Annahmen!$C$54,0)+IF(D$27=Annahmen!$G$54,Annahmen!$F$54,0)</f>
        <v>2000</v>
      </c>
      <c r="E34" s="21" t="n">
        <f aca="false">IF(AND(E$27&gt;=Annahmen!$D$54,E$27&lt;=Annahmen!$E$54),Annahmen!$C$54,0)+IF(E$27=Annahmen!$G$54,Annahmen!$F$54,0)</f>
        <v>2000</v>
      </c>
      <c r="F34" s="21" t="n">
        <f aca="false">IF(AND(F$27&gt;=Annahmen!$D$54,F$27&lt;=Annahmen!$E$54),Annahmen!$C$54,0)+IF(F$27=Annahmen!$G$54,Annahmen!$F$54,0)</f>
        <v>2000</v>
      </c>
      <c r="G34" s="21" t="n">
        <f aca="false">IF(AND(G$27&gt;=Annahmen!$D$54,G$27&lt;=Annahmen!$E$54),Annahmen!$C$54,0)+IF(G$27=Annahmen!$G$54,Annahmen!$F$54,0)</f>
        <v>2000</v>
      </c>
      <c r="H34" s="21" t="n">
        <f aca="false">IF(AND(H$27&gt;=Annahmen!$D$54,H$27&lt;=Annahmen!$E$54),Annahmen!$C$54,0)+IF(H$27=Annahmen!$G$54,Annahmen!$F$54,0)</f>
        <v>2000</v>
      </c>
      <c r="I34" s="21" t="n">
        <f aca="false">IF(AND(I$27&gt;=Annahmen!$D$54,I$27&lt;=Annahmen!$E$54),Annahmen!$C$54,0)+IF(I$27=Annahmen!$G$54,Annahmen!$F$54,0)</f>
        <v>2000</v>
      </c>
      <c r="J34" s="21" t="n">
        <f aca="false">IF(AND(J$27&gt;=Annahmen!$D$54,J$27&lt;=Annahmen!$E$54),Annahmen!$C$54,0)+IF(J$27=Annahmen!$G$54,Annahmen!$F$54,0)</f>
        <v>0</v>
      </c>
      <c r="K34" s="21" t="n">
        <f aca="false">IF(AND(K$27&gt;=Annahmen!$D$54,K$27&lt;=Annahmen!$E$54),Annahmen!$C$54,0)+IF(K$27=Annahmen!$G$54,Annahmen!$F$54,0)</f>
        <v>0</v>
      </c>
      <c r="L34" s="21" t="n">
        <f aca="false">IF(AND(L$27&gt;=Annahmen!$D$54,L$27&lt;=Annahmen!$E$54),Annahmen!$C$54,0)+IF(L$27=Annahmen!$G$54,Annahmen!$F$54,0)</f>
        <v>0</v>
      </c>
      <c r="M34" s="21" t="n">
        <f aca="false">IF(AND(M$27&gt;=Annahmen!$D$54,M$27&lt;=Annahmen!$E$54),Annahmen!$C$54,0)+IF(M$27=Annahmen!$G$54,Annahmen!$F$54,0)</f>
        <v>0</v>
      </c>
      <c r="N34" s="21" t="n">
        <f aca="false">IF(AND(N$27&gt;=Annahmen!$D$54,N$27&lt;=Annahmen!$E$54),Annahmen!$C$54,0)+IF(N$27=Annahmen!$G$54,Annahmen!$F$54,0)</f>
        <v>0</v>
      </c>
      <c r="O34" s="21" t="n">
        <f aca="false">IF(AND(O$27&gt;=Annahmen!$D$54,O$27&lt;=Annahmen!$E$54),Annahmen!$C$54,0)+IF(O$27=Annahmen!$G$54,Annahmen!$F$54,0)</f>
        <v>0</v>
      </c>
      <c r="P34" s="21" t="n">
        <f aca="false">IF(AND(P$27&gt;=Annahmen!$D$54,P$27&lt;=Annahmen!$E$54),Annahmen!$C$54,0)+IF(P$27=Annahmen!$G$54,Annahmen!$F$54,0)</f>
        <v>0</v>
      </c>
      <c r="Q34" s="21" t="n">
        <f aca="false">IF(AND(Q$27&gt;=Annahmen!$D$54,Q$27&lt;=Annahmen!$E$54),Annahmen!$C$54,0)+IF(Q$27=Annahmen!$G$54,Annahmen!$F$54,0)</f>
        <v>0</v>
      </c>
      <c r="R34" s="21" t="n">
        <f aca="false">IF(AND(R$27&gt;=Annahmen!$D$54,R$27&lt;=Annahmen!$E$54),Annahmen!$C$54,0)+IF(R$27=Annahmen!$G$54,Annahmen!$F$54,0)</f>
        <v>0</v>
      </c>
      <c r="S34" s="21" t="n">
        <f aca="false">IF(AND(S$27&gt;=Annahmen!$D$54,S$27&lt;=Annahmen!$E$54),Annahmen!$C$54,0)+IF(S$27=Annahmen!$G$54,Annahmen!$F$54,0)</f>
        <v>0</v>
      </c>
      <c r="T34" s="21" t="n">
        <f aca="false">IF(AND(T$27&gt;=Annahmen!$D$54,T$27&lt;=Annahmen!$E$54),Annahmen!$C$54,0)+IF(T$27=Annahmen!$G$54,Annahmen!$F$54,0)</f>
        <v>0</v>
      </c>
      <c r="U34" s="21" t="n">
        <f aca="false">IF(AND(U$27&gt;=Annahmen!$D$54,U$27&lt;=Annahmen!$E$54),Annahmen!$C$54,0)+IF(U$27=Annahmen!$G$54,Annahmen!$F$54,0)</f>
        <v>0</v>
      </c>
      <c r="V34" s="21" t="n">
        <f aca="false">IF(AND(V$27&gt;=Annahmen!$D$54,V$27&lt;=Annahmen!$E$54),Annahmen!$C$54,0)+IF(V$27=Annahmen!$G$54,Annahmen!$F$54,0)</f>
        <v>0</v>
      </c>
      <c r="W34" s="21" t="n">
        <f aca="false">IF(AND(W$27&gt;=Annahmen!$D$54,W$27&lt;=Annahmen!$E$54),Annahmen!$C$54,0)+IF(W$27=Annahmen!$G$54,Annahmen!$F$54,0)</f>
        <v>0</v>
      </c>
      <c r="X34" s="21" t="n">
        <f aca="false">IF(AND(X$27&gt;=Annahmen!$D$54,X$27&lt;=Annahmen!$E$54),Annahmen!$C$54,0)+IF(X$27=Annahmen!$G$54,Annahmen!$F$54,0)</f>
        <v>0</v>
      </c>
      <c r="Y34" s="21" t="n">
        <f aca="false">IF(AND(Y$27&gt;=Annahmen!$D$54,Y$27&lt;=Annahmen!$E$54),Annahmen!$C$54,0)+IF(Y$27=Annahmen!$G$54,Annahmen!$F$54,0)</f>
        <v>0</v>
      </c>
      <c r="Z34" s="21" t="n">
        <f aca="false">IF(AND(Z$27&gt;=Annahmen!$D$54,Z$27&lt;=Annahmen!$E$54),Annahmen!$C$54,0)+IF(Z$27=Annahmen!$G$54,Annahmen!$F$54,0)</f>
        <v>0</v>
      </c>
      <c r="AA34" s="21" t="n">
        <f aca="false">IF(AND(AA$27&gt;=Annahmen!$D$54,AA$27&lt;=Annahmen!$E$54),Annahmen!$C$54,0)+IF(AA$27=Annahmen!$G$54,Annahmen!$F$54,0)</f>
        <v>0</v>
      </c>
      <c r="AB34" s="15" t="n">
        <f aca="false">SUM(D34:O34)</f>
        <v>12000</v>
      </c>
      <c r="AC34" s="15" t="n">
        <f aca="false">SUM(P34:AA34)</f>
        <v>0</v>
      </c>
      <c r="AD34" s="15" t="n">
        <f aca="false">SUM(D34:U34)</f>
        <v>12000</v>
      </c>
    </row>
    <row r="35" customFormat="false" ht="15" hidden="false" customHeight="false" outlineLevel="0" collapsed="false">
      <c r="A35" s="6" t="s">
        <v>102</v>
      </c>
      <c r="B35" s="6" t="s">
        <v>65</v>
      </c>
      <c r="C35" s="2"/>
      <c r="D35" s="21" t="n">
        <f aca="false">IF(AND(D$27&gt;=Annahmen!$D$55,D$27&lt;=Annahmen!$E$55),Annahmen!$C$55,0)+IF(D$27=Annahmen!$G$55,Annahmen!$F$55,0)</f>
        <v>0</v>
      </c>
      <c r="E35" s="21" t="n">
        <f aca="false">IF(AND(E$27&gt;=Annahmen!$D$55,E$27&lt;=Annahmen!$E$55),Annahmen!$C$55,0)+IF(E$27=Annahmen!$G$55,Annahmen!$F$55,0)</f>
        <v>0</v>
      </c>
      <c r="F35" s="21" t="n">
        <f aca="false">IF(AND(F$27&gt;=Annahmen!$D$55,F$27&lt;=Annahmen!$E$55),Annahmen!$C$55,0)+IF(F$27=Annahmen!$G$55,Annahmen!$F$55,0)</f>
        <v>0</v>
      </c>
      <c r="G35" s="21" t="n">
        <f aca="false">IF(AND(G$27&gt;=Annahmen!$D$55,G$27&lt;=Annahmen!$E$55),Annahmen!$C$55,0)+IF(G$27=Annahmen!$G$55,Annahmen!$F$55,0)</f>
        <v>0</v>
      </c>
      <c r="H35" s="21" t="n">
        <f aca="false">IF(AND(H$27&gt;=Annahmen!$D$55,H$27&lt;=Annahmen!$E$55),Annahmen!$C$55,0)+IF(H$27=Annahmen!$G$55,Annahmen!$F$55,0)</f>
        <v>0</v>
      </c>
      <c r="I35" s="21" t="n">
        <f aca="false">IF(AND(I$27&gt;=Annahmen!$D$55,I$27&lt;=Annahmen!$E$55),Annahmen!$C$55,0)+IF(I$27=Annahmen!$G$55,Annahmen!$F$55,0)</f>
        <v>0</v>
      </c>
      <c r="J35" s="21" t="n">
        <f aca="false">IF(AND(J$27&gt;=Annahmen!$D$55,J$27&lt;=Annahmen!$E$55),Annahmen!$C$55,0)+IF(J$27=Annahmen!$G$55,Annahmen!$F$55,0)</f>
        <v>3000</v>
      </c>
      <c r="K35" s="21" t="n">
        <f aca="false">IF(AND(K$27&gt;=Annahmen!$D$55,K$27&lt;=Annahmen!$E$55),Annahmen!$C$55,0)+IF(K$27=Annahmen!$G$55,Annahmen!$F$55,0)</f>
        <v>3000</v>
      </c>
      <c r="L35" s="21" t="n">
        <f aca="false">IF(AND(L$27&gt;=Annahmen!$D$55,L$27&lt;=Annahmen!$E$55),Annahmen!$C$55,0)+IF(L$27=Annahmen!$G$55,Annahmen!$F$55,0)</f>
        <v>3000</v>
      </c>
      <c r="M35" s="21" t="n">
        <f aca="false">IF(AND(M$27&gt;=Annahmen!$D$55,M$27&lt;=Annahmen!$E$55),Annahmen!$C$55,0)+IF(M$27=Annahmen!$G$55,Annahmen!$F$55,0)</f>
        <v>3000</v>
      </c>
      <c r="N35" s="21" t="n">
        <f aca="false">IF(AND(N$27&gt;=Annahmen!$D$55,N$27&lt;=Annahmen!$E$55),Annahmen!$C$55,0)+IF(N$27=Annahmen!$G$55,Annahmen!$F$55,0)</f>
        <v>3000</v>
      </c>
      <c r="O35" s="21" t="n">
        <f aca="false">IF(AND(O$27&gt;=Annahmen!$D$55,O$27&lt;=Annahmen!$E$55),Annahmen!$C$55,0)+IF(O$27=Annahmen!$G$55,Annahmen!$F$55,0)</f>
        <v>3000</v>
      </c>
      <c r="P35" s="21" t="n">
        <f aca="false">IF(AND(P$27&gt;=Annahmen!$D$55,P$27&lt;=Annahmen!$E$55),Annahmen!$C$55,0)+IF(P$27=Annahmen!$G$55,Annahmen!$F$55,0)</f>
        <v>3000</v>
      </c>
      <c r="Q35" s="21" t="n">
        <f aca="false">IF(AND(Q$27&gt;=Annahmen!$D$55,Q$27&lt;=Annahmen!$E$55),Annahmen!$C$55,0)+IF(Q$27=Annahmen!$G$55,Annahmen!$F$55,0)</f>
        <v>3000</v>
      </c>
      <c r="R35" s="21" t="n">
        <f aca="false">IF(AND(R$27&gt;=Annahmen!$D$55,R$27&lt;=Annahmen!$E$55),Annahmen!$C$55,0)+IF(R$27=Annahmen!$G$55,Annahmen!$F$55,0)</f>
        <v>3000</v>
      </c>
      <c r="S35" s="21" t="n">
        <f aca="false">IF(AND(S$27&gt;=Annahmen!$D$55,S$27&lt;=Annahmen!$E$55),Annahmen!$C$55,0)+IF(S$27=Annahmen!$G$55,Annahmen!$F$55,0)</f>
        <v>3000</v>
      </c>
      <c r="T35" s="21" t="n">
        <f aca="false">IF(AND(T$27&gt;=Annahmen!$D$55,T$27&lt;=Annahmen!$E$55),Annahmen!$C$55,0)+IF(T$27=Annahmen!$G$55,Annahmen!$F$55,0)</f>
        <v>3000</v>
      </c>
      <c r="U35" s="21" t="n">
        <f aca="false">IF(AND(U$27&gt;=Annahmen!$D$55,U$27&lt;=Annahmen!$E$55),Annahmen!$C$55,0)+IF(U$27=Annahmen!$G$55,Annahmen!$F$55,0)</f>
        <v>3000</v>
      </c>
      <c r="V35" s="21" t="n">
        <f aca="false">IF(AND(V$27&gt;=Annahmen!$D$55,V$27&lt;=Annahmen!$E$55),Annahmen!$C$55,0)+IF(V$27=Annahmen!$G$55,Annahmen!$F$55,0)</f>
        <v>0</v>
      </c>
      <c r="W35" s="21" t="n">
        <f aca="false">IF(AND(W$27&gt;=Annahmen!$D$55,W$27&lt;=Annahmen!$E$55),Annahmen!$C$55,0)+IF(W$27=Annahmen!$G$55,Annahmen!$F$55,0)</f>
        <v>0</v>
      </c>
      <c r="X35" s="21" t="n">
        <f aca="false">IF(AND(X$27&gt;=Annahmen!$D$55,X$27&lt;=Annahmen!$E$55),Annahmen!$C$55,0)+IF(X$27=Annahmen!$G$55,Annahmen!$F$55,0)</f>
        <v>0</v>
      </c>
      <c r="Y35" s="21" t="n">
        <f aca="false">IF(AND(Y$27&gt;=Annahmen!$D$55,Y$27&lt;=Annahmen!$E$55),Annahmen!$C$55,0)+IF(Y$27=Annahmen!$G$55,Annahmen!$F$55,0)</f>
        <v>0</v>
      </c>
      <c r="Z35" s="21" t="n">
        <f aca="false">IF(AND(Z$27&gt;=Annahmen!$D$55,Z$27&lt;=Annahmen!$E$55),Annahmen!$C$55,0)+IF(Z$27=Annahmen!$G$55,Annahmen!$F$55,0)</f>
        <v>0</v>
      </c>
      <c r="AA35" s="21" t="n">
        <f aca="false">IF(AND(AA$27&gt;=Annahmen!$D$55,AA$27&lt;=Annahmen!$E$55),Annahmen!$C$55,0)+IF(AA$27=Annahmen!$G$55,Annahmen!$F$55,0)</f>
        <v>0</v>
      </c>
      <c r="AB35" s="15" t="n">
        <f aca="false">SUM(D35:O35)</f>
        <v>18000</v>
      </c>
      <c r="AC35" s="15" t="n">
        <f aca="false">SUM(P35:AA35)</f>
        <v>18000</v>
      </c>
      <c r="AD35" s="15" t="n">
        <f aca="false">SUM(D35:U35)</f>
        <v>36000</v>
      </c>
    </row>
    <row r="36" customFormat="false" ht="15" hidden="false" customHeight="false" outlineLevel="0" collapsed="false">
      <c r="A36" s="6" t="s">
        <v>104</v>
      </c>
      <c r="B36" s="6" t="s">
        <v>65</v>
      </c>
      <c r="C36" s="2"/>
      <c r="D36" s="21" t="n">
        <f aca="false">IF(AND(D$27&gt;=Annahmen!$D$56,D$27&lt;=Annahmen!$E$56),Annahmen!$C$56,0)+IF(D$27=Annahmen!$G$56,Annahmen!$F$56,0)</f>
        <v>0</v>
      </c>
      <c r="E36" s="21" t="n">
        <f aca="false">IF(AND(E$27&gt;=Annahmen!$D$56,E$27&lt;=Annahmen!$E$56),Annahmen!$C$56,0)+IF(E$27=Annahmen!$G$56,Annahmen!$F$56,0)</f>
        <v>0</v>
      </c>
      <c r="F36" s="21" t="n">
        <f aca="false">IF(AND(F$27&gt;=Annahmen!$D$56,F$27&lt;=Annahmen!$E$56),Annahmen!$C$56,0)+IF(F$27=Annahmen!$G$56,Annahmen!$F$56,0)</f>
        <v>0</v>
      </c>
      <c r="G36" s="21" t="n">
        <f aca="false">IF(AND(G$27&gt;=Annahmen!$D$56,G$27&lt;=Annahmen!$E$56),Annahmen!$C$56,0)+IF(G$27=Annahmen!$G$56,Annahmen!$F$56,0)</f>
        <v>0</v>
      </c>
      <c r="H36" s="21" t="n">
        <f aca="false">IF(AND(H$27&gt;=Annahmen!$D$56,H$27&lt;=Annahmen!$E$56),Annahmen!$C$56,0)+IF(H$27=Annahmen!$G$56,Annahmen!$F$56,0)</f>
        <v>0</v>
      </c>
      <c r="I36" s="21" t="n">
        <f aca="false">IF(AND(I$27&gt;=Annahmen!$D$56,I$27&lt;=Annahmen!$E$56),Annahmen!$C$56,0)+IF(I$27=Annahmen!$G$56,Annahmen!$F$56,0)</f>
        <v>0</v>
      </c>
      <c r="J36" s="21" t="n">
        <f aca="false">IF(AND(J$27&gt;=Annahmen!$D$56,J$27&lt;=Annahmen!$E$56),Annahmen!$C$56,0)+IF(J$27=Annahmen!$G$56,Annahmen!$F$56,0)</f>
        <v>0</v>
      </c>
      <c r="K36" s="21" t="n">
        <f aca="false">IF(AND(K$27&gt;=Annahmen!$D$56,K$27&lt;=Annahmen!$E$56),Annahmen!$C$56,0)+IF(K$27=Annahmen!$G$56,Annahmen!$F$56,0)</f>
        <v>0</v>
      </c>
      <c r="L36" s="21" t="n">
        <f aca="false">IF(AND(L$27&gt;=Annahmen!$D$56,L$27&lt;=Annahmen!$E$56),Annahmen!$C$56,0)+IF(L$27=Annahmen!$G$56,Annahmen!$F$56,0)</f>
        <v>2000</v>
      </c>
      <c r="M36" s="21" t="n">
        <f aca="false">IF(AND(M$27&gt;=Annahmen!$D$56,M$27&lt;=Annahmen!$E$56),Annahmen!$C$56,0)+IF(M$27=Annahmen!$G$56,Annahmen!$F$56,0)</f>
        <v>0</v>
      </c>
      <c r="N36" s="21" t="n">
        <f aca="false">IF(AND(N$27&gt;=Annahmen!$D$56,N$27&lt;=Annahmen!$E$56),Annahmen!$C$56,0)+IF(N$27=Annahmen!$G$56,Annahmen!$F$56,0)</f>
        <v>0</v>
      </c>
      <c r="O36" s="21" t="n">
        <f aca="false">IF(AND(O$27&gt;=Annahmen!$D$56,O$27&lt;=Annahmen!$E$56),Annahmen!$C$56,0)+IF(O$27=Annahmen!$G$56,Annahmen!$F$56,0)</f>
        <v>0</v>
      </c>
      <c r="P36" s="21" t="n">
        <f aca="false">IF(AND(P$27&gt;=Annahmen!$D$56,P$27&lt;=Annahmen!$E$56),Annahmen!$C$56,0)+IF(P$27=Annahmen!$G$56,Annahmen!$F$56,0)</f>
        <v>0</v>
      </c>
      <c r="Q36" s="21" t="n">
        <f aca="false">IF(AND(Q$27&gt;=Annahmen!$D$56,Q$27&lt;=Annahmen!$E$56),Annahmen!$C$56,0)+IF(Q$27=Annahmen!$G$56,Annahmen!$F$56,0)</f>
        <v>0</v>
      </c>
      <c r="R36" s="21" t="n">
        <f aca="false">IF(AND(R$27&gt;=Annahmen!$D$56,R$27&lt;=Annahmen!$E$56),Annahmen!$C$56,0)+IF(R$27=Annahmen!$G$56,Annahmen!$F$56,0)</f>
        <v>0</v>
      </c>
      <c r="S36" s="21" t="n">
        <f aca="false">IF(AND(S$27&gt;=Annahmen!$D$56,S$27&lt;=Annahmen!$E$56),Annahmen!$C$56,0)+IF(S$27=Annahmen!$G$56,Annahmen!$F$56,0)</f>
        <v>0</v>
      </c>
      <c r="T36" s="21" t="n">
        <f aca="false">IF(AND(T$27&gt;=Annahmen!$D$56,T$27&lt;=Annahmen!$E$56),Annahmen!$C$56,0)+IF(T$27=Annahmen!$G$56,Annahmen!$F$56,0)</f>
        <v>0</v>
      </c>
      <c r="U36" s="21" t="n">
        <f aca="false">IF(AND(U$27&gt;=Annahmen!$D$56,U$27&lt;=Annahmen!$E$56),Annahmen!$C$56,0)+IF(U$27=Annahmen!$G$56,Annahmen!$F$56,0)</f>
        <v>0</v>
      </c>
      <c r="V36" s="21" t="n">
        <f aca="false">IF(AND(V$27&gt;=Annahmen!$D$56,V$27&lt;=Annahmen!$E$56),Annahmen!$C$56,0)+IF(V$27=Annahmen!$G$56,Annahmen!$F$56,0)</f>
        <v>0</v>
      </c>
      <c r="W36" s="21" t="n">
        <f aca="false">IF(AND(W$27&gt;=Annahmen!$D$56,W$27&lt;=Annahmen!$E$56),Annahmen!$C$56,0)+IF(W$27=Annahmen!$G$56,Annahmen!$F$56,0)</f>
        <v>0</v>
      </c>
      <c r="X36" s="21" t="n">
        <f aca="false">IF(AND(X$27&gt;=Annahmen!$D$56,X$27&lt;=Annahmen!$E$56),Annahmen!$C$56,0)+IF(X$27=Annahmen!$G$56,Annahmen!$F$56,0)</f>
        <v>0</v>
      </c>
      <c r="Y36" s="21" t="n">
        <f aca="false">IF(AND(Y$27&gt;=Annahmen!$D$56,Y$27&lt;=Annahmen!$E$56),Annahmen!$C$56,0)+IF(Y$27=Annahmen!$G$56,Annahmen!$F$56,0)</f>
        <v>0</v>
      </c>
      <c r="Z36" s="21" t="n">
        <f aca="false">IF(AND(Z$27&gt;=Annahmen!$D$56,Z$27&lt;=Annahmen!$E$56),Annahmen!$C$56,0)+IF(Z$27=Annahmen!$G$56,Annahmen!$F$56,0)</f>
        <v>0</v>
      </c>
      <c r="AA36" s="21" t="n">
        <f aca="false">IF(AND(AA$27&gt;=Annahmen!$D$56,AA$27&lt;=Annahmen!$E$56),Annahmen!$C$56,0)+IF(AA$27=Annahmen!$G$56,Annahmen!$F$56,0)</f>
        <v>0</v>
      </c>
      <c r="AB36" s="15" t="n">
        <f aca="false">SUM(D36:O36)</f>
        <v>2000</v>
      </c>
      <c r="AC36" s="15" t="n">
        <f aca="false">SUM(P36:AA36)</f>
        <v>0</v>
      </c>
      <c r="AD36" s="15" t="n">
        <f aca="false">SUM(D36:U36)</f>
        <v>2000</v>
      </c>
    </row>
    <row r="37" customFormat="false" ht="15" hidden="false" customHeight="false" outlineLevel="0" collapsed="false">
      <c r="A37" s="6" t="s">
        <v>106</v>
      </c>
      <c r="B37" s="6" t="s">
        <v>65</v>
      </c>
      <c r="C37" s="2"/>
      <c r="D37" s="21" t="n">
        <f aca="false">IF(AND(D$27&gt;=Annahmen!$D$57,D$27&lt;=Annahmen!$E$57),Annahmen!$C$57,0)+IF(D$27=Annahmen!$G$57,Annahmen!$F$57,0)</f>
        <v>0</v>
      </c>
      <c r="E37" s="21" t="n">
        <f aca="false">IF(AND(E$27&gt;=Annahmen!$D$57,E$27&lt;=Annahmen!$E$57),Annahmen!$C$57,0)+IF(E$27=Annahmen!$G$57,Annahmen!$F$57,0)</f>
        <v>0</v>
      </c>
      <c r="F37" s="21" t="n">
        <f aca="false">IF(AND(F$27&gt;=Annahmen!$D$57,F$27&lt;=Annahmen!$E$57),Annahmen!$C$57,0)+IF(F$27=Annahmen!$G$57,Annahmen!$F$57,0)</f>
        <v>0</v>
      </c>
      <c r="G37" s="21" t="n">
        <f aca="false">IF(AND(G$27&gt;=Annahmen!$D$57,G$27&lt;=Annahmen!$E$57),Annahmen!$C$57,0)+IF(G$27=Annahmen!$G$57,Annahmen!$F$57,0)</f>
        <v>3125</v>
      </c>
      <c r="H37" s="21" t="n">
        <f aca="false">IF(AND(H$27&gt;=Annahmen!$D$57,H$27&lt;=Annahmen!$E$57),Annahmen!$C$57,0)+IF(H$27=Annahmen!$G$57,Annahmen!$F$57,0)</f>
        <v>3125</v>
      </c>
      <c r="I37" s="21" t="n">
        <f aca="false">IF(AND(I$27&gt;=Annahmen!$D$57,I$27&lt;=Annahmen!$E$57),Annahmen!$C$57,0)+IF(I$27=Annahmen!$G$57,Annahmen!$F$57,0)</f>
        <v>3125</v>
      </c>
      <c r="J37" s="21" t="n">
        <f aca="false">IF(AND(J$27&gt;=Annahmen!$D$57,J$27&lt;=Annahmen!$E$57),Annahmen!$C$57,0)+IF(J$27=Annahmen!$G$57,Annahmen!$F$57,0)</f>
        <v>3125</v>
      </c>
      <c r="K37" s="21" t="n">
        <f aca="false">IF(AND(K$27&gt;=Annahmen!$D$57,K$27&lt;=Annahmen!$E$57),Annahmen!$C$57,0)+IF(K$27=Annahmen!$G$57,Annahmen!$F$57,0)</f>
        <v>3125</v>
      </c>
      <c r="L37" s="21" t="n">
        <f aca="false">IF(AND(L$27&gt;=Annahmen!$D$57,L$27&lt;=Annahmen!$E$57),Annahmen!$C$57,0)+IF(L$27=Annahmen!$G$57,Annahmen!$F$57,0)</f>
        <v>3125</v>
      </c>
      <c r="M37" s="21" t="n">
        <f aca="false">IF(AND(M$27&gt;=Annahmen!$D$57,M$27&lt;=Annahmen!$E$57),Annahmen!$C$57,0)+IF(M$27=Annahmen!$G$57,Annahmen!$F$57,0)</f>
        <v>3125</v>
      </c>
      <c r="N37" s="21" t="n">
        <f aca="false">IF(AND(N$27&gt;=Annahmen!$D$57,N$27&lt;=Annahmen!$E$57),Annahmen!$C$57,0)+IF(N$27=Annahmen!$G$57,Annahmen!$F$57,0)</f>
        <v>3125</v>
      </c>
      <c r="O37" s="21" t="n">
        <f aca="false">IF(AND(O$27&gt;=Annahmen!$D$57,O$27&lt;=Annahmen!$E$57),Annahmen!$C$57,0)+IF(O$27=Annahmen!$G$57,Annahmen!$F$57,0)</f>
        <v>3125</v>
      </c>
      <c r="P37" s="21" t="n">
        <f aca="false">IF(AND(P$27&gt;=Annahmen!$D$57,P$27&lt;=Annahmen!$E$57),Annahmen!$C$57,0)+IF(P$27=Annahmen!$G$57,Annahmen!$F$57,0)</f>
        <v>3125</v>
      </c>
      <c r="Q37" s="21" t="n">
        <f aca="false">IF(AND(Q$27&gt;=Annahmen!$D$57,Q$27&lt;=Annahmen!$E$57),Annahmen!$C$57,0)+IF(Q$27=Annahmen!$G$57,Annahmen!$F$57,0)</f>
        <v>3125</v>
      </c>
      <c r="R37" s="21" t="n">
        <f aca="false">IF(AND(R$27&gt;=Annahmen!$D$57,R$27&lt;=Annahmen!$E$57),Annahmen!$C$57,0)+IF(R$27=Annahmen!$G$57,Annahmen!$F$57,0)</f>
        <v>3125</v>
      </c>
      <c r="S37" s="21" t="n">
        <f aca="false">IF(AND(S$27&gt;=Annahmen!$D$57,S$27&lt;=Annahmen!$E$57),Annahmen!$C$57,0)+IF(S$27=Annahmen!$G$57,Annahmen!$F$57,0)</f>
        <v>0</v>
      </c>
      <c r="T37" s="21" t="n">
        <f aca="false">IF(AND(T$27&gt;=Annahmen!$D$57,T$27&lt;=Annahmen!$E$57),Annahmen!$C$57,0)+IF(T$27=Annahmen!$G$57,Annahmen!$F$57,0)</f>
        <v>0</v>
      </c>
      <c r="U37" s="21" t="n">
        <f aca="false">IF(AND(U$27&gt;=Annahmen!$D$57,U$27&lt;=Annahmen!$E$57),Annahmen!$C$57,0)+IF(U$27=Annahmen!$G$57,Annahmen!$F$57,0)</f>
        <v>0</v>
      </c>
      <c r="V37" s="21" t="n">
        <f aca="false">IF(AND(V$27&gt;=Annahmen!$D$57,V$27&lt;=Annahmen!$E$57),Annahmen!$C$57,0)+IF(V$27=Annahmen!$G$57,Annahmen!$F$57,0)</f>
        <v>0</v>
      </c>
      <c r="W37" s="21" t="n">
        <f aca="false">IF(AND(W$27&gt;=Annahmen!$D$57,W$27&lt;=Annahmen!$E$57),Annahmen!$C$57,0)+IF(W$27=Annahmen!$G$57,Annahmen!$F$57,0)</f>
        <v>0</v>
      </c>
      <c r="X37" s="21" t="n">
        <f aca="false">IF(AND(X$27&gt;=Annahmen!$D$57,X$27&lt;=Annahmen!$E$57),Annahmen!$C$57,0)+IF(X$27=Annahmen!$G$57,Annahmen!$F$57,0)</f>
        <v>0</v>
      </c>
      <c r="Y37" s="21" t="n">
        <f aca="false">IF(AND(Y$27&gt;=Annahmen!$D$57,Y$27&lt;=Annahmen!$E$57),Annahmen!$C$57,0)+IF(Y$27=Annahmen!$G$57,Annahmen!$F$57,0)</f>
        <v>0</v>
      </c>
      <c r="Z37" s="21" t="n">
        <f aca="false">IF(AND(Z$27&gt;=Annahmen!$D$57,Z$27&lt;=Annahmen!$E$57),Annahmen!$C$57,0)+IF(Z$27=Annahmen!$G$57,Annahmen!$F$57,0)</f>
        <v>0</v>
      </c>
      <c r="AA37" s="21" t="n">
        <f aca="false">IF(AND(AA$27&gt;=Annahmen!$D$57,AA$27&lt;=Annahmen!$E$57),Annahmen!$C$57,0)+IF(AA$27=Annahmen!$G$57,Annahmen!$F$57,0)</f>
        <v>0</v>
      </c>
      <c r="AB37" s="15" t="n">
        <f aca="false">SUM(D37:O37)</f>
        <v>28125</v>
      </c>
      <c r="AC37" s="15" t="n">
        <f aca="false">SUM(P37:AA37)</f>
        <v>9375</v>
      </c>
      <c r="AD37" s="15" t="n">
        <f aca="false">SUM(D37:U37)</f>
        <v>37500</v>
      </c>
    </row>
    <row r="38" customFormat="false" ht="15" hidden="false" customHeight="false" outlineLevel="0" collapsed="false">
      <c r="A38" s="6" t="s">
        <v>109</v>
      </c>
      <c r="B38" s="6" t="s">
        <v>65</v>
      </c>
      <c r="C38" s="2"/>
      <c r="D38" s="21" t="n">
        <f aca="false">IF(AND(D$27&gt;=Annahmen!$D$58,D$27&lt;=Annahmen!$E$58),Annahmen!$C$58,0)+IF(D$27=Annahmen!$G$58,Annahmen!$F$58,0)</f>
        <v>8000</v>
      </c>
      <c r="E38" s="21" t="n">
        <f aca="false">IF(AND(E$27&gt;=Annahmen!$D$58,E$27&lt;=Annahmen!$E$58),Annahmen!$C$58,0)+IF(E$27=Annahmen!$G$58,Annahmen!$F$58,0)</f>
        <v>1000</v>
      </c>
      <c r="F38" s="21" t="n">
        <f aca="false">IF(AND(F$27&gt;=Annahmen!$D$58,F$27&lt;=Annahmen!$E$58),Annahmen!$C$58,0)+IF(F$27=Annahmen!$G$58,Annahmen!$F$58,0)</f>
        <v>1000</v>
      </c>
      <c r="G38" s="21" t="n">
        <f aca="false">IF(AND(G$27&gt;=Annahmen!$D$58,G$27&lt;=Annahmen!$E$58),Annahmen!$C$58,0)+IF(G$27=Annahmen!$G$58,Annahmen!$F$58,0)</f>
        <v>1000</v>
      </c>
      <c r="H38" s="21" t="n">
        <f aca="false">IF(AND(H$27&gt;=Annahmen!$D$58,H$27&lt;=Annahmen!$E$58),Annahmen!$C$58,0)+IF(H$27=Annahmen!$G$58,Annahmen!$F$58,0)</f>
        <v>1000</v>
      </c>
      <c r="I38" s="21" t="n">
        <f aca="false">IF(AND(I$27&gt;=Annahmen!$D$58,I$27&lt;=Annahmen!$E$58),Annahmen!$C$58,0)+IF(I$27=Annahmen!$G$58,Annahmen!$F$58,0)</f>
        <v>1000</v>
      </c>
      <c r="J38" s="21" t="n">
        <f aca="false">IF(AND(J$27&gt;=Annahmen!$D$58,J$27&lt;=Annahmen!$E$58),Annahmen!$C$58,0)+IF(J$27=Annahmen!$G$58,Annahmen!$F$58,0)</f>
        <v>1000</v>
      </c>
      <c r="K38" s="21" t="n">
        <f aca="false">IF(AND(K$27&gt;=Annahmen!$D$58,K$27&lt;=Annahmen!$E$58),Annahmen!$C$58,0)+IF(K$27=Annahmen!$G$58,Annahmen!$F$58,0)</f>
        <v>1000</v>
      </c>
      <c r="L38" s="21" t="n">
        <f aca="false">IF(AND(L$27&gt;=Annahmen!$D$58,L$27&lt;=Annahmen!$E$58),Annahmen!$C$58,0)+IF(L$27=Annahmen!$G$58,Annahmen!$F$58,0)</f>
        <v>1000</v>
      </c>
      <c r="M38" s="21" t="n">
        <f aca="false">IF(AND(M$27&gt;=Annahmen!$D$58,M$27&lt;=Annahmen!$E$58),Annahmen!$C$58,0)+IF(M$27=Annahmen!$G$58,Annahmen!$F$58,0)</f>
        <v>1000</v>
      </c>
      <c r="N38" s="21" t="n">
        <f aca="false">IF(AND(N$27&gt;=Annahmen!$D$58,N$27&lt;=Annahmen!$E$58),Annahmen!$C$58,0)+IF(N$27=Annahmen!$G$58,Annahmen!$F$58,0)</f>
        <v>1000</v>
      </c>
      <c r="O38" s="21" t="n">
        <f aca="false">IF(AND(O$27&gt;=Annahmen!$D$58,O$27&lt;=Annahmen!$E$58),Annahmen!$C$58,0)+IF(O$27=Annahmen!$G$58,Annahmen!$F$58,0)</f>
        <v>1000</v>
      </c>
      <c r="P38" s="21" t="n">
        <f aca="false">IF(AND(P$27&gt;=Annahmen!$D$58,P$27&lt;=Annahmen!$E$58),Annahmen!$C$58,0)+IF(P$27=Annahmen!$G$58,Annahmen!$F$58,0)</f>
        <v>1000</v>
      </c>
      <c r="Q38" s="21" t="n">
        <f aca="false">IF(AND(Q$27&gt;=Annahmen!$D$58,Q$27&lt;=Annahmen!$E$58),Annahmen!$C$58,0)+IF(Q$27=Annahmen!$G$58,Annahmen!$F$58,0)</f>
        <v>1000</v>
      </c>
      <c r="R38" s="21" t="n">
        <f aca="false">IF(AND(R$27&gt;=Annahmen!$D$58,R$27&lt;=Annahmen!$E$58),Annahmen!$C$58,0)+IF(R$27=Annahmen!$G$58,Annahmen!$F$58,0)</f>
        <v>1000</v>
      </c>
      <c r="S38" s="21" t="n">
        <f aca="false">IF(AND(S$27&gt;=Annahmen!$D$58,S$27&lt;=Annahmen!$E$58),Annahmen!$C$58,0)+IF(S$27=Annahmen!$G$58,Annahmen!$F$58,0)</f>
        <v>1000</v>
      </c>
      <c r="T38" s="21" t="n">
        <f aca="false">IF(AND(T$27&gt;=Annahmen!$D$58,T$27&lt;=Annahmen!$E$58),Annahmen!$C$58,0)+IF(T$27=Annahmen!$G$58,Annahmen!$F$58,0)</f>
        <v>1000</v>
      </c>
      <c r="U38" s="21" t="n">
        <f aca="false">IF(AND(U$27&gt;=Annahmen!$D$58,U$27&lt;=Annahmen!$E$58),Annahmen!$C$58,0)+IF(U$27=Annahmen!$G$58,Annahmen!$F$58,0)</f>
        <v>1000</v>
      </c>
      <c r="V38" s="21" t="n">
        <f aca="false">IF(AND(V$27&gt;=Annahmen!$D$58,V$27&lt;=Annahmen!$E$58),Annahmen!$C$58,0)+IF(V$27=Annahmen!$G$58,Annahmen!$F$58,0)</f>
        <v>0</v>
      </c>
      <c r="W38" s="21" t="n">
        <f aca="false">IF(AND(W$27&gt;=Annahmen!$D$58,W$27&lt;=Annahmen!$E$58),Annahmen!$C$58,0)+IF(W$27=Annahmen!$G$58,Annahmen!$F$58,0)</f>
        <v>0</v>
      </c>
      <c r="X38" s="21" t="n">
        <f aca="false">IF(AND(X$27&gt;=Annahmen!$D$58,X$27&lt;=Annahmen!$E$58),Annahmen!$C$58,0)+IF(X$27=Annahmen!$G$58,Annahmen!$F$58,0)</f>
        <v>0</v>
      </c>
      <c r="Y38" s="21" t="n">
        <f aca="false">IF(AND(Y$27&gt;=Annahmen!$D$58,Y$27&lt;=Annahmen!$E$58),Annahmen!$C$58,0)+IF(Y$27=Annahmen!$G$58,Annahmen!$F$58,0)</f>
        <v>0</v>
      </c>
      <c r="Z38" s="21" t="n">
        <f aca="false">IF(AND(Z$27&gt;=Annahmen!$D$58,Z$27&lt;=Annahmen!$E$58),Annahmen!$C$58,0)+IF(Z$27=Annahmen!$G$58,Annahmen!$F$58,0)</f>
        <v>0</v>
      </c>
      <c r="AA38" s="21" t="n">
        <f aca="false">IF(AND(AA$27&gt;=Annahmen!$D$58,AA$27&lt;=Annahmen!$E$58),Annahmen!$C$58,0)+IF(AA$27=Annahmen!$G$58,Annahmen!$F$58,0)</f>
        <v>0</v>
      </c>
      <c r="AB38" s="15" t="n">
        <f aca="false">SUM(D38:O38)</f>
        <v>19000</v>
      </c>
      <c r="AC38" s="15" t="n">
        <f aca="false">SUM(P38:AA38)</f>
        <v>6000</v>
      </c>
      <c r="AD38" s="15" t="n">
        <f aca="false">SUM(D38:U38)</f>
        <v>25000</v>
      </c>
    </row>
    <row r="39" customFormat="false" ht="15" hidden="false" customHeight="false" outlineLevel="0" collapsed="false">
      <c r="A39" s="16" t="s">
        <v>302</v>
      </c>
      <c r="B39" s="2"/>
      <c r="C39" s="2"/>
      <c r="D39" s="22" t="n">
        <f aca="false">SUM(D31:D38)</f>
        <v>13000</v>
      </c>
      <c r="E39" s="22" t="n">
        <f aca="false">SUM(E31:E38)</f>
        <v>5000</v>
      </c>
      <c r="F39" s="22" t="n">
        <f aca="false">SUM(F31:F38)</f>
        <v>10500</v>
      </c>
      <c r="G39" s="22" t="n">
        <f aca="false">SUM(G31:G38)</f>
        <v>13625</v>
      </c>
      <c r="H39" s="22" t="n">
        <f aca="false">SUM(H31:H38)</f>
        <v>13625</v>
      </c>
      <c r="I39" s="22" t="n">
        <f aca="false">SUM(I31:I38)</f>
        <v>13625</v>
      </c>
      <c r="J39" s="22" t="n">
        <f aca="false">SUM(J31:J38)</f>
        <v>14625</v>
      </c>
      <c r="K39" s="22" t="n">
        <f aca="false">SUM(K31:K38)</f>
        <v>14625</v>
      </c>
      <c r="L39" s="22" t="n">
        <f aca="false">SUM(L31:L38)</f>
        <v>16625</v>
      </c>
      <c r="M39" s="22" t="n">
        <f aca="false">SUM(M31:M38)</f>
        <v>14625</v>
      </c>
      <c r="N39" s="22" t="n">
        <f aca="false">SUM(N31:N38)</f>
        <v>14625</v>
      </c>
      <c r="O39" s="22" t="n">
        <f aca="false">SUM(O31:O38)</f>
        <v>14625</v>
      </c>
      <c r="P39" s="22" t="n">
        <f aca="false">SUM(P31:P38)</f>
        <v>14625</v>
      </c>
      <c r="Q39" s="22" t="n">
        <f aca="false">SUM(Q31:Q38)</f>
        <v>14625</v>
      </c>
      <c r="R39" s="22" t="n">
        <f aca="false">SUM(R31:R38)</f>
        <v>14625</v>
      </c>
      <c r="S39" s="22" t="n">
        <f aca="false">SUM(S31:S38)</f>
        <v>11500</v>
      </c>
      <c r="T39" s="22" t="n">
        <f aca="false">SUM(T31:T38)</f>
        <v>11500</v>
      </c>
      <c r="U39" s="22" t="n">
        <f aca="false">SUM(U31:U38)</f>
        <v>11500</v>
      </c>
      <c r="V39" s="22" t="n">
        <f aca="false">SUM(V31:V38)</f>
        <v>0</v>
      </c>
      <c r="W39" s="22" t="n">
        <f aca="false">SUM(W31:W38)</f>
        <v>0</v>
      </c>
      <c r="X39" s="22" t="n">
        <f aca="false">SUM(X31:X38)</f>
        <v>0</v>
      </c>
      <c r="Y39" s="22" t="n">
        <f aca="false">SUM(Y31:Y38)</f>
        <v>0</v>
      </c>
      <c r="Z39" s="22" t="n">
        <f aca="false">SUM(Z31:Z38)</f>
        <v>0</v>
      </c>
      <c r="AA39" s="22" t="n">
        <f aca="false">SUM(AA31:AA38)</f>
        <v>0</v>
      </c>
      <c r="AB39" s="15" t="n">
        <f aca="false">SUM(D39:O39)</f>
        <v>159125</v>
      </c>
      <c r="AC39" s="15" t="n">
        <f aca="false">SUM(P39:AA39)</f>
        <v>78375</v>
      </c>
      <c r="AD39" s="15" t="n">
        <f aca="false">SUM(D39:U39)</f>
        <v>237500</v>
      </c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customFormat="false" ht="15" hidden="false" customHeight="false" outlineLevel="0" collapsed="false">
      <c r="A41" s="4" t="s">
        <v>303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customFormat="false" ht="15" hidden="false" customHeight="false" outlineLevel="0" collapsed="false">
      <c r="A42" s="6" t="s">
        <v>121</v>
      </c>
      <c r="B42" s="6" t="s">
        <v>122</v>
      </c>
      <c r="C42" s="2"/>
      <c r="D42" s="21" t="n">
        <f aca="false">IF(D$27&gt;=Annahmen!$B$18,Annahmen!$D$64,0)</f>
        <v>0</v>
      </c>
      <c r="E42" s="21" t="n">
        <f aca="false">IF(E$27&gt;=Annahmen!$B$18,Annahmen!$D$64,0)</f>
        <v>0</v>
      </c>
      <c r="F42" s="21" t="n">
        <f aca="false">IF(F$27&gt;=Annahmen!$B$18,Annahmen!$D$64,0)</f>
        <v>0</v>
      </c>
      <c r="G42" s="21" t="n">
        <f aca="false">IF(G$27&gt;=Annahmen!$B$18,Annahmen!$D$64,0)</f>
        <v>0</v>
      </c>
      <c r="H42" s="21" t="n">
        <f aca="false">IF(H$27&gt;=Annahmen!$B$18,Annahmen!$D$64,0)</f>
        <v>0</v>
      </c>
      <c r="I42" s="21" t="n">
        <f aca="false">IF(I$27&gt;=Annahmen!$B$18,Annahmen!$D$64,0)</f>
        <v>0</v>
      </c>
      <c r="J42" s="21" t="n">
        <f aca="false">IF(J$27&gt;=Annahmen!$B$18,Annahmen!$D$64,0)</f>
        <v>0</v>
      </c>
      <c r="K42" s="21" t="n">
        <f aca="false">IF(K$27&gt;=Annahmen!$B$18,Annahmen!$D$64,0)</f>
        <v>0</v>
      </c>
      <c r="L42" s="21" t="n">
        <f aca="false">IF(L$27&gt;=Annahmen!$B$18,Annahmen!$D$64,0)</f>
        <v>0</v>
      </c>
      <c r="M42" s="21" t="n">
        <f aca="false">IF(M$27&gt;=Annahmen!$B$18,Annahmen!$D$64,0)</f>
        <v>0</v>
      </c>
      <c r="N42" s="21" t="n">
        <f aca="false">IF(N$27&gt;=Annahmen!$B$18,Annahmen!$D$64,0)</f>
        <v>0</v>
      </c>
      <c r="O42" s="21" t="n">
        <f aca="false">IF(O$27&gt;=Annahmen!$B$18,Annahmen!$D$64,0)</f>
        <v>0</v>
      </c>
      <c r="P42" s="21" t="n">
        <f aca="false">IF(P$27&gt;=Annahmen!$B$18,Annahmen!$D$64,0)</f>
        <v>0</v>
      </c>
      <c r="Q42" s="21" t="n">
        <f aca="false">IF(Q$27&gt;=Annahmen!$B$18,Annahmen!$D$64,0)</f>
        <v>0</v>
      </c>
      <c r="R42" s="21" t="n">
        <f aca="false">IF(R$27&gt;=Annahmen!$B$18,Annahmen!$D$64,0)</f>
        <v>0</v>
      </c>
      <c r="S42" s="21" t="n">
        <f aca="false">IF(S$27&gt;=Annahmen!$B$18,Annahmen!$D$64,0)</f>
        <v>0</v>
      </c>
      <c r="T42" s="21" t="n">
        <f aca="false">IF(T$27&gt;=Annahmen!$B$18,Annahmen!$D$64,0)</f>
        <v>0</v>
      </c>
      <c r="U42" s="21" t="n">
        <f aca="false">IF(U$27&gt;=Annahmen!$B$18,Annahmen!$D$64,0)</f>
        <v>0</v>
      </c>
      <c r="V42" s="21" t="n">
        <f aca="false">IF(V$27&gt;=Annahmen!$B$18,Annahmen!$D$64,0)</f>
        <v>13333.3333333333</v>
      </c>
      <c r="W42" s="21" t="n">
        <f aca="false">IF(W$27&gt;=Annahmen!$B$18,Annahmen!$D$64,0)</f>
        <v>13333.3333333333</v>
      </c>
      <c r="X42" s="21" t="n">
        <f aca="false">IF(X$27&gt;=Annahmen!$B$18,Annahmen!$D$64,0)</f>
        <v>13333.3333333333</v>
      </c>
      <c r="Y42" s="21" t="n">
        <f aca="false">IF(Y$27&gt;=Annahmen!$B$18,Annahmen!$D$64,0)</f>
        <v>13333.3333333333</v>
      </c>
      <c r="Z42" s="21" t="n">
        <f aca="false">IF(Z$27&gt;=Annahmen!$B$18,Annahmen!$D$64,0)</f>
        <v>13333.3333333333</v>
      </c>
      <c r="AA42" s="21" t="n">
        <f aca="false">IF(AA$27&gt;=Annahmen!$B$18,Annahmen!$D$64,0)</f>
        <v>13333.3333333333</v>
      </c>
      <c r="AB42" s="15" t="n">
        <f aca="false">SUM(D42:O42)</f>
        <v>0</v>
      </c>
      <c r="AC42" s="15" t="n">
        <f aca="false">SUM(P42:AA42)</f>
        <v>80000</v>
      </c>
      <c r="AD42" s="15" t="n">
        <f aca="false">SUM(D42:U42)</f>
        <v>0</v>
      </c>
    </row>
    <row r="43" customFormat="false" ht="15" hidden="false" customHeight="false" outlineLevel="0" collapsed="false">
      <c r="A43" s="6" t="s">
        <v>123</v>
      </c>
      <c r="B43" s="6" t="s">
        <v>124</v>
      </c>
      <c r="C43" s="2"/>
      <c r="D43" s="21" t="n">
        <f aca="false">IF(D$27&gt;=Annahmen!$B$18,Annahmen!$D$65,0)</f>
        <v>0</v>
      </c>
      <c r="E43" s="21" t="n">
        <f aca="false">IF(E$27&gt;=Annahmen!$B$18,Annahmen!$D$65,0)</f>
        <v>0</v>
      </c>
      <c r="F43" s="21" t="n">
        <f aca="false">IF(F$27&gt;=Annahmen!$B$18,Annahmen!$D$65,0)</f>
        <v>0</v>
      </c>
      <c r="G43" s="21" t="n">
        <f aca="false">IF(G$27&gt;=Annahmen!$B$18,Annahmen!$D$65,0)</f>
        <v>0</v>
      </c>
      <c r="H43" s="21" t="n">
        <f aca="false">IF(H$27&gt;=Annahmen!$B$18,Annahmen!$D$65,0)</f>
        <v>0</v>
      </c>
      <c r="I43" s="21" t="n">
        <f aca="false">IF(I$27&gt;=Annahmen!$B$18,Annahmen!$D$65,0)</f>
        <v>0</v>
      </c>
      <c r="J43" s="21" t="n">
        <f aca="false">IF(J$27&gt;=Annahmen!$B$18,Annahmen!$D$65,0)</f>
        <v>0</v>
      </c>
      <c r="K43" s="21" t="n">
        <f aca="false">IF(K$27&gt;=Annahmen!$B$18,Annahmen!$D$65,0)</f>
        <v>0</v>
      </c>
      <c r="L43" s="21" t="n">
        <f aca="false">IF(L$27&gt;=Annahmen!$B$18,Annahmen!$D$65,0)</f>
        <v>0</v>
      </c>
      <c r="M43" s="21" t="n">
        <f aca="false">IF(M$27&gt;=Annahmen!$B$18,Annahmen!$D$65,0)</f>
        <v>0</v>
      </c>
      <c r="N43" s="21" t="n">
        <f aca="false">IF(N$27&gt;=Annahmen!$B$18,Annahmen!$D$65,0)</f>
        <v>0</v>
      </c>
      <c r="O43" s="21" t="n">
        <f aca="false">IF(O$27&gt;=Annahmen!$B$18,Annahmen!$D$65,0)</f>
        <v>0</v>
      </c>
      <c r="P43" s="21" t="n">
        <f aca="false">IF(P$27&gt;=Annahmen!$B$18,Annahmen!$D$65,0)</f>
        <v>0</v>
      </c>
      <c r="Q43" s="21" t="n">
        <f aca="false">IF(Q$27&gt;=Annahmen!$B$18,Annahmen!$D$65,0)</f>
        <v>0</v>
      </c>
      <c r="R43" s="21" t="n">
        <f aca="false">IF(R$27&gt;=Annahmen!$B$18,Annahmen!$D$65,0)</f>
        <v>0</v>
      </c>
      <c r="S43" s="21" t="n">
        <f aca="false">IF(S$27&gt;=Annahmen!$B$18,Annahmen!$D$65,0)</f>
        <v>0</v>
      </c>
      <c r="T43" s="21" t="n">
        <f aca="false">IF(T$27&gt;=Annahmen!$B$18,Annahmen!$D$65,0)</f>
        <v>0</v>
      </c>
      <c r="U43" s="21" t="n">
        <f aca="false">IF(U$27&gt;=Annahmen!$B$18,Annahmen!$D$65,0)</f>
        <v>0</v>
      </c>
      <c r="V43" s="21" t="n">
        <f aca="false">IF(V$27&gt;=Annahmen!$B$18,Annahmen!$D$65,0)</f>
        <v>5000</v>
      </c>
      <c r="W43" s="21" t="n">
        <f aca="false">IF(W$27&gt;=Annahmen!$B$18,Annahmen!$D$65,0)</f>
        <v>5000</v>
      </c>
      <c r="X43" s="21" t="n">
        <f aca="false">IF(X$27&gt;=Annahmen!$B$18,Annahmen!$D$65,0)</f>
        <v>5000</v>
      </c>
      <c r="Y43" s="21" t="n">
        <f aca="false">IF(Y$27&gt;=Annahmen!$B$18,Annahmen!$D$65,0)</f>
        <v>5000</v>
      </c>
      <c r="Z43" s="21" t="n">
        <f aca="false">IF(Z$27&gt;=Annahmen!$B$18,Annahmen!$D$65,0)</f>
        <v>5000</v>
      </c>
      <c r="AA43" s="21" t="n">
        <f aca="false">IF(AA$27&gt;=Annahmen!$B$18,Annahmen!$D$65,0)</f>
        <v>5000</v>
      </c>
      <c r="AB43" s="15" t="n">
        <f aca="false">SUM(D43:O43)</f>
        <v>0</v>
      </c>
      <c r="AC43" s="15" t="n">
        <f aca="false">SUM(P43:AA43)</f>
        <v>30000</v>
      </c>
      <c r="AD43" s="15" t="n">
        <f aca="false">SUM(D43:U43)</f>
        <v>0</v>
      </c>
    </row>
    <row r="44" customFormat="false" ht="15" hidden="false" customHeight="false" outlineLevel="0" collapsed="false">
      <c r="A44" s="6" t="s">
        <v>125</v>
      </c>
      <c r="B44" s="6" t="s">
        <v>126</v>
      </c>
      <c r="C44" s="2"/>
      <c r="D44" s="21" t="n">
        <f aca="false">IF(D$27&gt;=Annahmen!$B$18,Annahmen!$D$66,0)</f>
        <v>0</v>
      </c>
      <c r="E44" s="21" t="n">
        <f aca="false">IF(E$27&gt;=Annahmen!$B$18,Annahmen!$D$66,0)</f>
        <v>0</v>
      </c>
      <c r="F44" s="21" t="n">
        <f aca="false">IF(F$27&gt;=Annahmen!$B$18,Annahmen!$D$66,0)</f>
        <v>0</v>
      </c>
      <c r="G44" s="21" t="n">
        <f aca="false">IF(G$27&gt;=Annahmen!$B$18,Annahmen!$D$66,0)</f>
        <v>0</v>
      </c>
      <c r="H44" s="21" t="n">
        <f aca="false">IF(H$27&gt;=Annahmen!$B$18,Annahmen!$D$66,0)</f>
        <v>0</v>
      </c>
      <c r="I44" s="21" t="n">
        <f aca="false">IF(I$27&gt;=Annahmen!$B$18,Annahmen!$D$66,0)</f>
        <v>0</v>
      </c>
      <c r="J44" s="21" t="n">
        <f aca="false">IF(J$27&gt;=Annahmen!$B$18,Annahmen!$D$66,0)</f>
        <v>0</v>
      </c>
      <c r="K44" s="21" t="n">
        <f aca="false">IF(K$27&gt;=Annahmen!$B$18,Annahmen!$D$66,0)</f>
        <v>0</v>
      </c>
      <c r="L44" s="21" t="n">
        <f aca="false">IF(L$27&gt;=Annahmen!$B$18,Annahmen!$D$66,0)</f>
        <v>0</v>
      </c>
      <c r="M44" s="21" t="n">
        <f aca="false">IF(M$27&gt;=Annahmen!$B$18,Annahmen!$D$66,0)</f>
        <v>0</v>
      </c>
      <c r="N44" s="21" t="n">
        <f aca="false">IF(N$27&gt;=Annahmen!$B$18,Annahmen!$D$66,0)</f>
        <v>0</v>
      </c>
      <c r="O44" s="21" t="n">
        <f aca="false">IF(O$27&gt;=Annahmen!$B$18,Annahmen!$D$66,0)</f>
        <v>0</v>
      </c>
      <c r="P44" s="21" t="n">
        <f aca="false">IF(P$27&gt;=Annahmen!$B$18,Annahmen!$D$66,0)</f>
        <v>0</v>
      </c>
      <c r="Q44" s="21" t="n">
        <f aca="false">IF(Q$27&gt;=Annahmen!$B$18,Annahmen!$D$66,0)</f>
        <v>0</v>
      </c>
      <c r="R44" s="21" t="n">
        <f aca="false">IF(R$27&gt;=Annahmen!$B$18,Annahmen!$D$66,0)</f>
        <v>0</v>
      </c>
      <c r="S44" s="21" t="n">
        <f aca="false">IF(S$27&gt;=Annahmen!$B$18,Annahmen!$D$66,0)</f>
        <v>0</v>
      </c>
      <c r="T44" s="21" t="n">
        <f aca="false">IF(T$27&gt;=Annahmen!$B$18,Annahmen!$D$66,0)</f>
        <v>0</v>
      </c>
      <c r="U44" s="21" t="n">
        <f aca="false">IF(U$27&gt;=Annahmen!$B$18,Annahmen!$D$66,0)</f>
        <v>0</v>
      </c>
      <c r="V44" s="21" t="n">
        <f aca="false">IF(V$27&gt;=Annahmen!$B$18,Annahmen!$D$66,0)</f>
        <v>4000</v>
      </c>
      <c r="W44" s="21" t="n">
        <f aca="false">IF(W$27&gt;=Annahmen!$B$18,Annahmen!$D$66,0)</f>
        <v>4000</v>
      </c>
      <c r="X44" s="21" t="n">
        <f aca="false">IF(X$27&gt;=Annahmen!$B$18,Annahmen!$D$66,0)</f>
        <v>4000</v>
      </c>
      <c r="Y44" s="21" t="n">
        <f aca="false">IF(Y$27&gt;=Annahmen!$B$18,Annahmen!$D$66,0)</f>
        <v>4000</v>
      </c>
      <c r="Z44" s="21" t="n">
        <f aca="false">IF(Z$27&gt;=Annahmen!$B$18,Annahmen!$D$66,0)</f>
        <v>4000</v>
      </c>
      <c r="AA44" s="21" t="n">
        <f aca="false">IF(AA$27&gt;=Annahmen!$B$18,Annahmen!$D$66,0)</f>
        <v>4000</v>
      </c>
      <c r="AB44" s="15" t="n">
        <f aca="false">SUM(D44:O44)</f>
        <v>0</v>
      </c>
      <c r="AC44" s="15" t="n">
        <f aca="false">SUM(P44:AA44)</f>
        <v>24000</v>
      </c>
      <c r="AD44" s="15" t="n">
        <f aca="false">SUM(D44:U44)</f>
        <v>0</v>
      </c>
    </row>
    <row r="45" customFormat="false" ht="15" hidden="false" customHeight="false" outlineLevel="0" collapsed="false">
      <c r="A45" s="6" t="s">
        <v>127</v>
      </c>
      <c r="B45" s="6" t="s">
        <v>128</v>
      </c>
      <c r="C45" s="2"/>
      <c r="D45" s="21" t="n">
        <f aca="false">IF(D$27&gt;=Annahmen!$B$18,Annahmen!$D$67,0)</f>
        <v>0</v>
      </c>
      <c r="E45" s="21" t="n">
        <f aca="false">IF(E$27&gt;=Annahmen!$B$18,Annahmen!$D$67,0)</f>
        <v>0</v>
      </c>
      <c r="F45" s="21" t="n">
        <f aca="false">IF(F$27&gt;=Annahmen!$B$18,Annahmen!$D$67,0)</f>
        <v>0</v>
      </c>
      <c r="G45" s="21" t="n">
        <f aca="false">IF(G$27&gt;=Annahmen!$B$18,Annahmen!$D$67,0)</f>
        <v>0</v>
      </c>
      <c r="H45" s="21" t="n">
        <f aca="false">IF(H$27&gt;=Annahmen!$B$18,Annahmen!$D$67,0)</f>
        <v>0</v>
      </c>
      <c r="I45" s="21" t="n">
        <f aca="false">IF(I$27&gt;=Annahmen!$B$18,Annahmen!$D$67,0)</f>
        <v>0</v>
      </c>
      <c r="J45" s="21" t="n">
        <f aca="false">IF(J$27&gt;=Annahmen!$B$18,Annahmen!$D$67,0)</f>
        <v>0</v>
      </c>
      <c r="K45" s="21" t="n">
        <f aca="false">IF(K$27&gt;=Annahmen!$B$18,Annahmen!$D$67,0)</f>
        <v>0</v>
      </c>
      <c r="L45" s="21" t="n">
        <f aca="false">IF(L$27&gt;=Annahmen!$B$18,Annahmen!$D$67,0)</f>
        <v>0</v>
      </c>
      <c r="M45" s="21" t="n">
        <f aca="false">IF(M$27&gt;=Annahmen!$B$18,Annahmen!$D$67,0)</f>
        <v>0</v>
      </c>
      <c r="N45" s="21" t="n">
        <f aca="false">IF(N$27&gt;=Annahmen!$B$18,Annahmen!$D$67,0)</f>
        <v>0</v>
      </c>
      <c r="O45" s="21" t="n">
        <f aca="false">IF(O$27&gt;=Annahmen!$B$18,Annahmen!$D$67,0)</f>
        <v>0</v>
      </c>
      <c r="P45" s="21" t="n">
        <f aca="false">IF(P$27&gt;=Annahmen!$B$18,Annahmen!$D$67,0)</f>
        <v>0</v>
      </c>
      <c r="Q45" s="21" t="n">
        <f aca="false">IF(Q$27&gt;=Annahmen!$B$18,Annahmen!$D$67,0)</f>
        <v>0</v>
      </c>
      <c r="R45" s="21" t="n">
        <f aca="false">IF(R$27&gt;=Annahmen!$B$18,Annahmen!$D$67,0)</f>
        <v>0</v>
      </c>
      <c r="S45" s="21" t="n">
        <f aca="false">IF(S$27&gt;=Annahmen!$B$18,Annahmen!$D$67,0)</f>
        <v>0</v>
      </c>
      <c r="T45" s="21" t="n">
        <f aca="false">IF(T$27&gt;=Annahmen!$B$18,Annahmen!$D$67,0)</f>
        <v>0</v>
      </c>
      <c r="U45" s="21" t="n">
        <f aca="false">IF(U$27&gt;=Annahmen!$B$18,Annahmen!$D$67,0)</f>
        <v>0</v>
      </c>
      <c r="V45" s="21" t="n">
        <f aca="false">IF(V$27&gt;=Annahmen!$B$18,Annahmen!$D$67,0)</f>
        <v>2083.33333333333</v>
      </c>
      <c r="W45" s="21" t="n">
        <f aca="false">IF(W$27&gt;=Annahmen!$B$18,Annahmen!$D$67,0)</f>
        <v>2083.33333333333</v>
      </c>
      <c r="X45" s="21" t="n">
        <f aca="false">IF(X$27&gt;=Annahmen!$B$18,Annahmen!$D$67,0)</f>
        <v>2083.33333333333</v>
      </c>
      <c r="Y45" s="21" t="n">
        <f aca="false">IF(Y$27&gt;=Annahmen!$B$18,Annahmen!$D$67,0)</f>
        <v>2083.33333333333</v>
      </c>
      <c r="Z45" s="21" t="n">
        <f aca="false">IF(Z$27&gt;=Annahmen!$B$18,Annahmen!$D$67,0)</f>
        <v>2083.33333333333</v>
      </c>
      <c r="AA45" s="21" t="n">
        <f aca="false">IF(AA$27&gt;=Annahmen!$B$18,Annahmen!$D$67,0)</f>
        <v>2083.33333333333</v>
      </c>
      <c r="AB45" s="15" t="n">
        <f aca="false">SUM(D45:O45)</f>
        <v>0</v>
      </c>
      <c r="AC45" s="15" t="n">
        <f aca="false">SUM(P45:AA45)</f>
        <v>12500</v>
      </c>
      <c r="AD45" s="15" t="n">
        <f aca="false">SUM(D45:U45)</f>
        <v>0</v>
      </c>
    </row>
    <row r="46" customFormat="false" ht="15" hidden="false" customHeight="false" outlineLevel="0" collapsed="false">
      <c r="A46" s="6" t="s">
        <v>129</v>
      </c>
      <c r="B46" s="6" t="s">
        <v>130</v>
      </c>
      <c r="C46" s="2"/>
      <c r="D46" s="21" t="n">
        <f aca="false">IF(D$27&gt;=Annahmen!$B$18,Annahmen!$D$68,0)</f>
        <v>0</v>
      </c>
      <c r="E46" s="21" t="n">
        <f aca="false">IF(E$27&gt;=Annahmen!$B$18,Annahmen!$D$68,0)</f>
        <v>0</v>
      </c>
      <c r="F46" s="21" t="n">
        <f aca="false">IF(F$27&gt;=Annahmen!$B$18,Annahmen!$D$68,0)</f>
        <v>0</v>
      </c>
      <c r="G46" s="21" t="n">
        <f aca="false">IF(G$27&gt;=Annahmen!$B$18,Annahmen!$D$68,0)</f>
        <v>0</v>
      </c>
      <c r="H46" s="21" t="n">
        <f aca="false">IF(H$27&gt;=Annahmen!$B$18,Annahmen!$D$68,0)</f>
        <v>0</v>
      </c>
      <c r="I46" s="21" t="n">
        <f aca="false">IF(I$27&gt;=Annahmen!$B$18,Annahmen!$D$68,0)</f>
        <v>0</v>
      </c>
      <c r="J46" s="21" t="n">
        <f aca="false">IF(J$27&gt;=Annahmen!$B$18,Annahmen!$D$68,0)</f>
        <v>0</v>
      </c>
      <c r="K46" s="21" t="n">
        <f aca="false">IF(K$27&gt;=Annahmen!$B$18,Annahmen!$D$68,0)</f>
        <v>0</v>
      </c>
      <c r="L46" s="21" t="n">
        <f aca="false">IF(L$27&gt;=Annahmen!$B$18,Annahmen!$D$68,0)</f>
        <v>0</v>
      </c>
      <c r="M46" s="21" t="n">
        <f aca="false">IF(M$27&gt;=Annahmen!$B$18,Annahmen!$D$68,0)</f>
        <v>0</v>
      </c>
      <c r="N46" s="21" t="n">
        <f aca="false">IF(N$27&gt;=Annahmen!$B$18,Annahmen!$D$68,0)</f>
        <v>0</v>
      </c>
      <c r="O46" s="21" t="n">
        <f aca="false">IF(O$27&gt;=Annahmen!$B$18,Annahmen!$D$68,0)</f>
        <v>0</v>
      </c>
      <c r="P46" s="21" t="n">
        <f aca="false">IF(P$27&gt;=Annahmen!$B$18,Annahmen!$D$68,0)</f>
        <v>0</v>
      </c>
      <c r="Q46" s="21" t="n">
        <f aca="false">IF(Q$27&gt;=Annahmen!$B$18,Annahmen!$D$68,0)</f>
        <v>0</v>
      </c>
      <c r="R46" s="21" t="n">
        <f aca="false">IF(R$27&gt;=Annahmen!$B$18,Annahmen!$D$68,0)</f>
        <v>0</v>
      </c>
      <c r="S46" s="21" t="n">
        <f aca="false">IF(S$27&gt;=Annahmen!$B$18,Annahmen!$D$68,0)</f>
        <v>0</v>
      </c>
      <c r="T46" s="21" t="n">
        <f aca="false">IF(T$27&gt;=Annahmen!$B$18,Annahmen!$D$68,0)</f>
        <v>0</v>
      </c>
      <c r="U46" s="21" t="n">
        <f aca="false">IF(U$27&gt;=Annahmen!$B$18,Annahmen!$D$68,0)</f>
        <v>0</v>
      </c>
      <c r="V46" s="21" t="n">
        <f aca="false">IF(V$27&gt;=Annahmen!$B$18,Annahmen!$D$68,0)</f>
        <v>5000</v>
      </c>
      <c r="W46" s="21" t="n">
        <f aca="false">IF(W$27&gt;=Annahmen!$B$18,Annahmen!$D$68,0)</f>
        <v>5000</v>
      </c>
      <c r="X46" s="21" t="n">
        <f aca="false">IF(X$27&gt;=Annahmen!$B$18,Annahmen!$D$68,0)</f>
        <v>5000</v>
      </c>
      <c r="Y46" s="21" t="n">
        <f aca="false">IF(Y$27&gt;=Annahmen!$B$18,Annahmen!$D$68,0)</f>
        <v>5000</v>
      </c>
      <c r="Z46" s="21" t="n">
        <f aca="false">IF(Z$27&gt;=Annahmen!$B$18,Annahmen!$D$68,0)</f>
        <v>5000</v>
      </c>
      <c r="AA46" s="21" t="n">
        <f aca="false">IF(AA$27&gt;=Annahmen!$B$18,Annahmen!$D$68,0)</f>
        <v>5000</v>
      </c>
      <c r="AB46" s="15" t="n">
        <f aca="false">SUM(D46:O46)</f>
        <v>0</v>
      </c>
      <c r="AC46" s="15" t="n">
        <f aca="false">SUM(P46:AA46)</f>
        <v>30000</v>
      </c>
      <c r="AD46" s="15" t="n">
        <f aca="false">SUM(D46:U46)</f>
        <v>0</v>
      </c>
    </row>
    <row r="47" customFormat="false" ht="15" hidden="false" customHeight="false" outlineLevel="0" collapsed="false">
      <c r="A47" s="6" t="s">
        <v>131</v>
      </c>
      <c r="B47" s="6" t="s">
        <v>110</v>
      </c>
      <c r="C47" s="2"/>
      <c r="D47" s="21" t="n">
        <f aca="false">IF(D$27&gt;=Annahmen!$B$18,Annahmen!$D$69,0)</f>
        <v>0</v>
      </c>
      <c r="E47" s="21" t="n">
        <f aca="false">IF(E$27&gt;=Annahmen!$B$18,Annahmen!$D$69,0)</f>
        <v>0</v>
      </c>
      <c r="F47" s="21" t="n">
        <f aca="false">IF(F$27&gt;=Annahmen!$B$18,Annahmen!$D$69,0)</f>
        <v>0</v>
      </c>
      <c r="G47" s="21" t="n">
        <f aca="false">IF(G$27&gt;=Annahmen!$B$18,Annahmen!$D$69,0)</f>
        <v>0</v>
      </c>
      <c r="H47" s="21" t="n">
        <f aca="false">IF(H$27&gt;=Annahmen!$B$18,Annahmen!$D$69,0)</f>
        <v>0</v>
      </c>
      <c r="I47" s="21" t="n">
        <f aca="false">IF(I$27&gt;=Annahmen!$B$18,Annahmen!$D$69,0)</f>
        <v>0</v>
      </c>
      <c r="J47" s="21" t="n">
        <f aca="false">IF(J$27&gt;=Annahmen!$B$18,Annahmen!$D$69,0)</f>
        <v>0</v>
      </c>
      <c r="K47" s="21" t="n">
        <f aca="false">IF(K$27&gt;=Annahmen!$B$18,Annahmen!$D$69,0)</f>
        <v>0</v>
      </c>
      <c r="L47" s="21" t="n">
        <f aca="false">IF(L$27&gt;=Annahmen!$B$18,Annahmen!$D$69,0)</f>
        <v>0</v>
      </c>
      <c r="M47" s="21" t="n">
        <f aca="false">IF(M$27&gt;=Annahmen!$B$18,Annahmen!$D$69,0)</f>
        <v>0</v>
      </c>
      <c r="N47" s="21" t="n">
        <f aca="false">IF(N$27&gt;=Annahmen!$B$18,Annahmen!$D$69,0)</f>
        <v>0</v>
      </c>
      <c r="O47" s="21" t="n">
        <f aca="false">IF(O$27&gt;=Annahmen!$B$18,Annahmen!$D$69,0)</f>
        <v>0</v>
      </c>
      <c r="P47" s="21" t="n">
        <f aca="false">IF(P$27&gt;=Annahmen!$B$18,Annahmen!$D$69,0)</f>
        <v>0</v>
      </c>
      <c r="Q47" s="21" t="n">
        <f aca="false">IF(Q$27&gt;=Annahmen!$B$18,Annahmen!$D$69,0)</f>
        <v>0</v>
      </c>
      <c r="R47" s="21" t="n">
        <f aca="false">IF(R$27&gt;=Annahmen!$B$18,Annahmen!$D$69,0)</f>
        <v>0</v>
      </c>
      <c r="S47" s="21" t="n">
        <f aca="false">IF(S$27&gt;=Annahmen!$B$18,Annahmen!$D$69,0)</f>
        <v>0</v>
      </c>
      <c r="T47" s="21" t="n">
        <f aca="false">IF(T$27&gt;=Annahmen!$B$18,Annahmen!$D$69,0)</f>
        <v>0</v>
      </c>
      <c r="U47" s="21" t="n">
        <f aca="false">IF(U$27&gt;=Annahmen!$B$18,Annahmen!$D$69,0)</f>
        <v>0</v>
      </c>
      <c r="V47" s="21" t="n">
        <f aca="false">IF(V$27&gt;=Annahmen!$B$18,Annahmen!$D$69,0)</f>
        <v>1666.66666666667</v>
      </c>
      <c r="W47" s="21" t="n">
        <f aca="false">IF(W$27&gt;=Annahmen!$B$18,Annahmen!$D$69,0)</f>
        <v>1666.66666666667</v>
      </c>
      <c r="X47" s="21" t="n">
        <f aca="false">IF(X$27&gt;=Annahmen!$B$18,Annahmen!$D$69,0)</f>
        <v>1666.66666666667</v>
      </c>
      <c r="Y47" s="21" t="n">
        <f aca="false">IF(Y$27&gt;=Annahmen!$B$18,Annahmen!$D$69,0)</f>
        <v>1666.66666666667</v>
      </c>
      <c r="Z47" s="21" t="n">
        <f aca="false">IF(Z$27&gt;=Annahmen!$B$18,Annahmen!$D$69,0)</f>
        <v>1666.66666666667</v>
      </c>
      <c r="AA47" s="21" t="n">
        <f aca="false">IF(AA$27&gt;=Annahmen!$B$18,Annahmen!$D$69,0)</f>
        <v>1666.66666666667</v>
      </c>
      <c r="AB47" s="15" t="n">
        <f aca="false">SUM(D47:O47)</f>
        <v>0</v>
      </c>
      <c r="AC47" s="15" t="n">
        <f aca="false">SUM(P47:AA47)</f>
        <v>10000</v>
      </c>
      <c r="AD47" s="15" t="n">
        <f aca="false">SUM(D47:U47)</f>
        <v>0</v>
      </c>
    </row>
    <row r="48" customFormat="false" ht="15" hidden="false" customHeight="false" outlineLevel="0" collapsed="false">
      <c r="A48" s="16" t="s">
        <v>304</v>
      </c>
      <c r="B48" s="2"/>
      <c r="C48" s="2"/>
      <c r="D48" s="22" t="n">
        <f aca="false">SUM(D42:D47)</f>
        <v>0</v>
      </c>
      <c r="E48" s="22" t="n">
        <f aca="false">SUM(E42:E47)</f>
        <v>0</v>
      </c>
      <c r="F48" s="22" t="n">
        <f aca="false">SUM(F42:F47)</f>
        <v>0</v>
      </c>
      <c r="G48" s="22" t="n">
        <f aca="false">SUM(G42:G47)</f>
        <v>0</v>
      </c>
      <c r="H48" s="22" t="n">
        <f aca="false">SUM(H42:H47)</f>
        <v>0</v>
      </c>
      <c r="I48" s="22" t="n">
        <f aca="false">SUM(I42:I47)</f>
        <v>0</v>
      </c>
      <c r="J48" s="22" t="n">
        <f aca="false">SUM(J42:J47)</f>
        <v>0</v>
      </c>
      <c r="K48" s="22" t="n">
        <f aca="false">SUM(K42:K47)</f>
        <v>0</v>
      </c>
      <c r="L48" s="22" t="n">
        <f aca="false">SUM(L42:L47)</f>
        <v>0</v>
      </c>
      <c r="M48" s="22" t="n">
        <f aca="false">SUM(M42:M47)</f>
        <v>0</v>
      </c>
      <c r="N48" s="22" t="n">
        <f aca="false">SUM(N42:N47)</f>
        <v>0</v>
      </c>
      <c r="O48" s="22" t="n">
        <f aca="false">SUM(O42:O47)</f>
        <v>0</v>
      </c>
      <c r="P48" s="22" t="n">
        <f aca="false">SUM(P42:P47)</f>
        <v>0</v>
      </c>
      <c r="Q48" s="22" t="n">
        <f aca="false">SUM(Q42:Q47)</f>
        <v>0</v>
      </c>
      <c r="R48" s="22" t="n">
        <f aca="false">SUM(R42:R47)</f>
        <v>0</v>
      </c>
      <c r="S48" s="22" t="n">
        <f aca="false">SUM(S42:S47)</f>
        <v>0</v>
      </c>
      <c r="T48" s="22" t="n">
        <f aca="false">SUM(T42:T47)</f>
        <v>0</v>
      </c>
      <c r="U48" s="22" t="n">
        <f aca="false">SUM(U42:U47)</f>
        <v>0</v>
      </c>
      <c r="V48" s="22" t="n">
        <f aca="false">SUM(V42:V47)</f>
        <v>31083.3333333333</v>
      </c>
      <c r="W48" s="22" t="n">
        <f aca="false">SUM(W42:W47)</f>
        <v>31083.3333333333</v>
      </c>
      <c r="X48" s="22" t="n">
        <f aca="false">SUM(X42:X47)</f>
        <v>31083.3333333333</v>
      </c>
      <c r="Y48" s="22" t="n">
        <f aca="false">SUM(Y42:Y47)</f>
        <v>31083.3333333333</v>
      </c>
      <c r="Z48" s="22" t="n">
        <f aca="false">SUM(Z42:Z47)</f>
        <v>31083.3333333333</v>
      </c>
      <c r="AA48" s="22" t="n">
        <f aca="false">SUM(AA42:AA47)</f>
        <v>31083.3333333333</v>
      </c>
      <c r="AB48" s="15" t="n">
        <f aca="false">SUM(D48:O48)</f>
        <v>0</v>
      </c>
      <c r="AC48" s="15" t="n">
        <f aca="false">SUM(P48:AA48)</f>
        <v>186500</v>
      </c>
      <c r="AD48" s="15" t="n">
        <f aca="false">SUM(D48:U48)</f>
        <v>0</v>
      </c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customFormat="false" ht="15" hidden="false" customHeight="false" outlineLevel="0" collapsed="false">
      <c r="A50" s="6" t="s">
        <v>305</v>
      </c>
      <c r="B50" s="2"/>
      <c r="C50" s="2"/>
      <c r="D50" s="21" t="n">
        <f aca="false">IF(D$27&gt;=Annahmen!$B$18,Annahmen!$C$60,0)</f>
        <v>0</v>
      </c>
      <c r="E50" s="21" t="n">
        <f aca="false">IF(E$27&gt;=Annahmen!$B$18,Annahmen!$C$60,0)</f>
        <v>0</v>
      </c>
      <c r="F50" s="21" t="n">
        <f aca="false">IF(F$27&gt;=Annahmen!$B$18,Annahmen!$C$60,0)</f>
        <v>0</v>
      </c>
      <c r="G50" s="21" t="n">
        <f aca="false">IF(G$27&gt;=Annahmen!$B$18,Annahmen!$C$60,0)</f>
        <v>0</v>
      </c>
      <c r="H50" s="21" t="n">
        <f aca="false">IF(H$27&gt;=Annahmen!$B$18,Annahmen!$C$60,0)</f>
        <v>0</v>
      </c>
      <c r="I50" s="21" t="n">
        <f aca="false">IF(I$27&gt;=Annahmen!$B$18,Annahmen!$C$60,0)</f>
        <v>0</v>
      </c>
      <c r="J50" s="21" t="n">
        <f aca="false">IF(J$27&gt;=Annahmen!$B$18,Annahmen!$C$60,0)</f>
        <v>0</v>
      </c>
      <c r="K50" s="21" t="n">
        <f aca="false">IF(K$27&gt;=Annahmen!$B$18,Annahmen!$C$60,0)</f>
        <v>0</v>
      </c>
      <c r="L50" s="21" t="n">
        <f aca="false">IF(L$27&gt;=Annahmen!$B$18,Annahmen!$C$60,0)</f>
        <v>0</v>
      </c>
      <c r="M50" s="21" t="n">
        <f aca="false">IF(M$27&gt;=Annahmen!$B$18,Annahmen!$C$60,0)</f>
        <v>0</v>
      </c>
      <c r="N50" s="21" t="n">
        <f aca="false">IF(N$27&gt;=Annahmen!$B$18,Annahmen!$C$60,0)</f>
        <v>0</v>
      </c>
      <c r="O50" s="21" t="n">
        <f aca="false">IF(O$27&gt;=Annahmen!$B$18,Annahmen!$C$60,0)</f>
        <v>0</v>
      </c>
      <c r="P50" s="21" t="n">
        <f aca="false">IF(P$27&gt;=Annahmen!$B$18,Annahmen!$C$60,0)</f>
        <v>0</v>
      </c>
      <c r="Q50" s="21" t="n">
        <f aca="false">IF(Q$27&gt;=Annahmen!$B$18,Annahmen!$C$60,0)</f>
        <v>0</v>
      </c>
      <c r="R50" s="21" t="n">
        <f aca="false">IF(R$27&gt;=Annahmen!$B$18,Annahmen!$C$60,0)</f>
        <v>0</v>
      </c>
      <c r="S50" s="21" t="n">
        <f aca="false">IF(S$27&gt;=Annahmen!$B$18,Annahmen!$C$60,0)</f>
        <v>0</v>
      </c>
      <c r="T50" s="21" t="n">
        <f aca="false">IF(T$27&gt;=Annahmen!$B$18,Annahmen!$C$60,0)</f>
        <v>0</v>
      </c>
      <c r="U50" s="21" t="n">
        <f aca="false">IF(U$27&gt;=Annahmen!$B$18,Annahmen!$C$60,0)</f>
        <v>0</v>
      </c>
      <c r="V50" s="21" t="n">
        <f aca="false">IF(V$27&gt;=Annahmen!$B$18,Annahmen!$C$60,0)</f>
        <v>11500</v>
      </c>
      <c r="W50" s="21" t="n">
        <f aca="false">IF(W$27&gt;=Annahmen!$B$18,Annahmen!$C$60,0)</f>
        <v>11500</v>
      </c>
      <c r="X50" s="21" t="n">
        <f aca="false">IF(X$27&gt;=Annahmen!$B$18,Annahmen!$C$60,0)</f>
        <v>11500</v>
      </c>
      <c r="Y50" s="21" t="n">
        <f aca="false">IF(Y$27&gt;=Annahmen!$B$18,Annahmen!$C$60,0)</f>
        <v>11500</v>
      </c>
      <c r="Z50" s="21" t="n">
        <f aca="false">IF(Z$27&gt;=Annahmen!$B$18,Annahmen!$C$60,0)</f>
        <v>11500</v>
      </c>
      <c r="AA50" s="21" t="n">
        <f aca="false">IF(AA$27&gt;=Annahmen!$B$18,Annahmen!$C$60,0)</f>
        <v>11500</v>
      </c>
      <c r="AB50" s="15" t="n">
        <f aca="false">SUM(D50:O50)</f>
        <v>0</v>
      </c>
      <c r="AC50" s="15" t="n">
        <f aca="false">SUM(P50:AA50)</f>
        <v>69000</v>
      </c>
      <c r="AD50" s="15" t="n">
        <f aca="false">SUM(D50:U50)</f>
        <v>0</v>
      </c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customFormat="false" ht="15" hidden="false" customHeight="false" outlineLevel="0" collapsed="false">
      <c r="A52" s="4" t="s">
        <v>155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customFormat="false" ht="15" hidden="false" customHeight="false" outlineLevel="0" collapsed="false">
      <c r="A53" s="6" t="s">
        <v>306</v>
      </c>
      <c r="B53" s="2"/>
      <c r="C53" s="21" t="n">
        <f aca="false">'GuV 5 Jahre'!$C$13</f>
        <v>15650.4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customFormat="false" ht="15" hidden="false" customHeight="false" outlineLevel="0" collapsed="false">
      <c r="A54" s="6" t="s">
        <v>307</v>
      </c>
      <c r="B54" s="2"/>
      <c r="C54" s="21" t="n">
        <f aca="false">'GuV 5 Jahre'!$D$13</f>
        <v>81933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customFormat="false" ht="15" hidden="false" customHeight="false" outlineLevel="0" collapsed="false">
      <c r="A55" s="6" t="s">
        <v>308</v>
      </c>
      <c r="B55" s="2"/>
      <c r="C55" s="15" t="n">
        <f aca="false">C53*11.5/72</f>
        <v>2499.71666666667</v>
      </c>
      <c r="D55" s="3" t="s">
        <v>309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customFormat="false" ht="15" hidden="false" customHeight="false" outlineLevel="0" collapsed="false">
      <c r="A56" s="6" t="s">
        <v>310</v>
      </c>
      <c r="B56" s="2"/>
      <c r="C56" s="15" t="n">
        <f aca="false">(C54-12*C55)/78</f>
        <v>665.851282051282</v>
      </c>
      <c r="D56" s="3" t="s">
        <v>311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customFormat="false" ht="15" hidden="false" customHeight="false" outlineLevel="0" collapsed="false">
      <c r="A57" s="6" t="s">
        <v>312</v>
      </c>
      <c r="B57" s="2"/>
      <c r="C57" s="21" t="n">
        <f aca="false">'GuV 5 Jahre'!$C$14</f>
        <v>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customFormat="false" ht="15" hidden="false" customHeight="false" outlineLevel="0" collapsed="false">
      <c r="A58" s="6" t="s">
        <v>313</v>
      </c>
      <c r="B58" s="2"/>
      <c r="C58" s="21" t="n">
        <f aca="false">'GuV 5 Jahre'!$D$14</f>
        <v>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customFormat="false" ht="15" hidden="false" customHeight="false" outlineLevel="0" collapsed="false">
      <c r="A59" s="6" t="s">
        <v>314</v>
      </c>
      <c r="B59" s="2"/>
      <c r="C59" s="2"/>
      <c r="D59" s="15" t="n">
        <f aca="false">IF(D$27&lt;=12,$C$53*(D$27-0.5)/72,$C$55+$C$56*(D$27-12))</f>
        <v>108.683333333333</v>
      </c>
      <c r="E59" s="15" t="n">
        <f aca="false">IF(E$27&lt;=12,$C$53*(E$27-0.5)/72,$C$55+$C$56*(E$27-12))</f>
        <v>326.05</v>
      </c>
      <c r="F59" s="15" t="n">
        <f aca="false">IF(F$27&lt;=12,$C$53*(F$27-0.5)/72,$C$55+$C$56*(F$27-12))</f>
        <v>543.416666666667</v>
      </c>
      <c r="G59" s="15" t="n">
        <f aca="false">IF(G$27&lt;=12,$C$53*(G$27-0.5)/72,$C$55+$C$56*(G$27-12))</f>
        <v>760.783333333333</v>
      </c>
      <c r="H59" s="15" t="n">
        <f aca="false">IF(H$27&lt;=12,$C$53*(H$27-0.5)/72,$C$55+$C$56*(H$27-12))</f>
        <v>978.15</v>
      </c>
      <c r="I59" s="15" t="n">
        <f aca="false">IF(I$27&lt;=12,$C$53*(I$27-0.5)/72,$C$55+$C$56*(I$27-12))</f>
        <v>1195.51666666667</v>
      </c>
      <c r="J59" s="15" t="n">
        <f aca="false">IF(J$27&lt;=12,$C$53*(J$27-0.5)/72,$C$55+$C$56*(J$27-12))</f>
        <v>1412.88333333333</v>
      </c>
      <c r="K59" s="15" t="n">
        <f aca="false">IF(K$27&lt;=12,$C$53*(K$27-0.5)/72,$C$55+$C$56*(K$27-12))</f>
        <v>1630.25</v>
      </c>
      <c r="L59" s="15" t="n">
        <f aca="false">IF(L$27&lt;=12,$C$53*(L$27-0.5)/72,$C$55+$C$56*(L$27-12))</f>
        <v>1847.61666666667</v>
      </c>
      <c r="M59" s="15" t="n">
        <f aca="false">IF(M$27&lt;=12,$C$53*(M$27-0.5)/72,$C$55+$C$56*(M$27-12))</f>
        <v>2064.98333333333</v>
      </c>
      <c r="N59" s="15" t="n">
        <f aca="false">IF(N$27&lt;=12,$C$53*(N$27-0.5)/72,$C$55+$C$56*(N$27-12))</f>
        <v>2282.35</v>
      </c>
      <c r="O59" s="15" t="n">
        <f aca="false">IF(O$27&lt;=12,$C$53*(O$27-0.5)/72,$C$55+$C$56*(O$27-12))</f>
        <v>2499.71666666667</v>
      </c>
      <c r="P59" s="15" t="n">
        <f aca="false">IF(P$27&lt;=12,$C$53*(P$27-0.5)/72,$C$55+$C$56*(P$27-12))</f>
        <v>3165.56794871795</v>
      </c>
      <c r="Q59" s="15" t="n">
        <f aca="false">IF(Q$27&lt;=12,$C$53*(Q$27-0.5)/72,$C$55+$C$56*(Q$27-12))</f>
        <v>3831.41923076923</v>
      </c>
      <c r="R59" s="15" t="n">
        <f aca="false">IF(R$27&lt;=12,$C$53*(R$27-0.5)/72,$C$55+$C$56*(R$27-12))</f>
        <v>4497.27051282051</v>
      </c>
      <c r="S59" s="15" t="n">
        <f aca="false">IF(S$27&lt;=12,$C$53*(S$27-0.5)/72,$C$55+$C$56*(S$27-12))</f>
        <v>5163.1217948718</v>
      </c>
      <c r="T59" s="15" t="n">
        <f aca="false">IF(T$27&lt;=12,$C$53*(T$27-0.5)/72,$C$55+$C$56*(T$27-12))</f>
        <v>5828.97307692308</v>
      </c>
      <c r="U59" s="15" t="n">
        <f aca="false">IF(U$27&lt;=12,$C$53*(U$27-0.5)/72,$C$55+$C$56*(U$27-12))</f>
        <v>6494.82435897436</v>
      </c>
      <c r="V59" s="15" t="n">
        <f aca="false">IF(V$27&lt;=12,$C$53*(V$27-0.5)/72,$C$55+$C$56*(V$27-12))</f>
        <v>7160.67564102564</v>
      </c>
      <c r="W59" s="15" t="n">
        <f aca="false">IF(W$27&lt;=12,$C$53*(W$27-0.5)/72,$C$55+$C$56*(W$27-12))</f>
        <v>7826.52692307692</v>
      </c>
      <c r="X59" s="15" t="n">
        <f aca="false">IF(X$27&lt;=12,$C$53*(X$27-0.5)/72,$C$55+$C$56*(X$27-12))</f>
        <v>8492.37820512821</v>
      </c>
      <c r="Y59" s="15" t="n">
        <f aca="false">IF(Y$27&lt;=12,$C$53*(Y$27-0.5)/72,$C$55+$C$56*(Y$27-12))</f>
        <v>9158.22948717949</v>
      </c>
      <c r="Z59" s="15" t="n">
        <f aca="false">IF(Z$27&lt;=12,$C$53*(Z$27-0.5)/72,$C$55+$C$56*(Z$27-12))</f>
        <v>9824.08076923077</v>
      </c>
      <c r="AA59" s="15" t="n">
        <f aca="false">IF(AA$27&lt;=12,$C$53*(AA$27-0.5)/72,$C$55+$C$56*(AA$27-12))</f>
        <v>10489.9320512821</v>
      </c>
      <c r="AB59" s="15" t="n">
        <f aca="false">SUM(D59:O59)</f>
        <v>15650.4</v>
      </c>
      <c r="AC59" s="15" t="n">
        <f aca="false">SUM(P59:AA59)</f>
        <v>81933</v>
      </c>
      <c r="AD59" s="15" t="n">
        <f aca="false">SUM(D59:U59)</f>
        <v>44631.5769230769</v>
      </c>
    </row>
    <row r="60" customFormat="false" ht="15" hidden="false" customHeight="false" outlineLevel="0" collapsed="false">
      <c r="A60" s="6" t="s">
        <v>315</v>
      </c>
      <c r="B60" s="2"/>
      <c r="C60" s="2"/>
      <c r="D60" s="21" t="n">
        <f aca="false">IF(D$27=Annahmen!$B$9,$C$57,0)+IF(D$27=12+Annahmen!$B$9,$C$58,0)</f>
        <v>0</v>
      </c>
      <c r="E60" s="21" t="n">
        <f aca="false">IF(E$27=Annahmen!$B$9,$C$57,0)+IF(E$27=12+Annahmen!$B$9,$C$58,0)</f>
        <v>0</v>
      </c>
      <c r="F60" s="21" t="n">
        <f aca="false">IF(F$27=Annahmen!$B$9,$C$57,0)+IF(F$27=12+Annahmen!$B$9,$C$58,0)</f>
        <v>0</v>
      </c>
      <c r="G60" s="21" t="n">
        <f aca="false">IF(G$27=Annahmen!$B$9,$C$57,0)+IF(G$27=12+Annahmen!$B$9,$C$58,0)</f>
        <v>0</v>
      </c>
      <c r="H60" s="21" t="n">
        <f aca="false">IF(H$27=Annahmen!$B$9,$C$57,0)+IF(H$27=12+Annahmen!$B$9,$C$58,0)</f>
        <v>0</v>
      </c>
      <c r="I60" s="21" t="n">
        <f aca="false">IF(I$27=Annahmen!$B$9,$C$57,0)+IF(I$27=12+Annahmen!$B$9,$C$58,0)</f>
        <v>0</v>
      </c>
      <c r="J60" s="21" t="n">
        <f aca="false">IF(J$27=Annahmen!$B$9,$C$57,0)+IF(J$27=12+Annahmen!$B$9,$C$58,0)</f>
        <v>0</v>
      </c>
      <c r="K60" s="21" t="n">
        <f aca="false">IF(K$27=Annahmen!$B$9,$C$57,0)+IF(K$27=12+Annahmen!$B$9,$C$58,0)</f>
        <v>0</v>
      </c>
      <c r="L60" s="21" t="n">
        <f aca="false">IF(L$27=Annahmen!$B$9,$C$57,0)+IF(L$27=12+Annahmen!$B$9,$C$58,0)</f>
        <v>0</v>
      </c>
      <c r="M60" s="21" t="n">
        <f aca="false">IF(M$27=Annahmen!$B$9,$C$57,0)+IF(M$27=12+Annahmen!$B$9,$C$58,0)</f>
        <v>0</v>
      </c>
      <c r="N60" s="21" t="n">
        <f aca="false">IF(N$27=Annahmen!$B$9,$C$57,0)+IF(N$27=12+Annahmen!$B$9,$C$58,0)</f>
        <v>0</v>
      </c>
      <c r="O60" s="21" t="n">
        <f aca="false">IF(O$27=Annahmen!$B$9,$C$57,0)+IF(O$27=12+Annahmen!$B$9,$C$58,0)</f>
        <v>0</v>
      </c>
      <c r="P60" s="21" t="n">
        <f aca="false">IF(P$27=Annahmen!$B$9,$C$57,0)+IF(P$27=12+Annahmen!$B$9,$C$58,0)</f>
        <v>0</v>
      </c>
      <c r="Q60" s="21" t="n">
        <f aca="false">IF(Q$27=Annahmen!$B$9,$C$57,0)+IF(Q$27=12+Annahmen!$B$9,$C$58,0)</f>
        <v>0</v>
      </c>
      <c r="R60" s="21" t="n">
        <f aca="false">IF(R$27=Annahmen!$B$9,$C$57,0)+IF(R$27=12+Annahmen!$B$9,$C$58,0)</f>
        <v>0</v>
      </c>
      <c r="S60" s="21" t="n">
        <f aca="false">IF(S$27=Annahmen!$B$9,$C$57,0)+IF(S$27=12+Annahmen!$B$9,$C$58,0)</f>
        <v>0</v>
      </c>
      <c r="T60" s="21" t="n">
        <f aca="false">IF(T$27=Annahmen!$B$9,$C$57,0)+IF(T$27=12+Annahmen!$B$9,$C$58,0)</f>
        <v>0</v>
      </c>
      <c r="U60" s="21" t="n">
        <f aca="false">IF(U$27=Annahmen!$B$9,$C$57,0)+IF(U$27=12+Annahmen!$B$9,$C$58,0)</f>
        <v>0</v>
      </c>
      <c r="V60" s="21" t="n">
        <f aca="false">IF(V$27=Annahmen!$B$9,$C$57,0)+IF(V$27=12+Annahmen!$B$9,$C$58,0)</f>
        <v>0</v>
      </c>
      <c r="W60" s="21" t="n">
        <f aca="false">IF(W$27=Annahmen!$B$9,$C$57,0)+IF(W$27=12+Annahmen!$B$9,$C$58,0)</f>
        <v>0</v>
      </c>
      <c r="X60" s="21" t="n">
        <f aca="false">IF(X$27=Annahmen!$B$9,$C$57,0)+IF(X$27=12+Annahmen!$B$9,$C$58,0)</f>
        <v>0</v>
      </c>
      <c r="Y60" s="21" t="n">
        <f aca="false">IF(Y$27=Annahmen!$B$9,$C$57,0)+IF(Y$27=12+Annahmen!$B$9,$C$58,0)</f>
        <v>0</v>
      </c>
      <c r="Z60" s="21" t="n">
        <f aca="false">IF(Z$27=Annahmen!$B$9,$C$57,0)+IF(Z$27=12+Annahmen!$B$9,$C$58,0)</f>
        <v>0</v>
      </c>
      <c r="AA60" s="21" t="n">
        <f aca="false">IF(AA$27=Annahmen!$B$9,$C$57,0)+IF(AA$27=12+Annahmen!$B$9,$C$58,0)</f>
        <v>0</v>
      </c>
      <c r="AB60" s="15" t="n">
        <f aca="false">SUM(D60:O60)</f>
        <v>0</v>
      </c>
      <c r="AC60" s="15" t="n">
        <f aca="false">SUM(P60:AA60)</f>
        <v>0</v>
      </c>
      <c r="AD60" s="15" t="n">
        <f aca="false">SUM(D60:U60)</f>
        <v>0</v>
      </c>
    </row>
    <row r="61" customFormat="false" ht="15" hidden="false" customHeight="false" outlineLevel="0" collapsed="false">
      <c r="A61" s="16" t="s">
        <v>176</v>
      </c>
      <c r="B61" s="2"/>
      <c r="C61" s="2"/>
      <c r="D61" s="17" t="n">
        <f aca="false">D59+D60</f>
        <v>108.683333333333</v>
      </c>
      <c r="E61" s="17" t="n">
        <f aca="false">E59+E60</f>
        <v>326.05</v>
      </c>
      <c r="F61" s="17" t="n">
        <f aca="false">F59+F60</f>
        <v>543.416666666667</v>
      </c>
      <c r="G61" s="17" t="n">
        <f aca="false">G59+G60</f>
        <v>760.783333333333</v>
      </c>
      <c r="H61" s="17" t="n">
        <f aca="false">H59+H60</f>
        <v>978.15</v>
      </c>
      <c r="I61" s="17" t="n">
        <f aca="false">I59+I60</f>
        <v>1195.51666666667</v>
      </c>
      <c r="J61" s="17" t="n">
        <f aca="false">J59+J60</f>
        <v>1412.88333333333</v>
      </c>
      <c r="K61" s="17" t="n">
        <f aca="false">K59+K60</f>
        <v>1630.25</v>
      </c>
      <c r="L61" s="17" t="n">
        <f aca="false">L59+L60</f>
        <v>1847.61666666667</v>
      </c>
      <c r="M61" s="17" t="n">
        <f aca="false">M59+M60</f>
        <v>2064.98333333333</v>
      </c>
      <c r="N61" s="17" t="n">
        <f aca="false">N59+N60</f>
        <v>2282.35</v>
      </c>
      <c r="O61" s="17" t="n">
        <f aca="false">O59+O60</f>
        <v>2499.71666666667</v>
      </c>
      <c r="P61" s="17" t="n">
        <f aca="false">P59+P60</f>
        <v>3165.56794871795</v>
      </c>
      <c r="Q61" s="17" t="n">
        <f aca="false">Q59+Q60</f>
        <v>3831.41923076923</v>
      </c>
      <c r="R61" s="17" t="n">
        <f aca="false">R59+R60</f>
        <v>4497.27051282051</v>
      </c>
      <c r="S61" s="17" t="n">
        <f aca="false">S59+S60</f>
        <v>5163.1217948718</v>
      </c>
      <c r="T61" s="17" t="n">
        <f aca="false">T59+T60</f>
        <v>5828.97307692308</v>
      </c>
      <c r="U61" s="17" t="n">
        <f aca="false">U59+U60</f>
        <v>6494.82435897436</v>
      </c>
      <c r="V61" s="17" t="n">
        <f aca="false">V59+V60</f>
        <v>7160.67564102564</v>
      </c>
      <c r="W61" s="17" t="n">
        <f aca="false">W59+W60</f>
        <v>7826.52692307692</v>
      </c>
      <c r="X61" s="17" t="n">
        <f aca="false">X59+X60</f>
        <v>8492.37820512821</v>
      </c>
      <c r="Y61" s="17" t="n">
        <f aca="false">Y59+Y60</f>
        <v>9158.22948717949</v>
      </c>
      <c r="Z61" s="17" t="n">
        <f aca="false">Z59+Z60</f>
        <v>9824.08076923077</v>
      </c>
      <c r="AA61" s="17" t="n">
        <f aca="false">AA59+AA60</f>
        <v>10489.9320512821</v>
      </c>
      <c r="AB61" s="15" t="n">
        <f aca="false">SUM(D61:O61)</f>
        <v>15650.4</v>
      </c>
      <c r="AC61" s="15" t="n">
        <f aca="false">SUM(P61:AA61)</f>
        <v>81933</v>
      </c>
      <c r="AD61" s="15" t="n">
        <f aca="false">SUM(D61:U61)</f>
        <v>44631.5769230769</v>
      </c>
    </row>
    <row r="62" customFormat="false" ht="15" hidden="false" customHeight="false" outlineLevel="0" collapsed="false">
      <c r="A62" s="6" t="s">
        <v>316</v>
      </c>
      <c r="B62" s="2"/>
      <c r="C62" s="2"/>
      <c r="D62" s="15" t="n">
        <f aca="false">D$39</f>
        <v>13000</v>
      </c>
      <c r="E62" s="15" t="n">
        <f aca="false">E$39</f>
        <v>5000</v>
      </c>
      <c r="F62" s="15" t="n">
        <f aca="false">F$39</f>
        <v>10500</v>
      </c>
      <c r="G62" s="15" t="n">
        <f aca="false">G$39</f>
        <v>13625</v>
      </c>
      <c r="H62" s="15" t="n">
        <f aca="false">H$39</f>
        <v>13625</v>
      </c>
      <c r="I62" s="15" t="n">
        <f aca="false">I$39</f>
        <v>13625</v>
      </c>
      <c r="J62" s="15" t="n">
        <f aca="false">J$39</f>
        <v>14625</v>
      </c>
      <c r="K62" s="15" t="n">
        <f aca="false">K$39</f>
        <v>14625</v>
      </c>
      <c r="L62" s="15" t="n">
        <f aca="false">L$39</f>
        <v>16625</v>
      </c>
      <c r="M62" s="15" t="n">
        <f aca="false">M$39</f>
        <v>14625</v>
      </c>
      <c r="N62" s="15" t="n">
        <f aca="false">N$39</f>
        <v>14625</v>
      </c>
      <c r="O62" s="15" t="n">
        <f aca="false">O$39</f>
        <v>14625</v>
      </c>
      <c r="P62" s="15" t="n">
        <f aca="false">P$39</f>
        <v>14625</v>
      </c>
      <c r="Q62" s="15" t="n">
        <f aca="false">Q$39</f>
        <v>14625</v>
      </c>
      <c r="R62" s="15" t="n">
        <f aca="false">R$39</f>
        <v>14625</v>
      </c>
      <c r="S62" s="15" t="n">
        <f aca="false">S$39</f>
        <v>11500</v>
      </c>
      <c r="T62" s="15" t="n">
        <f aca="false">T$39</f>
        <v>11500</v>
      </c>
      <c r="U62" s="15" t="n">
        <f aca="false">U$39</f>
        <v>11500</v>
      </c>
      <c r="V62" s="15" t="n">
        <f aca="false">V$39</f>
        <v>0</v>
      </c>
      <c r="W62" s="15" t="n">
        <f aca="false">W$39</f>
        <v>0</v>
      </c>
      <c r="X62" s="15" t="n">
        <f aca="false">X$39</f>
        <v>0</v>
      </c>
      <c r="Y62" s="15" t="n">
        <f aca="false">Y$39</f>
        <v>0</v>
      </c>
      <c r="Z62" s="15" t="n">
        <f aca="false">Z$39</f>
        <v>0</v>
      </c>
      <c r="AA62" s="15" t="n">
        <f aca="false">AA$39</f>
        <v>0</v>
      </c>
      <c r="AB62" s="15" t="n">
        <f aca="false">SUM(D62:O62)</f>
        <v>159125</v>
      </c>
      <c r="AC62" s="15" t="n">
        <f aca="false">SUM(P62:AA62)</f>
        <v>78375</v>
      </c>
      <c r="AD62" s="15" t="n">
        <f aca="false">SUM(D62:U62)</f>
        <v>237500</v>
      </c>
    </row>
    <row r="63" customFormat="false" ht="15" hidden="false" customHeight="false" outlineLevel="0" collapsed="false">
      <c r="A63" s="6" t="s">
        <v>317</v>
      </c>
      <c r="B63" s="2"/>
      <c r="C63" s="2"/>
      <c r="D63" s="21" t="n">
        <f aca="false">D$48*Annahmen!$C$47</f>
        <v>0</v>
      </c>
      <c r="E63" s="21" t="n">
        <f aca="false">E$48*Annahmen!$C$47</f>
        <v>0</v>
      </c>
      <c r="F63" s="21" t="n">
        <f aca="false">F$48*Annahmen!$C$47</f>
        <v>0</v>
      </c>
      <c r="G63" s="21" t="n">
        <f aca="false">G$48*Annahmen!$C$47</f>
        <v>0</v>
      </c>
      <c r="H63" s="21" t="n">
        <f aca="false">H$48*Annahmen!$C$47</f>
        <v>0</v>
      </c>
      <c r="I63" s="21" t="n">
        <f aca="false">I$48*Annahmen!$C$47</f>
        <v>0</v>
      </c>
      <c r="J63" s="21" t="n">
        <f aca="false">J$48*Annahmen!$C$47</f>
        <v>0</v>
      </c>
      <c r="K63" s="21" t="n">
        <f aca="false">K$48*Annahmen!$C$47</f>
        <v>0</v>
      </c>
      <c r="L63" s="21" t="n">
        <f aca="false">L$48*Annahmen!$C$47</f>
        <v>0</v>
      </c>
      <c r="M63" s="21" t="n">
        <f aca="false">M$48*Annahmen!$C$47</f>
        <v>0</v>
      </c>
      <c r="N63" s="21" t="n">
        <f aca="false">N$48*Annahmen!$C$47</f>
        <v>0</v>
      </c>
      <c r="O63" s="21" t="n">
        <f aca="false">O$48*Annahmen!$C$47</f>
        <v>0</v>
      </c>
      <c r="P63" s="21" t="n">
        <f aca="false">P$48*Annahmen!$C$47</f>
        <v>0</v>
      </c>
      <c r="Q63" s="21" t="n">
        <f aca="false">Q$48*Annahmen!$C$47</f>
        <v>0</v>
      </c>
      <c r="R63" s="21" t="n">
        <f aca="false">R$48*Annahmen!$C$47</f>
        <v>0</v>
      </c>
      <c r="S63" s="21" t="n">
        <f aca="false">S$48*Annahmen!$C$47</f>
        <v>0</v>
      </c>
      <c r="T63" s="21" t="n">
        <f aca="false">T$48*Annahmen!$C$47</f>
        <v>0</v>
      </c>
      <c r="U63" s="21" t="n">
        <f aca="false">U$48*Annahmen!$C$47</f>
        <v>0</v>
      </c>
      <c r="V63" s="21" t="n">
        <f aca="false">V$48*Annahmen!$C$47</f>
        <v>17962.730318258</v>
      </c>
      <c r="W63" s="21" t="n">
        <f aca="false">W$48*Annahmen!$C$47</f>
        <v>17962.730318258</v>
      </c>
      <c r="X63" s="21" t="n">
        <f aca="false">X$48*Annahmen!$C$47</f>
        <v>17962.730318258</v>
      </c>
      <c r="Y63" s="21" t="n">
        <f aca="false">Y$48*Annahmen!$C$47</f>
        <v>17962.730318258</v>
      </c>
      <c r="Z63" s="21" t="n">
        <f aca="false">Z$48*Annahmen!$C$47</f>
        <v>17962.730318258</v>
      </c>
      <c r="AA63" s="21" t="n">
        <f aca="false">AA$48*Annahmen!$C$47</f>
        <v>17962.730318258</v>
      </c>
      <c r="AB63" s="15" t="n">
        <f aca="false">SUM(D63:O63)</f>
        <v>0</v>
      </c>
      <c r="AC63" s="15" t="n">
        <f aca="false">SUM(P63:AA63)</f>
        <v>107776.381909548</v>
      </c>
      <c r="AD63" s="15" t="n">
        <f aca="false">SUM(D63:U63)</f>
        <v>0</v>
      </c>
    </row>
    <row r="64" customFormat="false" ht="15" hidden="false" customHeight="false" outlineLevel="0" collapsed="false">
      <c r="A64" s="6" t="s">
        <v>318</v>
      </c>
      <c r="B64" s="2"/>
      <c r="C64" s="2"/>
      <c r="D64" s="21" t="n">
        <f aca="false">Annahmen!$B$7+Annahmen!$B$8*D61</f>
        <v>258.694666666667</v>
      </c>
      <c r="E64" s="21" t="n">
        <f aca="false">Annahmen!$B$7+Annahmen!$B$8*E61</f>
        <v>276.084</v>
      </c>
      <c r="F64" s="21" t="n">
        <f aca="false">Annahmen!$B$7+Annahmen!$B$8*F61</f>
        <v>293.473333333333</v>
      </c>
      <c r="G64" s="21" t="n">
        <f aca="false">Annahmen!$B$7+Annahmen!$B$8*G61</f>
        <v>310.862666666667</v>
      </c>
      <c r="H64" s="21" t="n">
        <f aca="false">Annahmen!$B$7+Annahmen!$B$8*H61</f>
        <v>328.252</v>
      </c>
      <c r="I64" s="21" t="n">
        <f aca="false">Annahmen!$B$7+Annahmen!$B$8*I61</f>
        <v>345.641333333333</v>
      </c>
      <c r="J64" s="21" t="n">
        <f aca="false">Annahmen!$B$7+Annahmen!$B$8*J61</f>
        <v>363.030666666667</v>
      </c>
      <c r="K64" s="21" t="n">
        <f aca="false">Annahmen!$B$7+Annahmen!$B$8*K61</f>
        <v>380.42</v>
      </c>
      <c r="L64" s="21" t="n">
        <f aca="false">Annahmen!$B$7+Annahmen!$B$8*L61</f>
        <v>397.809333333333</v>
      </c>
      <c r="M64" s="21" t="n">
        <f aca="false">Annahmen!$B$7+Annahmen!$B$8*M61</f>
        <v>415.198666666667</v>
      </c>
      <c r="N64" s="21" t="n">
        <f aca="false">Annahmen!$B$7+Annahmen!$B$8*N61</f>
        <v>432.588</v>
      </c>
      <c r="O64" s="21" t="n">
        <f aca="false">Annahmen!$B$7+Annahmen!$B$8*O61</f>
        <v>449.977333333333</v>
      </c>
      <c r="P64" s="21" t="n">
        <f aca="false">Annahmen!$B$7+Annahmen!$B$8*P61</f>
        <v>503.245435897436</v>
      </c>
      <c r="Q64" s="21" t="n">
        <f aca="false">Annahmen!$B$7+Annahmen!$B$8*Q61</f>
        <v>556.513538461539</v>
      </c>
      <c r="R64" s="21" t="n">
        <f aca="false">Annahmen!$B$7+Annahmen!$B$8*R61</f>
        <v>609.781641025641</v>
      </c>
      <c r="S64" s="21" t="n">
        <f aca="false">Annahmen!$B$7+Annahmen!$B$8*S61</f>
        <v>663.049743589744</v>
      </c>
      <c r="T64" s="21" t="n">
        <f aca="false">Annahmen!$B$7+Annahmen!$B$8*T61</f>
        <v>716.317846153846</v>
      </c>
      <c r="U64" s="21" t="n">
        <f aca="false">Annahmen!$B$7+Annahmen!$B$8*U61</f>
        <v>769.585948717949</v>
      </c>
      <c r="V64" s="21" t="n">
        <f aca="false">Annahmen!$B$7+Annahmen!$B$8*V61</f>
        <v>822.854051282051</v>
      </c>
      <c r="W64" s="21" t="n">
        <f aca="false">Annahmen!$B$7+Annahmen!$B$8*W61</f>
        <v>876.122153846154</v>
      </c>
      <c r="X64" s="21" t="n">
        <f aca="false">Annahmen!$B$7+Annahmen!$B$8*X61</f>
        <v>929.390256410256</v>
      </c>
      <c r="Y64" s="21" t="n">
        <f aca="false">Annahmen!$B$7+Annahmen!$B$8*Y61</f>
        <v>982.658358974359</v>
      </c>
      <c r="Z64" s="21" t="n">
        <f aca="false">Annahmen!$B$7+Annahmen!$B$8*Z61</f>
        <v>1035.92646153846</v>
      </c>
      <c r="AA64" s="21" t="n">
        <f aca="false">Annahmen!$B$7+Annahmen!$B$8*AA61</f>
        <v>1089.19456410256</v>
      </c>
      <c r="AB64" s="15" t="n">
        <f aca="false">SUM(D64:O64)</f>
        <v>4252.032</v>
      </c>
      <c r="AC64" s="15" t="n">
        <f aca="false">SUM(P64:AA64)</f>
        <v>9554.64</v>
      </c>
      <c r="AD64" s="15" t="n">
        <f aca="false">SUM(D64:U64)</f>
        <v>8070.52615384615</v>
      </c>
    </row>
    <row r="65" customFormat="false" ht="15" hidden="false" customHeight="false" outlineLevel="0" collapsed="false">
      <c r="A65" s="16" t="s">
        <v>319</v>
      </c>
      <c r="B65" s="2"/>
      <c r="C65" s="2"/>
      <c r="D65" s="17" t="n">
        <f aca="false">D62+D63+D64</f>
        <v>13258.6946666667</v>
      </c>
      <c r="E65" s="17" t="n">
        <f aca="false">E62+E63+E64</f>
        <v>5276.084</v>
      </c>
      <c r="F65" s="17" t="n">
        <f aca="false">F62+F63+F64</f>
        <v>10793.4733333333</v>
      </c>
      <c r="G65" s="17" t="n">
        <f aca="false">G62+G63+G64</f>
        <v>13935.8626666667</v>
      </c>
      <c r="H65" s="17" t="n">
        <f aca="false">H62+H63+H64</f>
        <v>13953.252</v>
      </c>
      <c r="I65" s="17" t="n">
        <f aca="false">I62+I63+I64</f>
        <v>13970.6413333333</v>
      </c>
      <c r="J65" s="17" t="n">
        <f aca="false">J62+J63+J64</f>
        <v>14988.0306666667</v>
      </c>
      <c r="K65" s="17" t="n">
        <f aca="false">K62+K63+K64</f>
        <v>15005.42</v>
      </c>
      <c r="L65" s="17" t="n">
        <f aca="false">L62+L63+L64</f>
        <v>17022.8093333333</v>
      </c>
      <c r="M65" s="17" t="n">
        <f aca="false">M62+M63+M64</f>
        <v>15040.1986666667</v>
      </c>
      <c r="N65" s="17" t="n">
        <f aca="false">N62+N63+N64</f>
        <v>15057.588</v>
      </c>
      <c r="O65" s="17" t="n">
        <f aca="false">O62+O63+O64</f>
        <v>15074.9773333333</v>
      </c>
      <c r="P65" s="17" t="n">
        <f aca="false">P62+P63+P64</f>
        <v>15128.2454358974</v>
      </c>
      <c r="Q65" s="17" t="n">
        <f aca="false">Q62+Q63+Q64</f>
        <v>15181.5135384615</v>
      </c>
      <c r="R65" s="17" t="n">
        <f aca="false">R62+R63+R64</f>
        <v>15234.7816410256</v>
      </c>
      <c r="S65" s="17" t="n">
        <f aca="false">S62+S63+S64</f>
        <v>12163.0497435897</v>
      </c>
      <c r="T65" s="17" t="n">
        <f aca="false">T62+T63+T64</f>
        <v>12216.3178461538</v>
      </c>
      <c r="U65" s="17" t="n">
        <f aca="false">U62+U63+U64</f>
        <v>12269.585948718</v>
      </c>
      <c r="V65" s="17" t="n">
        <f aca="false">V62+V63+V64</f>
        <v>18785.58436954</v>
      </c>
      <c r="W65" s="17" t="n">
        <f aca="false">W62+W63+W64</f>
        <v>18838.8524721041</v>
      </c>
      <c r="X65" s="17" t="n">
        <f aca="false">X62+X63+X64</f>
        <v>18892.1205746682</v>
      </c>
      <c r="Y65" s="17" t="n">
        <f aca="false">Y62+Y63+Y64</f>
        <v>18945.3886772323</v>
      </c>
      <c r="Z65" s="17" t="n">
        <f aca="false">Z62+Z63+Z64</f>
        <v>18998.6567797964</v>
      </c>
      <c r="AA65" s="17" t="n">
        <f aca="false">AA62+AA63+AA64</f>
        <v>19051.9248823605</v>
      </c>
      <c r="AB65" s="15" t="n">
        <f aca="false">SUM(D65:O65)</f>
        <v>163377.032</v>
      </c>
      <c r="AC65" s="15" t="n">
        <f aca="false">SUM(P65:AA65)</f>
        <v>195706.021909548</v>
      </c>
      <c r="AD65" s="15" t="n">
        <f aca="false">SUM(D65:U65)</f>
        <v>245570.526153846</v>
      </c>
    </row>
    <row r="66" customFormat="false" ht="15" hidden="false" customHeight="false" outlineLevel="0" collapsed="false">
      <c r="A66" s="6" t="s">
        <v>320</v>
      </c>
      <c r="B66" s="2"/>
      <c r="C66" s="2"/>
      <c r="D66" s="15" t="n">
        <f aca="false">D61-D65</f>
        <v>-13150.0113333333</v>
      </c>
      <c r="E66" s="15" t="n">
        <f aca="false">E61-E65</f>
        <v>-4950.034</v>
      </c>
      <c r="F66" s="15" t="n">
        <f aca="false">F61-F65</f>
        <v>-10250.0566666667</v>
      </c>
      <c r="G66" s="15" t="n">
        <f aca="false">G61-G65</f>
        <v>-13175.0793333333</v>
      </c>
      <c r="H66" s="15" t="n">
        <f aca="false">H61-H65</f>
        <v>-12975.102</v>
      </c>
      <c r="I66" s="15" t="n">
        <f aca="false">I61-I65</f>
        <v>-12775.1246666667</v>
      </c>
      <c r="J66" s="15" t="n">
        <f aca="false">J61-J65</f>
        <v>-13575.1473333333</v>
      </c>
      <c r="K66" s="15" t="n">
        <f aca="false">K61-K65</f>
        <v>-13375.17</v>
      </c>
      <c r="L66" s="15" t="n">
        <f aca="false">L61-L65</f>
        <v>-15175.1926666667</v>
      </c>
      <c r="M66" s="15" t="n">
        <f aca="false">M61-M65</f>
        <v>-12975.2153333333</v>
      </c>
      <c r="N66" s="15" t="n">
        <f aca="false">N61-N65</f>
        <v>-12775.238</v>
      </c>
      <c r="O66" s="15" t="n">
        <f aca="false">O61-O65</f>
        <v>-12575.2606666667</v>
      </c>
      <c r="P66" s="15" t="n">
        <f aca="false">P61-P65</f>
        <v>-11962.6774871795</v>
      </c>
      <c r="Q66" s="15" t="n">
        <f aca="false">Q61-Q65</f>
        <v>-11350.0943076923</v>
      </c>
      <c r="R66" s="15" t="n">
        <f aca="false">R61-R65</f>
        <v>-10737.5111282051</v>
      </c>
      <c r="S66" s="15" t="n">
        <f aca="false">S61-S65</f>
        <v>-6999.92794871795</v>
      </c>
      <c r="T66" s="15" t="n">
        <f aca="false">T61-T65</f>
        <v>-6387.34476923077</v>
      </c>
      <c r="U66" s="15" t="n">
        <f aca="false">U61-U65</f>
        <v>-5774.76158974359</v>
      </c>
      <c r="V66" s="15" t="n">
        <f aca="false">V61-V65</f>
        <v>-11624.9087285144</v>
      </c>
      <c r="W66" s="15" t="n">
        <f aca="false">W61-W65</f>
        <v>-11012.3255490272</v>
      </c>
      <c r="X66" s="15" t="n">
        <f aca="false">X61-X65</f>
        <v>-10399.74236954</v>
      </c>
      <c r="Y66" s="15" t="n">
        <f aca="false">Y61-Y65</f>
        <v>-9787.15919005283</v>
      </c>
      <c r="Z66" s="15" t="n">
        <f aca="false">Z61-Z65</f>
        <v>-9174.57601056565</v>
      </c>
      <c r="AA66" s="15" t="n">
        <f aca="false">AA61-AA65</f>
        <v>-8561.99283107847</v>
      </c>
      <c r="AB66" s="15" t="n">
        <f aca="false">SUM(D66:O66)</f>
        <v>-147726.632</v>
      </c>
      <c r="AC66" s="15" t="n">
        <f aca="false">SUM(P66:AA66)</f>
        <v>-113773.021909548</v>
      </c>
      <c r="AD66" s="15" t="n">
        <f aca="false">SUM(D66:U66)</f>
        <v>-200938.949230769</v>
      </c>
    </row>
    <row r="67" customFormat="false" ht="15" hidden="false" customHeight="false" outlineLevel="0" collapsed="false">
      <c r="A67" s="16" t="s">
        <v>321</v>
      </c>
      <c r="B67" s="2"/>
      <c r="C67" s="2"/>
      <c r="D67" s="36" t="n">
        <f aca="false">Annahmen!$B$6+D66</f>
        <v>236849.988666667</v>
      </c>
      <c r="E67" s="22" t="n">
        <f aca="false">D67+E66</f>
        <v>231899.954666667</v>
      </c>
      <c r="F67" s="22" t="n">
        <f aca="false">E67+F66</f>
        <v>221649.898</v>
      </c>
      <c r="G67" s="22" t="n">
        <f aca="false">F67+G66</f>
        <v>208474.818666667</v>
      </c>
      <c r="H67" s="22" t="n">
        <f aca="false">G67+H66</f>
        <v>195499.716666667</v>
      </c>
      <c r="I67" s="22" t="n">
        <f aca="false">H67+I66</f>
        <v>182724.592</v>
      </c>
      <c r="J67" s="22" t="n">
        <f aca="false">I67+J66</f>
        <v>169149.444666667</v>
      </c>
      <c r="K67" s="22" t="n">
        <f aca="false">J67+K66</f>
        <v>155774.274666667</v>
      </c>
      <c r="L67" s="22" t="n">
        <f aca="false">K67+L66</f>
        <v>140599.082</v>
      </c>
      <c r="M67" s="22" t="n">
        <f aca="false">L67+M66</f>
        <v>127623.866666667</v>
      </c>
      <c r="N67" s="22" t="n">
        <f aca="false">M67+N66</f>
        <v>114848.628666667</v>
      </c>
      <c r="O67" s="22" t="n">
        <f aca="false">N67+O66</f>
        <v>102273.368</v>
      </c>
      <c r="P67" s="22" t="n">
        <f aca="false">O67+P66</f>
        <v>90310.6905128205</v>
      </c>
      <c r="Q67" s="22" t="n">
        <f aca="false">P67+Q66</f>
        <v>78960.5962051282</v>
      </c>
      <c r="R67" s="22" t="n">
        <f aca="false">Q67+R66</f>
        <v>68223.0850769231</v>
      </c>
      <c r="S67" s="22" t="n">
        <f aca="false">R67+S66</f>
        <v>61223.1571282051</v>
      </c>
      <c r="T67" s="22" t="n">
        <f aca="false">S67+T66</f>
        <v>54835.8123589744</v>
      </c>
      <c r="U67" s="22" t="n">
        <f aca="false">T67+U66</f>
        <v>49061.0507692308</v>
      </c>
      <c r="V67" s="22" t="n">
        <f aca="false">U67+V66</f>
        <v>37436.1420407164</v>
      </c>
      <c r="W67" s="22" t="n">
        <f aca="false">V67+W66</f>
        <v>26423.8164916892</v>
      </c>
      <c r="X67" s="22" t="n">
        <f aca="false">W67+X66</f>
        <v>16024.0741221492</v>
      </c>
      <c r="Y67" s="22" t="n">
        <f aca="false">X67+Y66</f>
        <v>6236.91493209638</v>
      </c>
      <c r="Z67" s="22" t="n">
        <f aca="false">Y67+Z66</f>
        <v>-2937.66107846927</v>
      </c>
      <c r="AA67" s="22" t="n">
        <f aca="false">Z67+AA66</f>
        <v>-11499.6539095477</v>
      </c>
      <c r="AB67" s="2"/>
      <c r="AC67" s="2"/>
      <c r="AD67" s="2"/>
    </row>
    <row r="68" customFormat="false" ht="15" hidden="false" customHeight="false" outlineLevel="0" collapsed="false">
      <c r="A68" s="26" t="s">
        <v>322</v>
      </c>
      <c r="B68" s="2"/>
      <c r="C68" s="2"/>
      <c r="D68" s="37" t="n">
        <f aca="false">IF(D67&lt;0,1,0)</f>
        <v>0</v>
      </c>
      <c r="E68" s="37" t="n">
        <f aca="false">IF(E67&lt;0,1,0)</f>
        <v>0</v>
      </c>
      <c r="F68" s="37" t="n">
        <f aca="false">IF(F67&lt;0,1,0)</f>
        <v>0</v>
      </c>
      <c r="G68" s="37" t="n">
        <f aca="false">IF(G67&lt;0,1,0)</f>
        <v>0</v>
      </c>
      <c r="H68" s="37" t="n">
        <f aca="false">IF(H67&lt;0,1,0)</f>
        <v>0</v>
      </c>
      <c r="I68" s="37" t="n">
        <f aca="false">IF(I67&lt;0,1,0)</f>
        <v>0</v>
      </c>
      <c r="J68" s="37" t="n">
        <f aca="false">IF(J67&lt;0,1,0)</f>
        <v>0</v>
      </c>
      <c r="K68" s="37" t="n">
        <f aca="false">IF(K67&lt;0,1,0)</f>
        <v>0</v>
      </c>
      <c r="L68" s="37" t="n">
        <f aca="false">IF(L67&lt;0,1,0)</f>
        <v>0</v>
      </c>
      <c r="M68" s="37" t="n">
        <f aca="false">IF(M67&lt;0,1,0)</f>
        <v>0</v>
      </c>
      <c r="N68" s="37" t="n">
        <f aca="false">IF(N67&lt;0,1,0)</f>
        <v>0</v>
      </c>
      <c r="O68" s="37" t="n">
        <f aca="false">IF(O67&lt;0,1,0)</f>
        <v>0</v>
      </c>
      <c r="P68" s="37" t="n">
        <f aca="false">IF(P67&lt;0,1,0)</f>
        <v>0</v>
      </c>
      <c r="Q68" s="37" t="n">
        <f aca="false">IF(Q67&lt;0,1,0)</f>
        <v>0</v>
      </c>
      <c r="R68" s="37" t="n">
        <f aca="false">IF(R67&lt;0,1,0)</f>
        <v>0</v>
      </c>
      <c r="S68" s="37" t="n">
        <f aca="false">IF(S67&lt;0,1,0)</f>
        <v>0</v>
      </c>
      <c r="T68" s="37" t="n">
        <f aca="false">IF(T67&lt;0,1,0)</f>
        <v>0</v>
      </c>
      <c r="U68" s="37" t="n">
        <f aca="false">IF(U67&lt;0,1,0)</f>
        <v>0</v>
      </c>
      <c r="V68" s="37" t="n">
        <f aca="false">IF(V67&lt;0,1,0)</f>
        <v>0</v>
      </c>
      <c r="W68" s="37" t="n">
        <f aca="false">IF(W67&lt;0,1,0)</f>
        <v>0</v>
      </c>
      <c r="X68" s="37" t="n">
        <f aca="false">IF(X67&lt;0,1,0)</f>
        <v>0</v>
      </c>
      <c r="Y68" s="37" t="n">
        <f aca="false">IF(Y67&lt;0,1,0)</f>
        <v>0</v>
      </c>
      <c r="Z68" s="37" t="n">
        <f aca="false">IF(Z67&lt;0,1,0)</f>
        <v>1</v>
      </c>
      <c r="AA68" s="37" t="n">
        <f aca="false">IF(AA67&lt;0,1,0)</f>
        <v>1</v>
      </c>
      <c r="AB68" s="2"/>
      <c r="AC68" s="2"/>
      <c r="AD68" s="2"/>
    </row>
    <row r="69" customFormat="false" ht="15" hidden="false" customHeight="false" outlineLevel="0" collapsed="false">
      <c r="A69" s="26" t="s">
        <v>323</v>
      </c>
      <c r="B69" s="2"/>
      <c r="C69" s="2"/>
      <c r="D69" s="37" t="n">
        <f aca="false">IF(D61&gt;=D65,1,0)</f>
        <v>0</v>
      </c>
      <c r="E69" s="37" t="n">
        <f aca="false">IF(E61&gt;=E65,1,0)</f>
        <v>0</v>
      </c>
      <c r="F69" s="37" t="n">
        <f aca="false">IF(F61&gt;=F65,1,0)</f>
        <v>0</v>
      </c>
      <c r="G69" s="37" t="n">
        <f aca="false">IF(G61&gt;=G65,1,0)</f>
        <v>0</v>
      </c>
      <c r="H69" s="37" t="n">
        <f aca="false">IF(H61&gt;=H65,1,0)</f>
        <v>0</v>
      </c>
      <c r="I69" s="37" t="n">
        <f aca="false">IF(I61&gt;=I65,1,0)</f>
        <v>0</v>
      </c>
      <c r="J69" s="37" t="n">
        <f aca="false">IF(J61&gt;=J65,1,0)</f>
        <v>0</v>
      </c>
      <c r="K69" s="37" t="n">
        <f aca="false">IF(K61&gt;=K65,1,0)</f>
        <v>0</v>
      </c>
      <c r="L69" s="37" t="n">
        <f aca="false">IF(L61&gt;=L65,1,0)</f>
        <v>0</v>
      </c>
      <c r="M69" s="37" t="n">
        <f aca="false">IF(M61&gt;=M65,1,0)</f>
        <v>0</v>
      </c>
      <c r="N69" s="37" t="n">
        <f aca="false">IF(N61&gt;=N65,1,0)</f>
        <v>0</v>
      </c>
      <c r="O69" s="37" t="n">
        <f aca="false">IF(O61&gt;=O65,1,0)</f>
        <v>0</v>
      </c>
      <c r="P69" s="37" t="n">
        <f aca="false">IF(P61&gt;=P65,1,0)</f>
        <v>0</v>
      </c>
      <c r="Q69" s="37" t="n">
        <f aca="false">IF(Q61&gt;=Q65,1,0)</f>
        <v>0</v>
      </c>
      <c r="R69" s="37" t="n">
        <f aca="false">IF(R61&gt;=R65,1,0)</f>
        <v>0</v>
      </c>
      <c r="S69" s="37" t="n">
        <f aca="false">IF(S61&gt;=S65,1,0)</f>
        <v>0</v>
      </c>
      <c r="T69" s="37" t="n">
        <f aca="false">IF(T61&gt;=T65,1,0)</f>
        <v>0</v>
      </c>
      <c r="U69" s="37" t="n">
        <f aca="false">IF(U61&gt;=U65,1,0)</f>
        <v>0</v>
      </c>
      <c r="V69" s="37" t="n">
        <f aca="false">IF(V61&gt;=V65,1,0)</f>
        <v>0</v>
      </c>
      <c r="W69" s="37" t="n">
        <f aca="false">IF(W61&gt;=W65,1,0)</f>
        <v>0</v>
      </c>
      <c r="X69" s="37" t="n">
        <f aca="false">IF(X61&gt;=X65,1,0)</f>
        <v>0</v>
      </c>
      <c r="Y69" s="37" t="n">
        <f aca="false">IF(Y61&gt;=Y65,1,0)</f>
        <v>0</v>
      </c>
      <c r="Z69" s="37" t="n">
        <f aca="false">IF(Z61&gt;=Z65,1,0)</f>
        <v>0</v>
      </c>
      <c r="AA69" s="37" t="n">
        <f aca="false">IF(AA61&gt;=AA65,1,0)</f>
        <v>0</v>
      </c>
      <c r="AB69" s="2"/>
      <c r="AC69" s="2"/>
      <c r="AD69" s="2"/>
    </row>
    <row r="70" customFormat="false" ht="15" hidden="false" customHeight="false" outlineLevel="0" collapsed="false">
      <c r="A70" s="26" t="s">
        <v>324</v>
      </c>
      <c r="B70" s="2"/>
      <c r="C70" s="2"/>
      <c r="D70" s="37" t="n">
        <f aca="false">IF(AND(D69=1,E70=1),1,0)</f>
        <v>0</v>
      </c>
      <c r="E70" s="37" t="n">
        <f aca="false">IF(AND(E69=1,F70=1),1,0)</f>
        <v>0</v>
      </c>
      <c r="F70" s="37" t="n">
        <f aca="false">IF(AND(F69=1,G70=1),1,0)</f>
        <v>0</v>
      </c>
      <c r="G70" s="37" t="n">
        <f aca="false">IF(AND(G69=1,H70=1),1,0)</f>
        <v>0</v>
      </c>
      <c r="H70" s="37" t="n">
        <f aca="false">IF(AND(H69=1,I70=1),1,0)</f>
        <v>0</v>
      </c>
      <c r="I70" s="37" t="n">
        <f aca="false">IF(AND(I69=1,J70=1),1,0)</f>
        <v>0</v>
      </c>
      <c r="J70" s="37" t="n">
        <f aca="false">IF(AND(J69=1,K70=1),1,0)</f>
        <v>0</v>
      </c>
      <c r="K70" s="37" t="n">
        <f aca="false">IF(AND(K69=1,L70=1),1,0)</f>
        <v>0</v>
      </c>
      <c r="L70" s="37" t="n">
        <f aca="false">IF(AND(L69=1,M70=1),1,0)</f>
        <v>0</v>
      </c>
      <c r="M70" s="37" t="n">
        <f aca="false">IF(AND(M69=1,N70=1),1,0)</f>
        <v>0</v>
      </c>
      <c r="N70" s="37" t="n">
        <f aca="false">IF(AND(N69=1,O70=1),1,0)</f>
        <v>0</v>
      </c>
      <c r="O70" s="37" t="n">
        <f aca="false">IF(AND(O69=1,P70=1),1,0)</f>
        <v>0</v>
      </c>
      <c r="P70" s="37" t="n">
        <f aca="false">IF(AND(P69=1,Q70=1),1,0)</f>
        <v>0</v>
      </c>
      <c r="Q70" s="37" t="n">
        <f aca="false">IF(AND(Q69=1,R70=1),1,0)</f>
        <v>0</v>
      </c>
      <c r="R70" s="37" t="n">
        <f aca="false">IF(AND(R69=1,S70=1),1,0)</f>
        <v>0</v>
      </c>
      <c r="S70" s="37" t="n">
        <f aca="false">IF(AND(S69=1,T70=1),1,0)</f>
        <v>0</v>
      </c>
      <c r="T70" s="37" t="n">
        <f aca="false">IF(AND(T69=1,U70=1),1,0)</f>
        <v>0</v>
      </c>
      <c r="U70" s="37" t="n">
        <f aca="false">IF(AND(U69=1,V70=1),1,0)</f>
        <v>0</v>
      </c>
      <c r="V70" s="37" t="n">
        <f aca="false">IF(AND(V69=1,W70=1),1,0)</f>
        <v>0</v>
      </c>
      <c r="W70" s="37" t="n">
        <f aca="false">IF(AND(W69=1,X70=1),1,0)</f>
        <v>0</v>
      </c>
      <c r="X70" s="37" t="n">
        <f aca="false">IF(AND(X69=1,Y70=1),1,0)</f>
        <v>0</v>
      </c>
      <c r="Y70" s="37" t="n">
        <f aca="false">IF(AND(Y69=1,Z70=1),1,0)</f>
        <v>0</v>
      </c>
      <c r="Z70" s="37" t="n">
        <f aca="false">IF(AND(Z69=1,AA70=1),1,0)</f>
        <v>0</v>
      </c>
      <c r="AA70" s="37" t="n">
        <f aca="false">IF(AND(AA69=1,1=1),1,0)</f>
        <v>0</v>
      </c>
      <c r="AB70" s="2"/>
      <c r="AC70" s="2"/>
      <c r="AD70" s="2"/>
    </row>
    <row r="71" customFormat="false" ht="15" hidden="false" customHeight="false" outlineLevel="0" collapsed="false">
      <c r="A71" s="26" t="s">
        <v>325</v>
      </c>
      <c r="B71" s="2"/>
      <c r="C71" s="2"/>
      <c r="D71" s="37" t="n">
        <f aca="false">IF(D67&lt;Annahmen!$B$14*D65,1,0)</f>
        <v>0</v>
      </c>
      <c r="E71" s="37" t="n">
        <f aca="false">IF(E67&lt;Annahmen!$B$14*E65,1,0)</f>
        <v>0</v>
      </c>
      <c r="F71" s="37" t="n">
        <f aca="false">IF(F67&lt;Annahmen!$B$14*F65,1,0)</f>
        <v>0</v>
      </c>
      <c r="G71" s="37" t="n">
        <f aca="false">IF(G67&lt;Annahmen!$B$14*G65,1,0)</f>
        <v>0</v>
      </c>
      <c r="H71" s="37" t="n">
        <f aca="false">IF(H67&lt;Annahmen!$B$14*H65,1,0)</f>
        <v>0</v>
      </c>
      <c r="I71" s="37" t="n">
        <f aca="false">IF(I67&lt;Annahmen!$B$14*I65,1,0)</f>
        <v>0</v>
      </c>
      <c r="J71" s="37" t="n">
        <f aca="false">IF(J67&lt;Annahmen!$B$14*J65,1,0)</f>
        <v>0</v>
      </c>
      <c r="K71" s="37" t="n">
        <f aca="false">IF(K67&lt;Annahmen!$B$14*K65,1,0)</f>
        <v>0</v>
      </c>
      <c r="L71" s="37" t="n">
        <f aca="false">IF(L67&lt;Annahmen!$B$14*L65,1,0)</f>
        <v>0</v>
      </c>
      <c r="M71" s="37" t="n">
        <f aca="false">IF(M67&lt;Annahmen!$B$14*M65,1,0)</f>
        <v>0</v>
      </c>
      <c r="N71" s="37" t="n">
        <f aca="false">IF(N67&lt;Annahmen!$B$14*N65,1,0)</f>
        <v>0</v>
      </c>
      <c r="O71" s="37" t="n">
        <f aca="false">IF(O67&lt;Annahmen!$B$14*O65,1,0)</f>
        <v>0</v>
      </c>
      <c r="P71" s="37" t="n">
        <f aca="false">IF(P67&lt;Annahmen!$B$14*P65,1,0)</f>
        <v>0</v>
      </c>
      <c r="Q71" s="37" t="n">
        <f aca="false">IF(Q67&lt;Annahmen!$B$14*Q65,1,0)</f>
        <v>0</v>
      </c>
      <c r="R71" s="37" t="n">
        <f aca="false">IF(R67&lt;Annahmen!$B$14*R65,1,0)</f>
        <v>0</v>
      </c>
      <c r="S71" s="37" t="n">
        <f aca="false">IF(S67&lt;Annahmen!$B$14*S65,1,0)</f>
        <v>0</v>
      </c>
      <c r="T71" s="37" t="n">
        <f aca="false">IF(T67&lt;Annahmen!$B$14*T65,1,0)</f>
        <v>0</v>
      </c>
      <c r="U71" s="37" t="n">
        <f aca="false">IF(U67&lt;Annahmen!$B$14*U65,1,0)</f>
        <v>0</v>
      </c>
      <c r="V71" s="37" t="n">
        <f aca="false">IF(V67&lt;Annahmen!$B$14*V65,1,0)</f>
        <v>1</v>
      </c>
      <c r="W71" s="37" t="n">
        <f aca="false">IF(W67&lt;Annahmen!$B$14*W65,1,0)</f>
        <v>1</v>
      </c>
      <c r="X71" s="37" t="n">
        <f aca="false">IF(X67&lt;Annahmen!$B$14*X65,1,0)</f>
        <v>1</v>
      </c>
      <c r="Y71" s="37" t="n">
        <f aca="false">IF(Y67&lt;Annahmen!$B$14*Y65,1,0)</f>
        <v>1</v>
      </c>
      <c r="Z71" s="37" t="n">
        <f aca="false">IF(Z67&lt;Annahmen!$B$14*Z65,1,0)</f>
        <v>1</v>
      </c>
      <c r="AA71" s="37" t="n">
        <f aca="false">IF(AA67&lt;Annahmen!$B$14*AA65,1,0)</f>
        <v>1</v>
      </c>
      <c r="AB71" s="2"/>
      <c r="AC71" s="2"/>
      <c r="AD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customFormat="false" ht="15" hidden="false" customHeight="false" outlineLevel="0" collapsed="false">
      <c r="A73" s="4" t="s">
        <v>188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customFormat="false" ht="15" hidden="false" customHeight="false" outlineLevel="0" collapsed="false">
      <c r="A74" s="6" t="s">
        <v>306</v>
      </c>
      <c r="B74" s="2"/>
      <c r="C74" s="21" t="n">
        <f aca="false">'GuV 5 Jahre'!$C$34</f>
        <v>50544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customFormat="false" ht="15" hidden="false" customHeight="false" outlineLevel="0" collapsed="false">
      <c r="A75" s="6" t="s">
        <v>307</v>
      </c>
      <c r="B75" s="2"/>
      <c r="C75" s="21" t="n">
        <f aca="false">'GuV 5 Jahre'!$D$34</f>
        <v>285540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customFormat="false" ht="15" hidden="false" customHeight="false" outlineLevel="0" collapsed="false">
      <c r="A76" s="6" t="s">
        <v>308</v>
      </c>
      <c r="B76" s="2"/>
      <c r="C76" s="15" t="n">
        <f aca="false">C74*11.5/72</f>
        <v>8073</v>
      </c>
      <c r="D76" s="3" t="s">
        <v>309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customFormat="false" ht="15" hidden="false" customHeight="false" outlineLevel="0" collapsed="false">
      <c r="A77" s="6" t="s">
        <v>310</v>
      </c>
      <c r="B77" s="2"/>
      <c r="C77" s="15" t="n">
        <f aca="false">(C75-12*C76)/78</f>
        <v>2418.76923076923</v>
      </c>
      <c r="D77" s="3" t="s">
        <v>311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customFormat="false" ht="15" hidden="false" customHeight="false" outlineLevel="0" collapsed="false">
      <c r="A78" s="6" t="s">
        <v>312</v>
      </c>
      <c r="B78" s="2"/>
      <c r="C78" s="21" t="n">
        <f aca="false">'GuV 5 Jahre'!$C$35</f>
        <v>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customFormat="false" ht="15" hidden="false" customHeight="false" outlineLevel="0" collapsed="false">
      <c r="A79" s="6" t="s">
        <v>313</v>
      </c>
      <c r="B79" s="2"/>
      <c r="C79" s="21" t="n">
        <f aca="false">'GuV 5 Jahre'!$D$35</f>
        <v>50000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customFormat="false" ht="15" hidden="false" customHeight="false" outlineLevel="0" collapsed="false">
      <c r="A80" s="6" t="s">
        <v>314</v>
      </c>
      <c r="B80" s="2"/>
      <c r="C80" s="2"/>
      <c r="D80" s="15" t="n">
        <f aca="false">IF(D$27&lt;=12,$C$74*(D$27-0.5)/72,$C$76+$C$77*(D$27-12))</f>
        <v>351</v>
      </c>
      <c r="E80" s="15" t="n">
        <f aca="false">IF(E$27&lt;=12,$C$74*(E$27-0.5)/72,$C$76+$C$77*(E$27-12))</f>
        <v>1053</v>
      </c>
      <c r="F80" s="15" t="n">
        <f aca="false">IF(F$27&lt;=12,$C$74*(F$27-0.5)/72,$C$76+$C$77*(F$27-12))</f>
        <v>1755</v>
      </c>
      <c r="G80" s="15" t="n">
        <f aca="false">IF(G$27&lt;=12,$C$74*(G$27-0.5)/72,$C$76+$C$77*(G$27-12))</f>
        <v>2457</v>
      </c>
      <c r="H80" s="15" t="n">
        <f aca="false">IF(H$27&lt;=12,$C$74*(H$27-0.5)/72,$C$76+$C$77*(H$27-12))</f>
        <v>3159</v>
      </c>
      <c r="I80" s="15" t="n">
        <f aca="false">IF(I$27&lt;=12,$C$74*(I$27-0.5)/72,$C$76+$C$77*(I$27-12))</f>
        <v>3861</v>
      </c>
      <c r="J80" s="15" t="n">
        <f aca="false">IF(J$27&lt;=12,$C$74*(J$27-0.5)/72,$C$76+$C$77*(J$27-12))</f>
        <v>4563</v>
      </c>
      <c r="K80" s="15" t="n">
        <f aca="false">IF(K$27&lt;=12,$C$74*(K$27-0.5)/72,$C$76+$C$77*(K$27-12))</f>
        <v>5265</v>
      </c>
      <c r="L80" s="15" t="n">
        <f aca="false">IF(L$27&lt;=12,$C$74*(L$27-0.5)/72,$C$76+$C$77*(L$27-12))</f>
        <v>5967</v>
      </c>
      <c r="M80" s="15" t="n">
        <f aca="false">IF(M$27&lt;=12,$C$74*(M$27-0.5)/72,$C$76+$C$77*(M$27-12))</f>
        <v>6669</v>
      </c>
      <c r="N80" s="15" t="n">
        <f aca="false">IF(N$27&lt;=12,$C$74*(N$27-0.5)/72,$C$76+$C$77*(N$27-12))</f>
        <v>7371</v>
      </c>
      <c r="O80" s="15" t="n">
        <f aca="false">IF(O$27&lt;=12,$C$74*(O$27-0.5)/72,$C$76+$C$77*(O$27-12))</f>
        <v>8073</v>
      </c>
      <c r="P80" s="15" t="n">
        <f aca="false">IF(P$27&lt;=12,$C$74*(P$27-0.5)/72,$C$76+$C$77*(P$27-12))</f>
        <v>10491.7692307692</v>
      </c>
      <c r="Q80" s="15" t="n">
        <f aca="false">IF(Q$27&lt;=12,$C$74*(Q$27-0.5)/72,$C$76+$C$77*(Q$27-12))</f>
        <v>12910.5384615385</v>
      </c>
      <c r="R80" s="15" t="n">
        <f aca="false">IF(R$27&lt;=12,$C$74*(R$27-0.5)/72,$C$76+$C$77*(R$27-12))</f>
        <v>15329.3076923077</v>
      </c>
      <c r="S80" s="15" t="n">
        <f aca="false">IF(S$27&lt;=12,$C$74*(S$27-0.5)/72,$C$76+$C$77*(S$27-12))</f>
        <v>17748.0769230769</v>
      </c>
      <c r="T80" s="15" t="n">
        <f aca="false">IF(T$27&lt;=12,$C$74*(T$27-0.5)/72,$C$76+$C$77*(T$27-12))</f>
        <v>20166.8461538462</v>
      </c>
      <c r="U80" s="15" t="n">
        <f aca="false">IF(U$27&lt;=12,$C$74*(U$27-0.5)/72,$C$76+$C$77*(U$27-12))</f>
        <v>22585.6153846154</v>
      </c>
      <c r="V80" s="15" t="n">
        <f aca="false">IF(V$27&lt;=12,$C$74*(V$27-0.5)/72,$C$76+$C$77*(V$27-12))</f>
        <v>25004.3846153846</v>
      </c>
      <c r="W80" s="15" t="n">
        <f aca="false">IF(W$27&lt;=12,$C$74*(W$27-0.5)/72,$C$76+$C$77*(W$27-12))</f>
        <v>27423.1538461538</v>
      </c>
      <c r="X80" s="15" t="n">
        <f aca="false">IF(X$27&lt;=12,$C$74*(X$27-0.5)/72,$C$76+$C$77*(X$27-12))</f>
        <v>29841.9230769231</v>
      </c>
      <c r="Y80" s="15" t="n">
        <f aca="false">IF(Y$27&lt;=12,$C$74*(Y$27-0.5)/72,$C$76+$C$77*(Y$27-12))</f>
        <v>32260.6923076923</v>
      </c>
      <c r="Z80" s="15" t="n">
        <f aca="false">IF(Z$27&lt;=12,$C$74*(Z$27-0.5)/72,$C$76+$C$77*(Z$27-12))</f>
        <v>34679.4615384615</v>
      </c>
      <c r="AA80" s="15" t="n">
        <f aca="false">IF(AA$27&lt;=12,$C$74*(AA$27-0.5)/72,$C$76+$C$77*(AA$27-12))</f>
        <v>37098.2307692308</v>
      </c>
      <c r="AB80" s="15" t="n">
        <f aca="false">SUM(D80:O80)</f>
        <v>50544</v>
      </c>
      <c r="AC80" s="15" t="n">
        <f aca="false">SUM(P80:AA80)</f>
        <v>285540</v>
      </c>
      <c r="AD80" s="15" t="n">
        <f aca="false">SUM(D80:U80)</f>
        <v>149776.153846154</v>
      </c>
    </row>
    <row r="81" customFormat="false" ht="15" hidden="false" customHeight="false" outlineLevel="0" collapsed="false">
      <c r="A81" s="6" t="s">
        <v>315</v>
      </c>
      <c r="B81" s="2"/>
      <c r="C81" s="2"/>
      <c r="D81" s="21" t="n">
        <f aca="false">IF(D$27=Annahmen!$B$9,$C$78,0)+IF(D$27=12+Annahmen!$B$9,$C$79,0)</f>
        <v>0</v>
      </c>
      <c r="E81" s="21" t="n">
        <f aca="false">IF(E$27=Annahmen!$B$9,$C$78,0)+IF(E$27=12+Annahmen!$B$9,$C$79,0)</f>
        <v>0</v>
      </c>
      <c r="F81" s="21" t="n">
        <f aca="false">IF(F$27=Annahmen!$B$9,$C$78,0)+IF(F$27=12+Annahmen!$B$9,$C$79,0)</f>
        <v>0</v>
      </c>
      <c r="G81" s="21" t="n">
        <f aca="false">IF(G$27=Annahmen!$B$9,$C$78,0)+IF(G$27=12+Annahmen!$B$9,$C$79,0)</f>
        <v>0</v>
      </c>
      <c r="H81" s="21" t="n">
        <f aca="false">IF(H$27=Annahmen!$B$9,$C$78,0)+IF(H$27=12+Annahmen!$B$9,$C$79,0)</f>
        <v>0</v>
      </c>
      <c r="I81" s="21" t="n">
        <f aca="false">IF(I$27=Annahmen!$B$9,$C$78,0)+IF(I$27=12+Annahmen!$B$9,$C$79,0)</f>
        <v>0</v>
      </c>
      <c r="J81" s="21" t="n">
        <f aca="false">IF(J$27=Annahmen!$B$9,$C$78,0)+IF(J$27=12+Annahmen!$B$9,$C$79,0)</f>
        <v>0</v>
      </c>
      <c r="K81" s="21" t="n">
        <f aca="false">IF(K$27=Annahmen!$B$9,$C$78,0)+IF(K$27=12+Annahmen!$B$9,$C$79,0)</f>
        <v>0</v>
      </c>
      <c r="L81" s="21" t="n">
        <f aca="false">IF(L$27=Annahmen!$B$9,$C$78,0)+IF(L$27=12+Annahmen!$B$9,$C$79,0)</f>
        <v>0</v>
      </c>
      <c r="M81" s="21" t="n">
        <f aca="false">IF(M$27=Annahmen!$B$9,$C$78,0)+IF(M$27=12+Annahmen!$B$9,$C$79,0)</f>
        <v>0</v>
      </c>
      <c r="N81" s="21" t="n">
        <f aca="false">IF(N$27=Annahmen!$B$9,$C$78,0)+IF(N$27=12+Annahmen!$B$9,$C$79,0)</f>
        <v>0</v>
      </c>
      <c r="O81" s="21" t="n">
        <f aca="false">IF(O$27=Annahmen!$B$9,$C$78,0)+IF(O$27=12+Annahmen!$B$9,$C$79,0)</f>
        <v>0</v>
      </c>
      <c r="P81" s="21" t="n">
        <f aca="false">IF(P$27=Annahmen!$B$9,$C$78,0)+IF(P$27=12+Annahmen!$B$9,$C$79,0)</f>
        <v>0</v>
      </c>
      <c r="Q81" s="21" t="n">
        <f aca="false">IF(Q$27=Annahmen!$B$9,$C$78,0)+IF(Q$27=12+Annahmen!$B$9,$C$79,0)</f>
        <v>0</v>
      </c>
      <c r="R81" s="21" t="n">
        <f aca="false">IF(R$27=Annahmen!$B$9,$C$78,0)+IF(R$27=12+Annahmen!$B$9,$C$79,0)</f>
        <v>0</v>
      </c>
      <c r="S81" s="21" t="n">
        <f aca="false">IF(S$27=Annahmen!$B$9,$C$78,0)+IF(S$27=12+Annahmen!$B$9,$C$79,0)</f>
        <v>0</v>
      </c>
      <c r="T81" s="21" t="n">
        <f aca="false">IF(T$27=Annahmen!$B$9,$C$78,0)+IF(T$27=12+Annahmen!$B$9,$C$79,0)</f>
        <v>0</v>
      </c>
      <c r="U81" s="21" t="n">
        <f aca="false">IF(U$27=Annahmen!$B$9,$C$78,0)+IF(U$27=12+Annahmen!$B$9,$C$79,0)</f>
        <v>0</v>
      </c>
      <c r="V81" s="21" t="n">
        <f aca="false">IF(V$27=Annahmen!$B$9,$C$78,0)+IF(V$27=12+Annahmen!$B$9,$C$79,0)</f>
        <v>0</v>
      </c>
      <c r="W81" s="21" t="n">
        <f aca="false">IF(W$27=Annahmen!$B$9,$C$78,0)+IF(W$27=12+Annahmen!$B$9,$C$79,0)</f>
        <v>0</v>
      </c>
      <c r="X81" s="21" t="n">
        <f aca="false">IF(X$27=Annahmen!$B$9,$C$78,0)+IF(X$27=12+Annahmen!$B$9,$C$79,0)</f>
        <v>0</v>
      </c>
      <c r="Y81" s="21" t="n">
        <f aca="false">IF(Y$27=Annahmen!$B$9,$C$78,0)+IF(Y$27=12+Annahmen!$B$9,$C$79,0)</f>
        <v>50000</v>
      </c>
      <c r="Z81" s="21" t="n">
        <f aca="false">IF(Z$27=Annahmen!$B$9,$C$78,0)+IF(Z$27=12+Annahmen!$B$9,$C$79,0)</f>
        <v>0</v>
      </c>
      <c r="AA81" s="21" t="n">
        <f aca="false">IF(AA$27=Annahmen!$B$9,$C$78,0)+IF(AA$27=12+Annahmen!$B$9,$C$79,0)</f>
        <v>0</v>
      </c>
      <c r="AB81" s="15" t="n">
        <f aca="false">SUM(D81:O81)</f>
        <v>0</v>
      </c>
      <c r="AC81" s="15" t="n">
        <f aca="false">SUM(P81:AA81)</f>
        <v>50000</v>
      </c>
      <c r="AD81" s="15" t="n">
        <f aca="false">SUM(D81:U81)</f>
        <v>0</v>
      </c>
    </row>
    <row r="82" customFormat="false" ht="15" hidden="false" customHeight="false" outlineLevel="0" collapsed="false">
      <c r="A82" s="16" t="s">
        <v>176</v>
      </c>
      <c r="B82" s="2"/>
      <c r="C82" s="2"/>
      <c r="D82" s="17" t="n">
        <f aca="false">D80+D81</f>
        <v>351</v>
      </c>
      <c r="E82" s="17" t="n">
        <f aca="false">E80+E81</f>
        <v>1053</v>
      </c>
      <c r="F82" s="17" t="n">
        <f aca="false">F80+F81</f>
        <v>1755</v>
      </c>
      <c r="G82" s="17" t="n">
        <f aca="false">G80+G81</f>
        <v>2457</v>
      </c>
      <c r="H82" s="17" t="n">
        <f aca="false">H80+H81</f>
        <v>3159</v>
      </c>
      <c r="I82" s="17" t="n">
        <f aca="false">I80+I81</f>
        <v>3861</v>
      </c>
      <c r="J82" s="17" t="n">
        <f aca="false">J80+J81</f>
        <v>4563</v>
      </c>
      <c r="K82" s="17" t="n">
        <f aca="false">K80+K81</f>
        <v>5265</v>
      </c>
      <c r="L82" s="17" t="n">
        <f aca="false">L80+L81</f>
        <v>5967</v>
      </c>
      <c r="M82" s="17" t="n">
        <f aca="false">M80+M81</f>
        <v>6669</v>
      </c>
      <c r="N82" s="17" t="n">
        <f aca="false">N80+N81</f>
        <v>7371</v>
      </c>
      <c r="O82" s="17" t="n">
        <f aca="false">O80+O81</f>
        <v>8073</v>
      </c>
      <c r="P82" s="17" t="n">
        <f aca="false">P80+P81</f>
        <v>10491.7692307692</v>
      </c>
      <c r="Q82" s="17" t="n">
        <f aca="false">Q80+Q81</f>
        <v>12910.5384615385</v>
      </c>
      <c r="R82" s="17" t="n">
        <f aca="false">R80+R81</f>
        <v>15329.3076923077</v>
      </c>
      <c r="S82" s="17" t="n">
        <f aca="false">S80+S81</f>
        <v>17748.0769230769</v>
      </c>
      <c r="T82" s="17" t="n">
        <f aca="false">T80+T81</f>
        <v>20166.8461538462</v>
      </c>
      <c r="U82" s="17" t="n">
        <f aca="false">U80+U81</f>
        <v>22585.6153846154</v>
      </c>
      <c r="V82" s="17" t="n">
        <f aca="false">V80+V81</f>
        <v>25004.3846153846</v>
      </c>
      <c r="W82" s="17" t="n">
        <f aca="false">W80+W81</f>
        <v>27423.1538461538</v>
      </c>
      <c r="X82" s="17" t="n">
        <f aca="false">X80+X81</f>
        <v>29841.9230769231</v>
      </c>
      <c r="Y82" s="17" t="n">
        <f aca="false">Y80+Y81</f>
        <v>82260.6923076923</v>
      </c>
      <c r="Z82" s="17" t="n">
        <f aca="false">Z80+Z81</f>
        <v>34679.4615384615</v>
      </c>
      <c r="AA82" s="17" t="n">
        <f aca="false">AA80+AA81</f>
        <v>37098.2307692308</v>
      </c>
      <c r="AB82" s="15" t="n">
        <f aca="false">SUM(D82:O82)</f>
        <v>50544</v>
      </c>
      <c r="AC82" s="15" t="n">
        <f aca="false">SUM(P82:AA82)</f>
        <v>335540</v>
      </c>
      <c r="AD82" s="15" t="n">
        <f aca="false">SUM(D82:U82)</f>
        <v>149776.153846154</v>
      </c>
    </row>
    <row r="83" customFormat="false" ht="15" hidden="false" customHeight="false" outlineLevel="0" collapsed="false">
      <c r="A83" s="6" t="s">
        <v>316</v>
      </c>
      <c r="B83" s="2"/>
      <c r="C83" s="2"/>
      <c r="D83" s="15" t="n">
        <f aca="false">D$39</f>
        <v>13000</v>
      </c>
      <c r="E83" s="15" t="n">
        <f aca="false">E$39</f>
        <v>5000</v>
      </c>
      <c r="F83" s="15" t="n">
        <f aca="false">F$39</f>
        <v>10500</v>
      </c>
      <c r="G83" s="15" t="n">
        <f aca="false">G$39</f>
        <v>13625</v>
      </c>
      <c r="H83" s="15" t="n">
        <f aca="false">H$39</f>
        <v>13625</v>
      </c>
      <c r="I83" s="15" t="n">
        <f aca="false">I$39</f>
        <v>13625</v>
      </c>
      <c r="J83" s="15" t="n">
        <f aca="false">J$39</f>
        <v>14625</v>
      </c>
      <c r="K83" s="15" t="n">
        <f aca="false">K$39</f>
        <v>14625</v>
      </c>
      <c r="L83" s="15" t="n">
        <f aca="false">L$39</f>
        <v>16625</v>
      </c>
      <c r="M83" s="15" t="n">
        <f aca="false">M$39</f>
        <v>14625</v>
      </c>
      <c r="N83" s="15" t="n">
        <f aca="false">N$39</f>
        <v>14625</v>
      </c>
      <c r="O83" s="15" t="n">
        <f aca="false">O$39</f>
        <v>14625</v>
      </c>
      <c r="P83" s="15" t="n">
        <f aca="false">P$39</f>
        <v>14625</v>
      </c>
      <c r="Q83" s="15" t="n">
        <f aca="false">Q$39</f>
        <v>14625</v>
      </c>
      <c r="R83" s="15" t="n">
        <f aca="false">R$39</f>
        <v>14625</v>
      </c>
      <c r="S83" s="15" t="n">
        <f aca="false">S$39</f>
        <v>11500</v>
      </c>
      <c r="T83" s="15" t="n">
        <f aca="false">T$39</f>
        <v>11500</v>
      </c>
      <c r="U83" s="15" t="n">
        <f aca="false">U$39</f>
        <v>11500</v>
      </c>
      <c r="V83" s="15" t="n">
        <f aca="false">V$39</f>
        <v>0</v>
      </c>
      <c r="W83" s="15" t="n">
        <f aca="false">W$39</f>
        <v>0</v>
      </c>
      <c r="X83" s="15" t="n">
        <f aca="false">X$39</f>
        <v>0</v>
      </c>
      <c r="Y83" s="15" t="n">
        <f aca="false">Y$39</f>
        <v>0</v>
      </c>
      <c r="Z83" s="15" t="n">
        <f aca="false">Z$39</f>
        <v>0</v>
      </c>
      <c r="AA83" s="15" t="n">
        <f aca="false">AA$39</f>
        <v>0</v>
      </c>
      <c r="AB83" s="15" t="n">
        <f aca="false">SUM(D83:O83)</f>
        <v>159125</v>
      </c>
      <c r="AC83" s="15" t="n">
        <f aca="false">SUM(P83:AA83)</f>
        <v>78375</v>
      </c>
      <c r="AD83" s="15" t="n">
        <f aca="false">SUM(D83:U83)</f>
        <v>237500</v>
      </c>
    </row>
    <row r="84" customFormat="false" ht="15" hidden="false" customHeight="false" outlineLevel="0" collapsed="false">
      <c r="A84" s="6" t="s">
        <v>317</v>
      </c>
      <c r="B84" s="2"/>
      <c r="C84" s="2"/>
      <c r="D84" s="21" t="n">
        <f aca="false">D$48*Annahmen!$D$47</f>
        <v>0</v>
      </c>
      <c r="E84" s="21" t="n">
        <f aca="false">E$48*Annahmen!$D$47</f>
        <v>0</v>
      </c>
      <c r="F84" s="21" t="n">
        <f aca="false">F$48*Annahmen!$D$47</f>
        <v>0</v>
      </c>
      <c r="G84" s="21" t="n">
        <f aca="false">G$48*Annahmen!$D$47</f>
        <v>0</v>
      </c>
      <c r="H84" s="21" t="n">
        <f aca="false">H$48*Annahmen!$D$47</f>
        <v>0</v>
      </c>
      <c r="I84" s="21" t="n">
        <f aca="false">I$48*Annahmen!$D$47</f>
        <v>0</v>
      </c>
      <c r="J84" s="21" t="n">
        <f aca="false">J$48*Annahmen!$D$47</f>
        <v>0</v>
      </c>
      <c r="K84" s="21" t="n">
        <f aca="false">K$48*Annahmen!$D$47</f>
        <v>0</v>
      </c>
      <c r="L84" s="21" t="n">
        <f aca="false">L$48*Annahmen!$D$47</f>
        <v>0</v>
      </c>
      <c r="M84" s="21" t="n">
        <f aca="false">M$48*Annahmen!$D$47</f>
        <v>0</v>
      </c>
      <c r="N84" s="21" t="n">
        <f aca="false">N$48*Annahmen!$D$47</f>
        <v>0</v>
      </c>
      <c r="O84" s="21" t="n">
        <f aca="false">O$48*Annahmen!$D$47</f>
        <v>0</v>
      </c>
      <c r="P84" s="21" t="n">
        <f aca="false">P$48*Annahmen!$D$47</f>
        <v>0</v>
      </c>
      <c r="Q84" s="21" t="n">
        <f aca="false">Q$48*Annahmen!$D$47</f>
        <v>0</v>
      </c>
      <c r="R84" s="21" t="n">
        <f aca="false">R$48*Annahmen!$D$47</f>
        <v>0</v>
      </c>
      <c r="S84" s="21" t="n">
        <f aca="false">S$48*Annahmen!$D$47</f>
        <v>0</v>
      </c>
      <c r="T84" s="21" t="n">
        <f aca="false">T$48*Annahmen!$D$47</f>
        <v>0</v>
      </c>
      <c r="U84" s="21" t="n">
        <f aca="false">U$48*Annahmen!$D$47</f>
        <v>0</v>
      </c>
      <c r="V84" s="21" t="n">
        <f aca="false">V$48*Annahmen!$D$47</f>
        <v>31083.3333333333</v>
      </c>
      <c r="W84" s="21" t="n">
        <f aca="false">W$48*Annahmen!$D$47</f>
        <v>31083.3333333333</v>
      </c>
      <c r="X84" s="21" t="n">
        <f aca="false">X$48*Annahmen!$D$47</f>
        <v>31083.3333333333</v>
      </c>
      <c r="Y84" s="21" t="n">
        <f aca="false">Y$48*Annahmen!$D$47</f>
        <v>31083.3333333333</v>
      </c>
      <c r="Z84" s="21" t="n">
        <f aca="false">Z$48*Annahmen!$D$47</f>
        <v>31083.3333333333</v>
      </c>
      <c r="AA84" s="21" t="n">
        <f aca="false">AA$48*Annahmen!$D$47</f>
        <v>31083.3333333333</v>
      </c>
      <c r="AB84" s="15" t="n">
        <f aca="false">SUM(D84:O84)</f>
        <v>0</v>
      </c>
      <c r="AC84" s="15" t="n">
        <f aca="false">SUM(P84:AA84)</f>
        <v>186500</v>
      </c>
      <c r="AD84" s="15" t="n">
        <f aca="false">SUM(D84:U84)</f>
        <v>0</v>
      </c>
    </row>
    <row r="85" customFormat="false" ht="15" hidden="false" customHeight="false" outlineLevel="0" collapsed="false">
      <c r="A85" s="6" t="s">
        <v>318</v>
      </c>
      <c r="B85" s="2"/>
      <c r="C85" s="2"/>
      <c r="D85" s="21" t="n">
        <f aca="false">Annahmen!$B$7+Annahmen!$B$8*D82</f>
        <v>278.08</v>
      </c>
      <c r="E85" s="21" t="n">
        <f aca="false">Annahmen!$B$7+Annahmen!$B$8*E82</f>
        <v>334.24</v>
      </c>
      <c r="F85" s="21" t="n">
        <f aca="false">Annahmen!$B$7+Annahmen!$B$8*F82</f>
        <v>390.4</v>
      </c>
      <c r="G85" s="21" t="n">
        <f aca="false">Annahmen!$B$7+Annahmen!$B$8*G82</f>
        <v>446.56</v>
      </c>
      <c r="H85" s="21" t="n">
        <f aca="false">Annahmen!$B$7+Annahmen!$B$8*H82</f>
        <v>502.72</v>
      </c>
      <c r="I85" s="21" t="n">
        <f aca="false">Annahmen!$B$7+Annahmen!$B$8*I82</f>
        <v>558.88</v>
      </c>
      <c r="J85" s="21" t="n">
        <f aca="false">Annahmen!$B$7+Annahmen!$B$8*J82</f>
        <v>615.04</v>
      </c>
      <c r="K85" s="21" t="n">
        <f aca="false">Annahmen!$B$7+Annahmen!$B$8*K82</f>
        <v>671.2</v>
      </c>
      <c r="L85" s="21" t="n">
        <f aca="false">Annahmen!$B$7+Annahmen!$B$8*L82</f>
        <v>727.36</v>
      </c>
      <c r="M85" s="21" t="n">
        <f aca="false">Annahmen!$B$7+Annahmen!$B$8*M82</f>
        <v>783.52</v>
      </c>
      <c r="N85" s="21" t="n">
        <f aca="false">Annahmen!$B$7+Annahmen!$B$8*N82</f>
        <v>839.68</v>
      </c>
      <c r="O85" s="21" t="n">
        <f aca="false">Annahmen!$B$7+Annahmen!$B$8*O82</f>
        <v>895.84</v>
      </c>
      <c r="P85" s="21" t="n">
        <f aca="false">Annahmen!$B$7+Annahmen!$B$8*P82</f>
        <v>1089.34153846154</v>
      </c>
      <c r="Q85" s="21" t="n">
        <f aca="false">Annahmen!$B$7+Annahmen!$B$8*Q82</f>
        <v>1282.84307692308</v>
      </c>
      <c r="R85" s="21" t="n">
        <f aca="false">Annahmen!$B$7+Annahmen!$B$8*R82</f>
        <v>1476.34461538462</v>
      </c>
      <c r="S85" s="21" t="n">
        <f aca="false">Annahmen!$B$7+Annahmen!$B$8*S82</f>
        <v>1669.84615384615</v>
      </c>
      <c r="T85" s="21" t="n">
        <f aca="false">Annahmen!$B$7+Annahmen!$B$8*T82</f>
        <v>1863.34769230769</v>
      </c>
      <c r="U85" s="21" t="n">
        <f aca="false">Annahmen!$B$7+Annahmen!$B$8*U82</f>
        <v>2056.84923076923</v>
      </c>
      <c r="V85" s="21" t="n">
        <f aca="false">Annahmen!$B$7+Annahmen!$B$8*V82</f>
        <v>2250.35076923077</v>
      </c>
      <c r="W85" s="21" t="n">
        <f aca="false">Annahmen!$B$7+Annahmen!$B$8*W82</f>
        <v>2443.85230769231</v>
      </c>
      <c r="X85" s="21" t="n">
        <f aca="false">Annahmen!$B$7+Annahmen!$B$8*X82</f>
        <v>2637.35384615385</v>
      </c>
      <c r="Y85" s="21" t="n">
        <f aca="false">Annahmen!$B$7+Annahmen!$B$8*Y82</f>
        <v>6830.85538461539</v>
      </c>
      <c r="Z85" s="21" t="n">
        <f aca="false">Annahmen!$B$7+Annahmen!$B$8*Z82</f>
        <v>3024.35692307692</v>
      </c>
      <c r="AA85" s="21" t="n">
        <f aca="false">Annahmen!$B$7+Annahmen!$B$8*AA82</f>
        <v>3217.85846153846</v>
      </c>
      <c r="AB85" s="15" t="n">
        <f aca="false">SUM(D85:O85)</f>
        <v>7043.52</v>
      </c>
      <c r="AC85" s="15" t="n">
        <f aca="false">SUM(P85:AA85)</f>
        <v>29843.2</v>
      </c>
      <c r="AD85" s="15" t="n">
        <f aca="false">SUM(D85:U85)</f>
        <v>16482.0923076923</v>
      </c>
    </row>
    <row r="86" customFormat="false" ht="15" hidden="false" customHeight="false" outlineLevel="0" collapsed="false">
      <c r="A86" s="16" t="s">
        <v>319</v>
      </c>
      <c r="B86" s="2"/>
      <c r="C86" s="2"/>
      <c r="D86" s="17" t="n">
        <f aca="false">D83+D84+D85</f>
        <v>13278.08</v>
      </c>
      <c r="E86" s="17" t="n">
        <f aca="false">E83+E84+E85</f>
        <v>5334.24</v>
      </c>
      <c r="F86" s="17" t="n">
        <f aca="false">F83+F84+F85</f>
        <v>10890.4</v>
      </c>
      <c r="G86" s="17" t="n">
        <f aca="false">G83+G84+G85</f>
        <v>14071.56</v>
      </c>
      <c r="H86" s="17" t="n">
        <f aca="false">H83+H84+H85</f>
        <v>14127.72</v>
      </c>
      <c r="I86" s="17" t="n">
        <f aca="false">I83+I84+I85</f>
        <v>14183.88</v>
      </c>
      <c r="J86" s="17" t="n">
        <f aca="false">J83+J84+J85</f>
        <v>15240.04</v>
      </c>
      <c r="K86" s="17" t="n">
        <f aca="false">K83+K84+K85</f>
        <v>15296.2</v>
      </c>
      <c r="L86" s="17" t="n">
        <f aca="false">L83+L84+L85</f>
        <v>17352.36</v>
      </c>
      <c r="M86" s="17" t="n">
        <f aca="false">M83+M84+M85</f>
        <v>15408.52</v>
      </c>
      <c r="N86" s="17" t="n">
        <f aca="false">N83+N84+N85</f>
        <v>15464.68</v>
      </c>
      <c r="O86" s="17" t="n">
        <f aca="false">O83+O84+O85</f>
        <v>15520.84</v>
      </c>
      <c r="P86" s="17" t="n">
        <f aca="false">P83+P84+P85</f>
        <v>15714.3415384615</v>
      </c>
      <c r="Q86" s="17" t="n">
        <f aca="false">Q83+Q84+Q85</f>
        <v>15907.8430769231</v>
      </c>
      <c r="R86" s="17" t="n">
        <f aca="false">R83+R84+R85</f>
        <v>16101.3446153846</v>
      </c>
      <c r="S86" s="17" t="n">
        <f aca="false">S83+S84+S85</f>
        <v>13169.8461538462</v>
      </c>
      <c r="T86" s="17" t="n">
        <f aca="false">T83+T84+T85</f>
        <v>13363.3476923077</v>
      </c>
      <c r="U86" s="17" t="n">
        <f aca="false">U83+U84+U85</f>
        <v>13556.8492307692</v>
      </c>
      <c r="V86" s="17" t="n">
        <f aca="false">V83+V84+V85</f>
        <v>33333.6841025641</v>
      </c>
      <c r="W86" s="17" t="n">
        <f aca="false">W83+W84+W85</f>
        <v>33527.1856410256</v>
      </c>
      <c r="X86" s="17" t="n">
        <f aca="false">X83+X84+X85</f>
        <v>33720.6871794872</v>
      </c>
      <c r="Y86" s="17" t="n">
        <f aca="false">Y83+Y84+Y85</f>
        <v>37914.1887179487</v>
      </c>
      <c r="Z86" s="17" t="n">
        <f aca="false">Z83+Z84+Z85</f>
        <v>34107.6902564103</v>
      </c>
      <c r="AA86" s="17" t="n">
        <f aca="false">AA83+AA84+AA85</f>
        <v>34301.1917948718</v>
      </c>
      <c r="AB86" s="15" t="n">
        <f aca="false">SUM(D86:O86)</f>
        <v>166168.52</v>
      </c>
      <c r="AC86" s="15" t="n">
        <f aca="false">SUM(P86:AA86)</f>
        <v>294718.2</v>
      </c>
      <c r="AD86" s="15" t="n">
        <f aca="false">SUM(D86:U86)</f>
        <v>253982.092307692</v>
      </c>
    </row>
    <row r="87" customFormat="false" ht="15" hidden="false" customHeight="false" outlineLevel="0" collapsed="false">
      <c r="A87" s="6" t="s">
        <v>320</v>
      </c>
      <c r="B87" s="2"/>
      <c r="C87" s="2"/>
      <c r="D87" s="15" t="n">
        <f aca="false">D82-D86</f>
        <v>-12927.08</v>
      </c>
      <c r="E87" s="15" t="n">
        <f aca="false">E82-E86</f>
        <v>-4281.24</v>
      </c>
      <c r="F87" s="15" t="n">
        <f aca="false">F82-F86</f>
        <v>-9135.4</v>
      </c>
      <c r="G87" s="15" t="n">
        <f aca="false">G82-G86</f>
        <v>-11614.56</v>
      </c>
      <c r="H87" s="15" t="n">
        <f aca="false">H82-H86</f>
        <v>-10968.72</v>
      </c>
      <c r="I87" s="15" t="n">
        <f aca="false">I82-I86</f>
        <v>-10322.88</v>
      </c>
      <c r="J87" s="15" t="n">
        <f aca="false">J82-J86</f>
        <v>-10677.04</v>
      </c>
      <c r="K87" s="15" t="n">
        <f aca="false">K82-K86</f>
        <v>-10031.2</v>
      </c>
      <c r="L87" s="15" t="n">
        <f aca="false">L82-L86</f>
        <v>-11385.36</v>
      </c>
      <c r="M87" s="15" t="n">
        <f aca="false">M82-M86</f>
        <v>-8739.52</v>
      </c>
      <c r="N87" s="15" t="n">
        <f aca="false">N82-N86</f>
        <v>-8093.68</v>
      </c>
      <c r="O87" s="15" t="n">
        <f aca="false">O82-O86</f>
        <v>-7447.84</v>
      </c>
      <c r="P87" s="15" t="n">
        <f aca="false">P82-P86</f>
        <v>-5222.57230769231</v>
      </c>
      <c r="Q87" s="15" t="n">
        <f aca="false">Q82-Q86</f>
        <v>-2997.30461538462</v>
      </c>
      <c r="R87" s="15" t="n">
        <f aca="false">R82-R86</f>
        <v>-772.036923076923</v>
      </c>
      <c r="S87" s="15" t="n">
        <f aca="false">S82-S86</f>
        <v>4578.23076923077</v>
      </c>
      <c r="T87" s="15" t="n">
        <f aca="false">T82-T86</f>
        <v>6803.49846153846</v>
      </c>
      <c r="U87" s="15" t="n">
        <f aca="false">U82-U86</f>
        <v>9028.76615384616</v>
      </c>
      <c r="V87" s="15" t="n">
        <f aca="false">V82-V86</f>
        <v>-8329.29948717949</v>
      </c>
      <c r="W87" s="15" t="n">
        <f aca="false">W82-W86</f>
        <v>-6104.0317948718</v>
      </c>
      <c r="X87" s="15" t="n">
        <f aca="false">X82-X86</f>
        <v>-3878.76410256411</v>
      </c>
      <c r="Y87" s="15" t="n">
        <f aca="false">Y82-Y86</f>
        <v>44346.5035897436</v>
      </c>
      <c r="Z87" s="15" t="n">
        <f aca="false">Z82-Z86</f>
        <v>571.771282051283</v>
      </c>
      <c r="AA87" s="15" t="n">
        <f aca="false">AA82-AA86</f>
        <v>2797.03897435898</v>
      </c>
      <c r="AB87" s="15" t="n">
        <f aca="false">SUM(D87:O87)</f>
        <v>-115624.52</v>
      </c>
      <c r="AC87" s="15" t="n">
        <f aca="false">SUM(P87:AA87)</f>
        <v>40821.8</v>
      </c>
      <c r="AD87" s="15" t="n">
        <f aca="false">SUM(D87:U87)</f>
        <v>-104205.938461538</v>
      </c>
    </row>
    <row r="88" customFormat="false" ht="15" hidden="false" customHeight="false" outlineLevel="0" collapsed="false">
      <c r="A88" s="16" t="s">
        <v>321</v>
      </c>
      <c r="B88" s="2"/>
      <c r="C88" s="2"/>
      <c r="D88" s="36" t="n">
        <f aca="false">Annahmen!$B$6+D87</f>
        <v>237072.92</v>
      </c>
      <c r="E88" s="22" t="n">
        <f aca="false">D88+E87</f>
        <v>232791.68</v>
      </c>
      <c r="F88" s="22" t="n">
        <f aca="false">E88+F87</f>
        <v>223656.28</v>
      </c>
      <c r="G88" s="22" t="n">
        <f aca="false">F88+G87</f>
        <v>212041.72</v>
      </c>
      <c r="H88" s="22" t="n">
        <f aca="false">G88+H87</f>
        <v>201073</v>
      </c>
      <c r="I88" s="22" t="n">
        <f aca="false">H88+I87</f>
        <v>190750.12</v>
      </c>
      <c r="J88" s="22" t="n">
        <f aca="false">I88+J87</f>
        <v>180073.08</v>
      </c>
      <c r="K88" s="22" t="n">
        <f aca="false">J88+K87</f>
        <v>170041.88</v>
      </c>
      <c r="L88" s="22" t="n">
        <f aca="false">K88+L87</f>
        <v>158656.52</v>
      </c>
      <c r="M88" s="22" t="n">
        <f aca="false">L88+M87</f>
        <v>149917</v>
      </c>
      <c r="N88" s="22" t="n">
        <f aca="false">M88+N87</f>
        <v>141823.32</v>
      </c>
      <c r="O88" s="22" t="n">
        <f aca="false">N88+O87</f>
        <v>134375.48</v>
      </c>
      <c r="P88" s="22" t="n">
        <f aca="false">O88+P87</f>
        <v>129152.907692308</v>
      </c>
      <c r="Q88" s="22" t="n">
        <f aca="false">P88+Q87</f>
        <v>126155.603076923</v>
      </c>
      <c r="R88" s="22" t="n">
        <f aca="false">Q88+R87</f>
        <v>125383.566153846</v>
      </c>
      <c r="S88" s="22" t="n">
        <f aca="false">R88+S87</f>
        <v>129961.796923077</v>
      </c>
      <c r="T88" s="22" t="n">
        <f aca="false">S88+T87</f>
        <v>136765.295384615</v>
      </c>
      <c r="U88" s="22" t="n">
        <f aca="false">T88+U87</f>
        <v>145794.061538462</v>
      </c>
      <c r="V88" s="22" t="n">
        <f aca="false">U88+V87</f>
        <v>137464.762051282</v>
      </c>
      <c r="W88" s="22" t="n">
        <f aca="false">V88+W87</f>
        <v>131360.73025641</v>
      </c>
      <c r="X88" s="22" t="n">
        <f aca="false">W88+X87</f>
        <v>127481.966153846</v>
      </c>
      <c r="Y88" s="22" t="n">
        <f aca="false">X88+Y87</f>
        <v>171828.46974359</v>
      </c>
      <c r="Z88" s="22" t="n">
        <f aca="false">Y88+Z87</f>
        <v>172400.241025641</v>
      </c>
      <c r="AA88" s="22" t="n">
        <f aca="false">Z88+AA87</f>
        <v>175197.28</v>
      </c>
      <c r="AB88" s="2"/>
      <c r="AC88" s="2"/>
      <c r="AD88" s="2"/>
    </row>
    <row r="89" customFormat="false" ht="15" hidden="false" customHeight="false" outlineLevel="0" collapsed="false">
      <c r="A89" s="26" t="s">
        <v>322</v>
      </c>
      <c r="B89" s="2"/>
      <c r="C89" s="2"/>
      <c r="D89" s="37" t="n">
        <f aca="false">IF(D88&lt;0,1,0)</f>
        <v>0</v>
      </c>
      <c r="E89" s="37" t="n">
        <f aca="false">IF(E88&lt;0,1,0)</f>
        <v>0</v>
      </c>
      <c r="F89" s="37" t="n">
        <f aca="false">IF(F88&lt;0,1,0)</f>
        <v>0</v>
      </c>
      <c r="G89" s="37" t="n">
        <f aca="false">IF(G88&lt;0,1,0)</f>
        <v>0</v>
      </c>
      <c r="H89" s="37" t="n">
        <f aca="false">IF(H88&lt;0,1,0)</f>
        <v>0</v>
      </c>
      <c r="I89" s="37" t="n">
        <f aca="false">IF(I88&lt;0,1,0)</f>
        <v>0</v>
      </c>
      <c r="J89" s="37" t="n">
        <f aca="false">IF(J88&lt;0,1,0)</f>
        <v>0</v>
      </c>
      <c r="K89" s="37" t="n">
        <f aca="false">IF(K88&lt;0,1,0)</f>
        <v>0</v>
      </c>
      <c r="L89" s="37" t="n">
        <f aca="false">IF(L88&lt;0,1,0)</f>
        <v>0</v>
      </c>
      <c r="M89" s="37" t="n">
        <f aca="false">IF(M88&lt;0,1,0)</f>
        <v>0</v>
      </c>
      <c r="N89" s="37" t="n">
        <f aca="false">IF(N88&lt;0,1,0)</f>
        <v>0</v>
      </c>
      <c r="O89" s="37" t="n">
        <f aca="false">IF(O88&lt;0,1,0)</f>
        <v>0</v>
      </c>
      <c r="P89" s="37" t="n">
        <f aca="false">IF(P88&lt;0,1,0)</f>
        <v>0</v>
      </c>
      <c r="Q89" s="37" t="n">
        <f aca="false">IF(Q88&lt;0,1,0)</f>
        <v>0</v>
      </c>
      <c r="R89" s="37" t="n">
        <f aca="false">IF(R88&lt;0,1,0)</f>
        <v>0</v>
      </c>
      <c r="S89" s="37" t="n">
        <f aca="false">IF(S88&lt;0,1,0)</f>
        <v>0</v>
      </c>
      <c r="T89" s="37" t="n">
        <f aca="false">IF(T88&lt;0,1,0)</f>
        <v>0</v>
      </c>
      <c r="U89" s="37" t="n">
        <f aca="false">IF(U88&lt;0,1,0)</f>
        <v>0</v>
      </c>
      <c r="V89" s="37" t="n">
        <f aca="false">IF(V88&lt;0,1,0)</f>
        <v>0</v>
      </c>
      <c r="W89" s="37" t="n">
        <f aca="false">IF(W88&lt;0,1,0)</f>
        <v>0</v>
      </c>
      <c r="X89" s="37" t="n">
        <f aca="false">IF(X88&lt;0,1,0)</f>
        <v>0</v>
      </c>
      <c r="Y89" s="37" t="n">
        <f aca="false">IF(Y88&lt;0,1,0)</f>
        <v>0</v>
      </c>
      <c r="Z89" s="37" t="n">
        <f aca="false">IF(Z88&lt;0,1,0)</f>
        <v>0</v>
      </c>
      <c r="AA89" s="37" t="n">
        <f aca="false">IF(AA88&lt;0,1,0)</f>
        <v>0</v>
      </c>
      <c r="AB89" s="2"/>
      <c r="AC89" s="2"/>
      <c r="AD89" s="2"/>
    </row>
    <row r="90" customFormat="false" ht="15" hidden="false" customHeight="false" outlineLevel="0" collapsed="false">
      <c r="A90" s="26" t="s">
        <v>323</v>
      </c>
      <c r="B90" s="2"/>
      <c r="C90" s="2"/>
      <c r="D90" s="37" t="n">
        <f aca="false">IF(D82&gt;=D86,1,0)</f>
        <v>0</v>
      </c>
      <c r="E90" s="37" t="n">
        <f aca="false">IF(E82&gt;=E86,1,0)</f>
        <v>0</v>
      </c>
      <c r="F90" s="37" t="n">
        <f aca="false">IF(F82&gt;=F86,1,0)</f>
        <v>0</v>
      </c>
      <c r="G90" s="37" t="n">
        <f aca="false">IF(G82&gt;=G86,1,0)</f>
        <v>0</v>
      </c>
      <c r="H90" s="37" t="n">
        <f aca="false">IF(H82&gt;=H86,1,0)</f>
        <v>0</v>
      </c>
      <c r="I90" s="37" t="n">
        <f aca="false">IF(I82&gt;=I86,1,0)</f>
        <v>0</v>
      </c>
      <c r="J90" s="37" t="n">
        <f aca="false">IF(J82&gt;=J86,1,0)</f>
        <v>0</v>
      </c>
      <c r="K90" s="37" t="n">
        <f aca="false">IF(K82&gt;=K86,1,0)</f>
        <v>0</v>
      </c>
      <c r="L90" s="37" t="n">
        <f aca="false">IF(L82&gt;=L86,1,0)</f>
        <v>0</v>
      </c>
      <c r="M90" s="37" t="n">
        <f aca="false">IF(M82&gt;=M86,1,0)</f>
        <v>0</v>
      </c>
      <c r="N90" s="37" t="n">
        <f aca="false">IF(N82&gt;=N86,1,0)</f>
        <v>0</v>
      </c>
      <c r="O90" s="37" t="n">
        <f aca="false">IF(O82&gt;=O86,1,0)</f>
        <v>0</v>
      </c>
      <c r="P90" s="37" t="n">
        <f aca="false">IF(P82&gt;=P86,1,0)</f>
        <v>0</v>
      </c>
      <c r="Q90" s="37" t="n">
        <f aca="false">IF(Q82&gt;=Q86,1,0)</f>
        <v>0</v>
      </c>
      <c r="R90" s="37" t="n">
        <f aca="false">IF(R82&gt;=R86,1,0)</f>
        <v>0</v>
      </c>
      <c r="S90" s="37" t="n">
        <f aca="false">IF(S82&gt;=S86,1,0)</f>
        <v>1</v>
      </c>
      <c r="T90" s="37" t="n">
        <f aca="false">IF(T82&gt;=T86,1,0)</f>
        <v>1</v>
      </c>
      <c r="U90" s="37" t="n">
        <f aca="false">IF(U82&gt;=U86,1,0)</f>
        <v>1</v>
      </c>
      <c r="V90" s="37" t="n">
        <f aca="false">IF(V82&gt;=V86,1,0)</f>
        <v>0</v>
      </c>
      <c r="W90" s="37" t="n">
        <f aca="false">IF(W82&gt;=W86,1,0)</f>
        <v>0</v>
      </c>
      <c r="X90" s="37" t="n">
        <f aca="false">IF(X82&gt;=X86,1,0)</f>
        <v>0</v>
      </c>
      <c r="Y90" s="37" t="n">
        <f aca="false">IF(Y82&gt;=Y86,1,0)</f>
        <v>1</v>
      </c>
      <c r="Z90" s="37" t="n">
        <f aca="false">IF(Z82&gt;=Z86,1,0)</f>
        <v>1</v>
      </c>
      <c r="AA90" s="37" t="n">
        <f aca="false">IF(AA82&gt;=AA86,1,0)</f>
        <v>1</v>
      </c>
      <c r="AB90" s="2"/>
      <c r="AC90" s="2"/>
      <c r="AD90" s="2"/>
    </row>
    <row r="91" customFormat="false" ht="15" hidden="false" customHeight="false" outlineLevel="0" collapsed="false">
      <c r="A91" s="26" t="s">
        <v>324</v>
      </c>
      <c r="B91" s="2"/>
      <c r="C91" s="2"/>
      <c r="D91" s="37" t="n">
        <f aca="false">IF(AND(D90=1,E91=1),1,0)</f>
        <v>0</v>
      </c>
      <c r="E91" s="37" t="n">
        <f aca="false">IF(AND(E90=1,F91=1),1,0)</f>
        <v>0</v>
      </c>
      <c r="F91" s="37" t="n">
        <f aca="false">IF(AND(F90=1,G91=1),1,0)</f>
        <v>0</v>
      </c>
      <c r="G91" s="37" t="n">
        <f aca="false">IF(AND(G90=1,H91=1),1,0)</f>
        <v>0</v>
      </c>
      <c r="H91" s="37" t="n">
        <f aca="false">IF(AND(H90=1,I91=1),1,0)</f>
        <v>0</v>
      </c>
      <c r="I91" s="37" t="n">
        <f aca="false">IF(AND(I90=1,J91=1),1,0)</f>
        <v>0</v>
      </c>
      <c r="J91" s="37" t="n">
        <f aca="false">IF(AND(J90=1,K91=1),1,0)</f>
        <v>0</v>
      </c>
      <c r="K91" s="37" t="n">
        <f aca="false">IF(AND(K90=1,L91=1),1,0)</f>
        <v>0</v>
      </c>
      <c r="L91" s="37" t="n">
        <f aca="false">IF(AND(L90=1,M91=1),1,0)</f>
        <v>0</v>
      </c>
      <c r="M91" s="37" t="n">
        <f aca="false">IF(AND(M90=1,N91=1),1,0)</f>
        <v>0</v>
      </c>
      <c r="N91" s="37" t="n">
        <f aca="false">IF(AND(N90=1,O91=1),1,0)</f>
        <v>0</v>
      </c>
      <c r="O91" s="37" t="n">
        <f aca="false">IF(AND(O90=1,P91=1),1,0)</f>
        <v>0</v>
      </c>
      <c r="P91" s="37" t="n">
        <f aca="false">IF(AND(P90=1,Q91=1),1,0)</f>
        <v>0</v>
      </c>
      <c r="Q91" s="37" t="n">
        <f aca="false">IF(AND(Q90=1,R91=1),1,0)</f>
        <v>0</v>
      </c>
      <c r="R91" s="37" t="n">
        <f aca="false">IF(AND(R90=1,S91=1),1,0)</f>
        <v>0</v>
      </c>
      <c r="S91" s="37" t="n">
        <f aca="false">IF(AND(S90=1,T91=1),1,0)</f>
        <v>0</v>
      </c>
      <c r="T91" s="37" t="n">
        <f aca="false">IF(AND(T90=1,U91=1),1,0)</f>
        <v>0</v>
      </c>
      <c r="U91" s="37" t="n">
        <f aca="false">IF(AND(U90=1,V91=1),1,0)</f>
        <v>0</v>
      </c>
      <c r="V91" s="37" t="n">
        <f aca="false">IF(AND(V90=1,W91=1),1,0)</f>
        <v>0</v>
      </c>
      <c r="W91" s="37" t="n">
        <f aca="false">IF(AND(W90=1,X91=1),1,0)</f>
        <v>0</v>
      </c>
      <c r="X91" s="37" t="n">
        <f aca="false">IF(AND(X90=1,Y91=1),1,0)</f>
        <v>0</v>
      </c>
      <c r="Y91" s="37" t="n">
        <f aca="false">IF(AND(Y90=1,Z91=1),1,0)</f>
        <v>1</v>
      </c>
      <c r="Z91" s="37" t="n">
        <f aca="false">IF(AND(Z90=1,AA91=1),1,0)</f>
        <v>1</v>
      </c>
      <c r="AA91" s="37" t="n">
        <f aca="false">IF(AND(AA90=1,1=1),1,0)</f>
        <v>1</v>
      </c>
      <c r="AB91" s="2"/>
      <c r="AC91" s="2"/>
      <c r="AD91" s="2"/>
    </row>
    <row r="92" customFormat="false" ht="15" hidden="false" customHeight="false" outlineLevel="0" collapsed="false">
      <c r="A92" s="26" t="s">
        <v>325</v>
      </c>
      <c r="B92" s="2"/>
      <c r="C92" s="2"/>
      <c r="D92" s="37" t="n">
        <f aca="false">IF(D88&lt;Annahmen!$B$14*D86,1,0)</f>
        <v>0</v>
      </c>
      <c r="E92" s="37" t="n">
        <f aca="false">IF(E88&lt;Annahmen!$B$14*E86,1,0)</f>
        <v>0</v>
      </c>
      <c r="F92" s="37" t="n">
        <f aca="false">IF(F88&lt;Annahmen!$B$14*F86,1,0)</f>
        <v>0</v>
      </c>
      <c r="G92" s="37" t="n">
        <f aca="false">IF(G88&lt;Annahmen!$B$14*G86,1,0)</f>
        <v>0</v>
      </c>
      <c r="H92" s="37" t="n">
        <f aca="false">IF(H88&lt;Annahmen!$B$14*H86,1,0)</f>
        <v>0</v>
      </c>
      <c r="I92" s="37" t="n">
        <f aca="false">IF(I88&lt;Annahmen!$B$14*I86,1,0)</f>
        <v>0</v>
      </c>
      <c r="J92" s="37" t="n">
        <f aca="false">IF(J88&lt;Annahmen!$B$14*J86,1,0)</f>
        <v>0</v>
      </c>
      <c r="K92" s="37" t="n">
        <f aca="false">IF(K88&lt;Annahmen!$B$14*K86,1,0)</f>
        <v>0</v>
      </c>
      <c r="L92" s="37" t="n">
        <f aca="false">IF(L88&lt;Annahmen!$B$14*L86,1,0)</f>
        <v>0</v>
      </c>
      <c r="M92" s="37" t="n">
        <f aca="false">IF(M88&lt;Annahmen!$B$14*M86,1,0)</f>
        <v>0</v>
      </c>
      <c r="N92" s="37" t="n">
        <f aca="false">IF(N88&lt;Annahmen!$B$14*N86,1,0)</f>
        <v>0</v>
      </c>
      <c r="O92" s="37" t="n">
        <f aca="false">IF(O88&lt;Annahmen!$B$14*O86,1,0)</f>
        <v>0</v>
      </c>
      <c r="P92" s="37" t="n">
        <f aca="false">IF(P88&lt;Annahmen!$B$14*P86,1,0)</f>
        <v>0</v>
      </c>
      <c r="Q92" s="37" t="n">
        <f aca="false">IF(Q88&lt;Annahmen!$B$14*Q86,1,0)</f>
        <v>0</v>
      </c>
      <c r="R92" s="37" t="n">
        <f aca="false">IF(R88&lt;Annahmen!$B$14*R86,1,0)</f>
        <v>0</v>
      </c>
      <c r="S92" s="37" t="n">
        <f aca="false">IF(S88&lt;Annahmen!$B$14*S86,1,0)</f>
        <v>0</v>
      </c>
      <c r="T92" s="37" t="n">
        <f aca="false">IF(T88&lt;Annahmen!$B$14*T86,1,0)</f>
        <v>0</v>
      </c>
      <c r="U92" s="37" t="n">
        <f aca="false">IF(U88&lt;Annahmen!$B$14*U86,1,0)</f>
        <v>0</v>
      </c>
      <c r="V92" s="37" t="n">
        <f aca="false">IF(V88&lt;Annahmen!$B$14*V86,1,0)</f>
        <v>0</v>
      </c>
      <c r="W92" s="37" t="n">
        <f aca="false">IF(W88&lt;Annahmen!$B$14*W86,1,0)</f>
        <v>0</v>
      </c>
      <c r="X92" s="37" t="n">
        <f aca="false">IF(X88&lt;Annahmen!$B$14*X86,1,0)</f>
        <v>0</v>
      </c>
      <c r="Y92" s="37" t="n">
        <f aca="false">IF(Y88&lt;Annahmen!$B$14*Y86,1,0)</f>
        <v>0</v>
      </c>
      <c r="Z92" s="37" t="n">
        <f aca="false">IF(Z88&lt;Annahmen!$B$14*Z86,1,0)</f>
        <v>0</v>
      </c>
      <c r="AA92" s="37" t="n">
        <f aca="false">IF(AA88&lt;Annahmen!$B$14*AA86,1,0)</f>
        <v>0</v>
      </c>
      <c r="AB92" s="2"/>
      <c r="AC92" s="2"/>
      <c r="AD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customFormat="false" ht="15" hidden="false" customHeight="false" outlineLevel="0" collapsed="false">
      <c r="A94" s="4" t="s">
        <v>189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customFormat="false" ht="15" hidden="false" customHeight="false" outlineLevel="0" collapsed="false">
      <c r="A95" s="6" t="s">
        <v>306</v>
      </c>
      <c r="B95" s="2"/>
      <c r="C95" s="21" t="n">
        <f aca="false">'GuV 5 Jahre'!$C$55</f>
        <v>124092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customFormat="false" ht="15" hidden="false" customHeight="false" outlineLevel="0" collapsed="false">
      <c r="A96" s="6" t="s">
        <v>307</v>
      </c>
      <c r="B96" s="2"/>
      <c r="C96" s="21" t="n">
        <f aca="false">'GuV 5 Jahre'!$D$55</f>
        <v>792324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customFormat="false" ht="15" hidden="false" customHeight="false" outlineLevel="0" collapsed="false">
      <c r="A97" s="6" t="s">
        <v>308</v>
      </c>
      <c r="B97" s="2"/>
      <c r="C97" s="15" t="n">
        <f aca="false">C95*11.5/72</f>
        <v>19820.25</v>
      </c>
      <c r="D97" s="3" t="s">
        <v>309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customFormat="false" ht="15" hidden="false" customHeight="false" outlineLevel="0" collapsed="false">
      <c r="A98" s="6" t="s">
        <v>310</v>
      </c>
      <c r="B98" s="2"/>
      <c r="C98" s="15" t="n">
        <f aca="false">(C96-12*C97)/78</f>
        <v>7108.73076923077</v>
      </c>
      <c r="D98" s="3" t="s">
        <v>311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customFormat="false" ht="15" hidden="false" customHeight="false" outlineLevel="0" collapsed="false">
      <c r="A99" s="6" t="s">
        <v>312</v>
      </c>
      <c r="B99" s="2"/>
      <c r="C99" s="21" t="n">
        <f aca="false">'GuV 5 Jahre'!$C$56</f>
        <v>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customFormat="false" ht="15" hidden="false" customHeight="false" outlineLevel="0" collapsed="false">
      <c r="A100" s="6" t="s">
        <v>313</v>
      </c>
      <c r="B100" s="2"/>
      <c r="C100" s="21" t="n">
        <f aca="false">'GuV 5 Jahre'!$D$56</f>
        <v>100000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customFormat="false" ht="15" hidden="false" customHeight="false" outlineLevel="0" collapsed="false">
      <c r="A101" s="6" t="s">
        <v>314</v>
      </c>
      <c r="B101" s="2"/>
      <c r="C101" s="2"/>
      <c r="D101" s="15" t="n">
        <f aca="false">IF(D$27&lt;=12,$C$95*(D$27-0.5)/72,$C$97+$C$98*(D$27-12))</f>
        <v>861.75</v>
      </c>
      <c r="E101" s="15" t="n">
        <f aca="false">IF(E$27&lt;=12,$C$95*(E$27-0.5)/72,$C$97+$C$98*(E$27-12))</f>
        <v>2585.25</v>
      </c>
      <c r="F101" s="15" t="n">
        <f aca="false">IF(F$27&lt;=12,$C$95*(F$27-0.5)/72,$C$97+$C$98*(F$27-12))</f>
        <v>4308.75</v>
      </c>
      <c r="G101" s="15" t="n">
        <f aca="false">IF(G$27&lt;=12,$C$95*(G$27-0.5)/72,$C$97+$C$98*(G$27-12))</f>
        <v>6032.25</v>
      </c>
      <c r="H101" s="15" t="n">
        <f aca="false">IF(H$27&lt;=12,$C$95*(H$27-0.5)/72,$C$97+$C$98*(H$27-12))</f>
        <v>7755.75</v>
      </c>
      <c r="I101" s="15" t="n">
        <f aca="false">IF(I$27&lt;=12,$C$95*(I$27-0.5)/72,$C$97+$C$98*(I$27-12))</f>
        <v>9479.25</v>
      </c>
      <c r="J101" s="15" t="n">
        <f aca="false">IF(J$27&lt;=12,$C$95*(J$27-0.5)/72,$C$97+$C$98*(J$27-12))</f>
        <v>11202.75</v>
      </c>
      <c r="K101" s="15" t="n">
        <f aca="false">IF(K$27&lt;=12,$C$95*(K$27-0.5)/72,$C$97+$C$98*(K$27-12))</f>
        <v>12926.25</v>
      </c>
      <c r="L101" s="15" t="n">
        <f aca="false">IF(L$27&lt;=12,$C$95*(L$27-0.5)/72,$C$97+$C$98*(L$27-12))</f>
        <v>14649.75</v>
      </c>
      <c r="M101" s="15" t="n">
        <f aca="false">IF(M$27&lt;=12,$C$95*(M$27-0.5)/72,$C$97+$C$98*(M$27-12))</f>
        <v>16373.25</v>
      </c>
      <c r="N101" s="15" t="n">
        <f aca="false">IF(N$27&lt;=12,$C$95*(N$27-0.5)/72,$C$97+$C$98*(N$27-12))</f>
        <v>18096.75</v>
      </c>
      <c r="O101" s="15" t="n">
        <f aca="false">IF(O$27&lt;=12,$C$95*(O$27-0.5)/72,$C$97+$C$98*(O$27-12))</f>
        <v>19820.25</v>
      </c>
      <c r="P101" s="15" t="n">
        <f aca="false">IF(P$27&lt;=12,$C$95*(P$27-0.5)/72,$C$97+$C$98*(P$27-12))</f>
        <v>26928.9807692308</v>
      </c>
      <c r="Q101" s="15" t="n">
        <f aca="false">IF(Q$27&lt;=12,$C$95*(Q$27-0.5)/72,$C$97+$C$98*(Q$27-12))</f>
        <v>34037.7115384615</v>
      </c>
      <c r="R101" s="15" t="n">
        <f aca="false">IF(R$27&lt;=12,$C$95*(R$27-0.5)/72,$C$97+$C$98*(R$27-12))</f>
        <v>41146.4423076923</v>
      </c>
      <c r="S101" s="15" t="n">
        <f aca="false">IF(S$27&lt;=12,$C$95*(S$27-0.5)/72,$C$97+$C$98*(S$27-12))</f>
        <v>48255.1730769231</v>
      </c>
      <c r="T101" s="15" t="n">
        <f aca="false">IF(T$27&lt;=12,$C$95*(T$27-0.5)/72,$C$97+$C$98*(T$27-12))</f>
        <v>55363.9038461538</v>
      </c>
      <c r="U101" s="15" t="n">
        <f aca="false">IF(U$27&lt;=12,$C$95*(U$27-0.5)/72,$C$97+$C$98*(U$27-12))</f>
        <v>62472.6346153846</v>
      </c>
      <c r="V101" s="15" t="n">
        <f aca="false">IF(V$27&lt;=12,$C$95*(V$27-0.5)/72,$C$97+$C$98*(V$27-12))</f>
        <v>69581.3653846154</v>
      </c>
      <c r="W101" s="15" t="n">
        <f aca="false">IF(W$27&lt;=12,$C$95*(W$27-0.5)/72,$C$97+$C$98*(W$27-12))</f>
        <v>76690.0961538462</v>
      </c>
      <c r="X101" s="15" t="n">
        <f aca="false">IF(X$27&lt;=12,$C$95*(X$27-0.5)/72,$C$97+$C$98*(X$27-12))</f>
        <v>83798.8269230769</v>
      </c>
      <c r="Y101" s="15" t="n">
        <f aca="false">IF(Y$27&lt;=12,$C$95*(Y$27-0.5)/72,$C$97+$C$98*(Y$27-12))</f>
        <v>90907.5576923077</v>
      </c>
      <c r="Z101" s="15" t="n">
        <f aca="false">IF(Z$27&lt;=12,$C$95*(Z$27-0.5)/72,$C$97+$C$98*(Z$27-12))</f>
        <v>98016.2884615385</v>
      </c>
      <c r="AA101" s="15" t="n">
        <f aca="false">IF(AA$27&lt;=12,$C$95*(AA$27-0.5)/72,$C$97+$C$98*(AA$27-12))</f>
        <v>105125.019230769</v>
      </c>
      <c r="AB101" s="15" t="n">
        <f aca="false">SUM(D101:O101)</f>
        <v>124092</v>
      </c>
      <c r="AC101" s="15" t="n">
        <f aca="false">SUM(P101:AA101)</f>
        <v>792324</v>
      </c>
      <c r="AD101" s="15" t="n">
        <f aca="false">SUM(D101:U101)</f>
        <v>392296.846153846</v>
      </c>
    </row>
    <row r="102" customFormat="false" ht="15" hidden="false" customHeight="false" outlineLevel="0" collapsed="false">
      <c r="A102" s="6" t="s">
        <v>315</v>
      </c>
      <c r="B102" s="2"/>
      <c r="C102" s="2"/>
      <c r="D102" s="21" t="n">
        <f aca="false">IF(D$27=Annahmen!$B$9,$C$99,0)+IF(D$27=12+Annahmen!$B$9,$C$100,0)</f>
        <v>0</v>
      </c>
      <c r="E102" s="21" t="n">
        <f aca="false">IF(E$27=Annahmen!$B$9,$C$99,0)+IF(E$27=12+Annahmen!$B$9,$C$100,0)</f>
        <v>0</v>
      </c>
      <c r="F102" s="21" t="n">
        <f aca="false">IF(F$27=Annahmen!$B$9,$C$99,0)+IF(F$27=12+Annahmen!$B$9,$C$100,0)</f>
        <v>0</v>
      </c>
      <c r="G102" s="21" t="n">
        <f aca="false">IF(G$27=Annahmen!$B$9,$C$99,0)+IF(G$27=12+Annahmen!$B$9,$C$100,0)</f>
        <v>0</v>
      </c>
      <c r="H102" s="21" t="n">
        <f aca="false">IF(H$27=Annahmen!$B$9,$C$99,0)+IF(H$27=12+Annahmen!$B$9,$C$100,0)</f>
        <v>0</v>
      </c>
      <c r="I102" s="21" t="n">
        <f aca="false">IF(I$27=Annahmen!$B$9,$C$99,0)+IF(I$27=12+Annahmen!$B$9,$C$100,0)</f>
        <v>0</v>
      </c>
      <c r="J102" s="21" t="n">
        <f aca="false">IF(J$27=Annahmen!$B$9,$C$99,0)+IF(J$27=12+Annahmen!$B$9,$C$100,0)</f>
        <v>0</v>
      </c>
      <c r="K102" s="21" t="n">
        <f aca="false">IF(K$27=Annahmen!$B$9,$C$99,0)+IF(K$27=12+Annahmen!$B$9,$C$100,0)</f>
        <v>0</v>
      </c>
      <c r="L102" s="21" t="n">
        <f aca="false">IF(L$27=Annahmen!$B$9,$C$99,0)+IF(L$27=12+Annahmen!$B$9,$C$100,0)</f>
        <v>0</v>
      </c>
      <c r="M102" s="21" t="n">
        <f aca="false">IF(M$27=Annahmen!$B$9,$C$99,0)+IF(M$27=12+Annahmen!$B$9,$C$100,0)</f>
        <v>0</v>
      </c>
      <c r="N102" s="21" t="n">
        <f aca="false">IF(N$27=Annahmen!$B$9,$C$99,0)+IF(N$27=12+Annahmen!$B$9,$C$100,0)</f>
        <v>0</v>
      </c>
      <c r="O102" s="21" t="n">
        <f aca="false">IF(O$27=Annahmen!$B$9,$C$99,0)+IF(O$27=12+Annahmen!$B$9,$C$100,0)</f>
        <v>0</v>
      </c>
      <c r="P102" s="21" t="n">
        <f aca="false">IF(P$27=Annahmen!$B$9,$C$99,0)+IF(P$27=12+Annahmen!$B$9,$C$100,0)</f>
        <v>0</v>
      </c>
      <c r="Q102" s="21" t="n">
        <f aca="false">IF(Q$27=Annahmen!$B$9,$C$99,0)+IF(Q$27=12+Annahmen!$B$9,$C$100,0)</f>
        <v>0</v>
      </c>
      <c r="R102" s="21" t="n">
        <f aca="false">IF(R$27=Annahmen!$B$9,$C$99,0)+IF(R$27=12+Annahmen!$B$9,$C$100,0)</f>
        <v>0</v>
      </c>
      <c r="S102" s="21" t="n">
        <f aca="false">IF(S$27=Annahmen!$B$9,$C$99,0)+IF(S$27=12+Annahmen!$B$9,$C$100,0)</f>
        <v>0</v>
      </c>
      <c r="T102" s="21" t="n">
        <f aca="false">IF(T$27=Annahmen!$B$9,$C$99,0)+IF(T$27=12+Annahmen!$B$9,$C$100,0)</f>
        <v>0</v>
      </c>
      <c r="U102" s="21" t="n">
        <f aca="false">IF(U$27=Annahmen!$B$9,$C$99,0)+IF(U$27=12+Annahmen!$B$9,$C$100,0)</f>
        <v>0</v>
      </c>
      <c r="V102" s="21" t="n">
        <f aca="false">IF(V$27=Annahmen!$B$9,$C$99,0)+IF(V$27=12+Annahmen!$B$9,$C$100,0)</f>
        <v>0</v>
      </c>
      <c r="W102" s="21" t="n">
        <f aca="false">IF(W$27=Annahmen!$B$9,$C$99,0)+IF(W$27=12+Annahmen!$B$9,$C$100,0)</f>
        <v>0</v>
      </c>
      <c r="X102" s="21" t="n">
        <f aca="false">IF(X$27=Annahmen!$B$9,$C$99,0)+IF(X$27=12+Annahmen!$B$9,$C$100,0)</f>
        <v>0</v>
      </c>
      <c r="Y102" s="21" t="n">
        <f aca="false">IF(Y$27=Annahmen!$B$9,$C$99,0)+IF(Y$27=12+Annahmen!$B$9,$C$100,0)</f>
        <v>100000</v>
      </c>
      <c r="Z102" s="21" t="n">
        <f aca="false">IF(Z$27=Annahmen!$B$9,$C$99,0)+IF(Z$27=12+Annahmen!$B$9,$C$100,0)</f>
        <v>0</v>
      </c>
      <c r="AA102" s="21" t="n">
        <f aca="false">IF(AA$27=Annahmen!$B$9,$C$99,0)+IF(AA$27=12+Annahmen!$B$9,$C$100,0)</f>
        <v>0</v>
      </c>
      <c r="AB102" s="15" t="n">
        <f aca="false">SUM(D102:O102)</f>
        <v>0</v>
      </c>
      <c r="AC102" s="15" t="n">
        <f aca="false">SUM(P102:AA102)</f>
        <v>100000</v>
      </c>
      <c r="AD102" s="15" t="n">
        <f aca="false">SUM(D102:U102)</f>
        <v>0</v>
      </c>
    </row>
    <row r="103" customFormat="false" ht="15" hidden="false" customHeight="false" outlineLevel="0" collapsed="false">
      <c r="A103" s="16" t="s">
        <v>176</v>
      </c>
      <c r="B103" s="2"/>
      <c r="C103" s="2"/>
      <c r="D103" s="17" t="n">
        <f aca="false">D101+D102</f>
        <v>861.75</v>
      </c>
      <c r="E103" s="17" t="n">
        <f aca="false">E101+E102</f>
        <v>2585.25</v>
      </c>
      <c r="F103" s="17" t="n">
        <f aca="false">F101+F102</f>
        <v>4308.75</v>
      </c>
      <c r="G103" s="17" t="n">
        <f aca="false">G101+G102</f>
        <v>6032.25</v>
      </c>
      <c r="H103" s="17" t="n">
        <f aca="false">H101+H102</f>
        <v>7755.75</v>
      </c>
      <c r="I103" s="17" t="n">
        <f aca="false">I101+I102</f>
        <v>9479.25</v>
      </c>
      <c r="J103" s="17" t="n">
        <f aca="false">J101+J102</f>
        <v>11202.75</v>
      </c>
      <c r="K103" s="17" t="n">
        <f aca="false">K101+K102</f>
        <v>12926.25</v>
      </c>
      <c r="L103" s="17" t="n">
        <f aca="false">L101+L102</f>
        <v>14649.75</v>
      </c>
      <c r="M103" s="17" t="n">
        <f aca="false">M101+M102</f>
        <v>16373.25</v>
      </c>
      <c r="N103" s="17" t="n">
        <f aca="false">N101+N102</f>
        <v>18096.75</v>
      </c>
      <c r="O103" s="17" t="n">
        <f aca="false">O101+O102</f>
        <v>19820.25</v>
      </c>
      <c r="P103" s="17" t="n">
        <f aca="false">P101+P102</f>
        <v>26928.9807692308</v>
      </c>
      <c r="Q103" s="17" t="n">
        <f aca="false">Q101+Q102</f>
        <v>34037.7115384615</v>
      </c>
      <c r="R103" s="17" t="n">
        <f aca="false">R101+R102</f>
        <v>41146.4423076923</v>
      </c>
      <c r="S103" s="17" t="n">
        <f aca="false">S101+S102</f>
        <v>48255.1730769231</v>
      </c>
      <c r="T103" s="17" t="n">
        <f aca="false">T101+T102</f>
        <v>55363.9038461538</v>
      </c>
      <c r="U103" s="17" t="n">
        <f aca="false">U101+U102</f>
        <v>62472.6346153846</v>
      </c>
      <c r="V103" s="17" t="n">
        <f aca="false">V101+V102</f>
        <v>69581.3653846154</v>
      </c>
      <c r="W103" s="17" t="n">
        <f aca="false">W101+W102</f>
        <v>76690.0961538462</v>
      </c>
      <c r="X103" s="17" t="n">
        <f aca="false">X101+X102</f>
        <v>83798.8269230769</v>
      </c>
      <c r="Y103" s="17" t="n">
        <f aca="false">Y101+Y102</f>
        <v>190907.557692308</v>
      </c>
      <c r="Z103" s="17" t="n">
        <f aca="false">Z101+Z102</f>
        <v>98016.2884615385</v>
      </c>
      <c r="AA103" s="17" t="n">
        <f aca="false">AA101+AA102</f>
        <v>105125.019230769</v>
      </c>
      <c r="AB103" s="15" t="n">
        <f aca="false">SUM(D103:O103)</f>
        <v>124092</v>
      </c>
      <c r="AC103" s="15" t="n">
        <f aca="false">SUM(P103:AA103)</f>
        <v>892324</v>
      </c>
      <c r="AD103" s="15" t="n">
        <f aca="false">SUM(D103:U103)</f>
        <v>392296.846153846</v>
      </c>
    </row>
    <row r="104" customFormat="false" ht="15" hidden="false" customHeight="false" outlineLevel="0" collapsed="false">
      <c r="A104" s="6" t="s">
        <v>316</v>
      </c>
      <c r="B104" s="2"/>
      <c r="C104" s="2"/>
      <c r="D104" s="15" t="n">
        <f aca="false">D$39</f>
        <v>13000</v>
      </c>
      <c r="E104" s="15" t="n">
        <f aca="false">E$39</f>
        <v>5000</v>
      </c>
      <c r="F104" s="15" t="n">
        <f aca="false">F$39</f>
        <v>10500</v>
      </c>
      <c r="G104" s="15" t="n">
        <f aca="false">G$39</f>
        <v>13625</v>
      </c>
      <c r="H104" s="15" t="n">
        <f aca="false">H$39</f>
        <v>13625</v>
      </c>
      <c r="I104" s="15" t="n">
        <f aca="false">I$39</f>
        <v>13625</v>
      </c>
      <c r="J104" s="15" t="n">
        <f aca="false">J$39</f>
        <v>14625</v>
      </c>
      <c r="K104" s="15" t="n">
        <f aca="false">K$39</f>
        <v>14625</v>
      </c>
      <c r="L104" s="15" t="n">
        <f aca="false">L$39</f>
        <v>16625</v>
      </c>
      <c r="M104" s="15" t="n">
        <f aca="false">M$39</f>
        <v>14625</v>
      </c>
      <c r="N104" s="15" t="n">
        <f aca="false">N$39</f>
        <v>14625</v>
      </c>
      <c r="O104" s="15" t="n">
        <f aca="false">O$39</f>
        <v>14625</v>
      </c>
      <c r="P104" s="15" t="n">
        <f aca="false">P$39</f>
        <v>14625</v>
      </c>
      <c r="Q104" s="15" t="n">
        <f aca="false">Q$39</f>
        <v>14625</v>
      </c>
      <c r="R104" s="15" t="n">
        <f aca="false">R$39</f>
        <v>14625</v>
      </c>
      <c r="S104" s="15" t="n">
        <f aca="false">S$39</f>
        <v>11500</v>
      </c>
      <c r="T104" s="15" t="n">
        <f aca="false">T$39</f>
        <v>11500</v>
      </c>
      <c r="U104" s="15" t="n">
        <f aca="false">U$39</f>
        <v>11500</v>
      </c>
      <c r="V104" s="15" t="n">
        <f aca="false">V$39</f>
        <v>0</v>
      </c>
      <c r="W104" s="15" t="n">
        <f aca="false">W$39</f>
        <v>0</v>
      </c>
      <c r="X104" s="15" t="n">
        <f aca="false">X$39</f>
        <v>0</v>
      </c>
      <c r="Y104" s="15" t="n">
        <f aca="false">Y$39</f>
        <v>0</v>
      </c>
      <c r="Z104" s="15" t="n">
        <f aca="false">Z$39</f>
        <v>0</v>
      </c>
      <c r="AA104" s="15" t="n">
        <f aca="false">AA$39</f>
        <v>0</v>
      </c>
      <c r="AB104" s="15" t="n">
        <f aca="false">SUM(D104:O104)</f>
        <v>159125</v>
      </c>
      <c r="AC104" s="15" t="n">
        <f aca="false">SUM(P104:AA104)</f>
        <v>78375</v>
      </c>
      <c r="AD104" s="15" t="n">
        <f aca="false">SUM(D104:U104)</f>
        <v>237500</v>
      </c>
    </row>
    <row r="105" customFormat="false" ht="15" hidden="false" customHeight="false" outlineLevel="0" collapsed="false">
      <c r="A105" s="6" t="s">
        <v>317</v>
      </c>
      <c r="B105" s="2"/>
      <c r="C105" s="2"/>
      <c r="D105" s="21" t="n">
        <f aca="false">D$48*Annahmen!$E$47</f>
        <v>0</v>
      </c>
      <c r="E105" s="21" t="n">
        <f aca="false">E$48*Annahmen!$E$47</f>
        <v>0</v>
      </c>
      <c r="F105" s="21" t="n">
        <f aca="false">F$48*Annahmen!$E$47</f>
        <v>0</v>
      </c>
      <c r="G105" s="21" t="n">
        <f aca="false">G$48*Annahmen!$E$47</f>
        <v>0</v>
      </c>
      <c r="H105" s="21" t="n">
        <f aca="false">H$48*Annahmen!$E$47</f>
        <v>0</v>
      </c>
      <c r="I105" s="21" t="n">
        <f aca="false">I$48*Annahmen!$E$47</f>
        <v>0</v>
      </c>
      <c r="J105" s="21" t="n">
        <f aca="false">J$48*Annahmen!$E$47</f>
        <v>0</v>
      </c>
      <c r="K105" s="21" t="n">
        <f aca="false">K$48*Annahmen!$E$47</f>
        <v>0</v>
      </c>
      <c r="L105" s="21" t="n">
        <f aca="false">L$48*Annahmen!$E$47</f>
        <v>0</v>
      </c>
      <c r="M105" s="21" t="n">
        <f aca="false">M$48*Annahmen!$E$47</f>
        <v>0</v>
      </c>
      <c r="N105" s="21" t="n">
        <f aca="false">N$48*Annahmen!$E$47</f>
        <v>0</v>
      </c>
      <c r="O105" s="21" t="n">
        <f aca="false">O$48*Annahmen!$E$47</f>
        <v>0</v>
      </c>
      <c r="P105" s="21" t="n">
        <f aca="false">P$48*Annahmen!$E$47</f>
        <v>0</v>
      </c>
      <c r="Q105" s="21" t="n">
        <f aca="false">Q$48*Annahmen!$E$47</f>
        <v>0</v>
      </c>
      <c r="R105" s="21" t="n">
        <f aca="false">R$48*Annahmen!$E$47</f>
        <v>0</v>
      </c>
      <c r="S105" s="21" t="n">
        <f aca="false">S$48*Annahmen!$E$47</f>
        <v>0</v>
      </c>
      <c r="T105" s="21" t="n">
        <f aca="false">T$48*Annahmen!$E$47</f>
        <v>0</v>
      </c>
      <c r="U105" s="21" t="n">
        <f aca="false">U$48*Annahmen!$E$47</f>
        <v>0</v>
      </c>
      <c r="V105" s="21" t="n">
        <f aca="false">V$48*Annahmen!$E$47</f>
        <v>40611.3902847571</v>
      </c>
      <c r="W105" s="21" t="n">
        <f aca="false">W$48*Annahmen!$E$47</f>
        <v>40611.3902847571</v>
      </c>
      <c r="X105" s="21" t="n">
        <f aca="false">X$48*Annahmen!$E$47</f>
        <v>40611.3902847571</v>
      </c>
      <c r="Y105" s="21" t="n">
        <f aca="false">Y$48*Annahmen!$E$47</f>
        <v>40611.3902847571</v>
      </c>
      <c r="Z105" s="21" t="n">
        <f aca="false">Z$48*Annahmen!$E$47</f>
        <v>40611.3902847571</v>
      </c>
      <c r="AA105" s="21" t="n">
        <f aca="false">AA$48*Annahmen!$E$47</f>
        <v>40611.3902847571</v>
      </c>
      <c r="AB105" s="15" t="n">
        <f aca="false">SUM(D105:O105)</f>
        <v>0</v>
      </c>
      <c r="AC105" s="15" t="n">
        <f aca="false">SUM(P105:AA105)</f>
        <v>243668.341708543</v>
      </c>
      <c r="AD105" s="15" t="n">
        <f aca="false">SUM(D105:U105)</f>
        <v>0</v>
      </c>
    </row>
    <row r="106" customFormat="false" ht="15" hidden="false" customHeight="false" outlineLevel="0" collapsed="false">
      <c r="A106" s="6" t="s">
        <v>318</v>
      </c>
      <c r="B106" s="2"/>
      <c r="C106" s="2"/>
      <c r="D106" s="21" t="n">
        <f aca="false">Annahmen!$B$7+Annahmen!$B$8*D103</f>
        <v>318.94</v>
      </c>
      <c r="E106" s="21" t="n">
        <f aca="false">Annahmen!$B$7+Annahmen!$B$8*E103</f>
        <v>456.82</v>
      </c>
      <c r="F106" s="21" t="n">
        <f aca="false">Annahmen!$B$7+Annahmen!$B$8*F103</f>
        <v>594.7</v>
      </c>
      <c r="G106" s="21" t="n">
        <f aca="false">Annahmen!$B$7+Annahmen!$B$8*G103</f>
        <v>732.58</v>
      </c>
      <c r="H106" s="21" t="n">
        <f aca="false">Annahmen!$B$7+Annahmen!$B$8*H103</f>
        <v>870.46</v>
      </c>
      <c r="I106" s="21" t="n">
        <f aca="false">Annahmen!$B$7+Annahmen!$B$8*I103</f>
        <v>1008.34</v>
      </c>
      <c r="J106" s="21" t="n">
        <f aca="false">Annahmen!$B$7+Annahmen!$B$8*J103</f>
        <v>1146.22</v>
      </c>
      <c r="K106" s="21" t="n">
        <f aca="false">Annahmen!$B$7+Annahmen!$B$8*K103</f>
        <v>1284.1</v>
      </c>
      <c r="L106" s="21" t="n">
        <f aca="false">Annahmen!$B$7+Annahmen!$B$8*L103</f>
        <v>1421.98</v>
      </c>
      <c r="M106" s="21" t="n">
        <f aca="false">Annahmen!$B$7+Annahmen!$B$8*M103</f>
        <v>1559.86</v>
      </c>
      <c r="N106" s="21" t="n">
        <f aca="false">Annahmen!$B$7+Annahmen!$B$8*N103</f>
        <v>1697.74</v>
      </c>
      <c r="O106" s="21" t="n">
        <f aca="false">Annahmen!$B$7+Annahmen!$B$8*O103</f>
        <v>1835.62</v>
      </c>
      <c r="P106" s="21" t="n">
        <f aca="false">Annahmen!$B$7+Annahmen!$B$8*P103</f>
        <v>2404.31846153846</v>
      </c>
      <c r="Q106" s="21" t="n">
        <f aca="false">Annahmen!$B$7+Annahmen!$B$8*Q103</f>
        <v>2973.01692307692</v>
      </c>
      <c r="R106" s="21" t="n">
        <f aca="false">Annahmen!$B$7+Annahmen!$B$8*R103</f>
        <v>3541.71538461539</v>
      </c>
      <c r="S106" s="21" t="n">
        <f aca="false">Annahmen!$B$7+Annahmen!$B$8*S103</f>
        <v>4110.41384615385</v>
      </c>
      <c r="T106" s="21" t="n">
        <f aca="false">Annahmen!$B$7+Annahmen!$B$8*T103</f>
        <v>4679.11230769231</v>
      </c>
      <c r="U106" s="21" t="n">
        <f aca="false">Annahmen!$B$7+Annahmen!$B$8*U103</f>
        <v>5247.81076923077</v>
      </c>
      <c r="V106" s="21" t="n">
        <f aca="false">Annahmen!$B$7+Annahmen!$B$8*V103</f>
        <v>5816.50923076923</v>
      </c>
      <c r="W106" s="21" t="n">
        <f aca="false">Annahmen!$B$7+Annahmen!$B$8*W103</f>
        <v>6385.20769230769</v>
      </c>
      <c r="X106" s="21" t="n">
        <f aca="false">Annahmen!$B$7+Annahmen!$B$8*X103</f>
        <v>6953.90615384615</v>
      </c>
      <c r="Y106" s="21" t="n">
        <f aca="false">Annahmen!$B$7+Annahmen!$B$8*Y103</f>
        <v>15522.6046153846</v>
      </c>
      <c r="Z106" s="21" t="n">
        <f aca="false">Annahmen!$B$7+Annahmen!$B$8*Z103</f>
        <v>8091.30307692308</v>
      </c>
      <c r="AA106" s="21" t="n">
        <f aca="false">Annahmen!$B$7+Annahmen!$B$8*AA103</f>
        <v>8660.00153846154</v>
      </c>
      <c r="AB106" s="15" t="n">
        <f aca="false">SUM(D106:O106)</f>
        <v>12927.36</v>
      </c>
      <c r="AC106" s="15" t="n">
        <f aca="false">SUM(P106:AA106)</f>
        <v>74385.92</v>
      </c>
      <c r="AD106" s="15" t="n">
        <f aca="false">SUM(D106:U106)</f>
        <v>35883.7476923077</v>
      </c>
    </row>
    <row r="107" customFormat="false" ht="15" hidden="false" customHeight="false" outlineLevel="0" collapsed="false">
      <c r="A107" s="16" t="s">
        <v>319</v>
      </c>
      <c r="B107" s="2"/>
      <c r="C107" s="2"/>
      <c r="D107" s="17" t="n">
        <f aca="false">D104+D105+D106</f>
        <v>13318.94</v>
      </c>
      <c r="E107" s="17" t="n">
        <f aca="false">E104+E105+E106</f>
        <v>5456.82</v>
      </c>
      <c r="F107" s="17" t="n">
        <f aca="false">F104+F105+F106</f>
        <v>11094.7</v>
      </c>
      <c r="G107" s="17" t="n">
        <f aca="false">G104+G105+G106</f>
        <v>14357.58</v>
      </c>
      <c r="H107" s="17" t="n">
        <f aca="false">H104+H105+H106</f>
        <v>14495.46</v>
      </c>
      <c r="I107" s="17" t="n">
        <f aca="false">I104+I105+I106</f>
        <v>14633.34</v>
      </c>
      <c r="J107" s="17" t="n">
        <f aca="false">J104+J105+J106</f>
        <v>15771.22</v>
      </c>
      <c r="K107" s="17" t="n">
        <f aca="false">K104+K105+K106</f>
        <v>15909.1</v>
      </c>
      <c r="L107" s="17" t="n">
        <f aca="false">L104+L105+L106</f>
        <v>18046.98</v>
      </c>
      <c r="M107" s="17" t="n">
        <f aca="false">M104+M105+M106</f>
        <v>16184.86</v>
      </c>
      <c r="N107" s="17" t="n">
        <f aca="false">N104+N105+N106</f>
        <v>16322.74</v>
      </c>
      <c r="O107" s="17" t="n">
        <f aca="false">O104+O105+O106</f>
        <v>16460.62</v>
      </c>
      <c r="P107" s="17" t="n">
        <f aca="false">P104+P105+P106</f>
        <v>17029.3184615385</v>
      </c>
      <c r="Q107" s="17" t="n">
        <f aca="false">Q104+Q105+Q106</f>
        <v>17598.0169230769</v>
      </c>
      <c r="R107" s="17" t="n">
        <f aca="false">R104+R105+R106</f>
        <v>18166.7153846154</v>
      </c>
      <c r="S107" s="17" t="n">
        <f aca="false">S104+S105+S106</f>
        <v>15610.4138461538</v>
      </c>
      <c r="T107" s="17" t="n">
        <f aca="false">T104+T105+T106</f>
        <v>16179.1123076923</v>
      </c>
      <c r="U107" s="17" t="n">
        <f aca="false">U104+U105+U106</f>
        <v>16747.8107692308</v>
      </c>
      <c r="V107" s="17" t="n">
        <f aca="false">V104+V105+V106</f>
        <v>46427.8995155264</v>
      </c>
      <c r="W107" s="17" t="n">
        <f aca="false">W104+W105+W106</f>
        <v>46996.5979770648</v>
      </c>
      <c r="X107" s="17" t="n">
        <f aca="false">X104+X105+X106</f>
        <v>47565.2964386033</v>
      </c>
      <c r="Y107" s="17" t="n">
        <f aca="false">Y104+Y105+Y106</f>
        <v>56133.9949001417</v>
      </c>
      <c r="Z107" s="17" t="n">
        <f aca="false">Z104+Z105+Z106</f>
        <v>48702.6933616802</v>
      </c>
      <c r="AA107" s="17" t="n">
        <f aca="false">AA104+AA105+AA106</f>
        <v>49271.3918232187</v>
      </c>
      <c r="AB107" s="15" t="n">
        <f aca="false">SUM(D107:O107)</f>
        <v>172052.36</v>
      </c>
      <c r="AC107" s="15" t="n">
        <f aca="false">SUM(P107:AA107)</f>
        <v>396429.261708543</v>
      </c>
      <c r="AD107" s="15" t="n">
        <f aca="false">SUM(D107:U107)</f>
        <v>273383.747692308</v>
      </c>
    </row>
    <row r="108" customFormat="false" ht="15" hidden="false" customHeight="false" outlineLevel="0" collapsed="false">
      <c r="A108" s="6" t="s">
        <v>320</v>
      </c>
      <c r="B108" s="2"/>
      <c r="C108" s="2"/>
      <c r="D108" s="15" t="n">
        <f aca="false">D103-D107</f>
        <v>-12457.19</v>
      </c>
      <c r="E108" s="15" t="n">
        <f aca="false">E103-E107</f>
        <v>-2871.57</v>
      </c>
      <c r="F108" s="15" t="n">
        <f aca="false">F103-F107</f>
        <v>-6785.95</v>
      </c>
      <c r="G108" s="15" t="n">
        <f aca="false">G103-G107</f>
        <v>-8325.33</v>
      </c>
      <c r="H108" s="15" t="n">
        <f aca="false">H103-H107</f>
        <v>-6739.71</v>
      </c>
      <c r="I108" s="15" t="n">
        <f aca="false">I103-I107</f>
        <v>-5154.09</v>
      </c>
      <c r="J108" s="15" t="n">
        <f aca="false">J103-J107</f>
        <v>-4568.47</v>
      </c>
      <c r="K108" s="15" t="n">
        <f aca="false">K103-K107</f>
        <v>-2982.85</v>
      </c>
      <c r="L108" s="15" t="n">
        <f aca="false">L103-L107</f>
        <v>-3397.23</v>
      </c>
      <c r="M108" s="15" t="n">
        <f aca="false">M103-M107</f>
        <v>188.389999999999</v>
      </c>
      <c r="N108" s="15" t="n">
        <f aca="false">N103-N107</f>
        <v>1774.01</v>
      </c>
      <c r="O108" s="15" t="n">
        <f aca="false">O103-O107</f>
        <v>3359.63</v>
      </c>
      <c r="P108" s="15" t="n">
        <f aca="false">P103-P107</f>
        <v>9899.66230769231</v>
      </c>
      <c r="Q108" s="15" t="n">
        <f aca="false">Q103-Q107</f>
        <v>16439.6946153846</v>
      </c>
      <c r="R108" s="15" t="n">
        <f aca="false">R103-R107</f>
        <v>22979.7269230769</v>
      </c>
      <c r="S108" s="15" t="n">
        <f aca="false">S103-S107</f>
        <v>32644.7592307692</v>
      </c>
      <c r="T108" s="15" t="n">
        <f aca="false">T103-T107</f>
        <v>39184.7915384615</v>
      </c>
      <c r="U108" s="15" t="n">
        <f aca="false">U103-U107</f>
        <v>45724.8238461539</v>
      </c>
      <c r="V108" s="15" t="n">
        <f aca="false">V103-V107</f>
        <v>23153.465869089</v>
      </c>
      <c r="W108" s="15" t="n">
        <f aca="false">W103-W107</f>
        <v>29693.4981767813</v>
      </c>
      <c r="X108" s="15" t="n">
        <f aca="false">X103-X107</f>
        <v>36233.5304844736</v>
      </c>
      <c r="Y108" s="15" t="n">
        <f aca="false">Y103-Y107</f>
        <v>134773.562792166</v>
      </c>
      <c r="Z108" s="15" t="n">
        <f aca="false">Z103-Z107</f>
        <v>49313.5950998583</v>
      </c>
      <c r="AA108" s="15" t="n">
        <f aca="false">AA103-AA107</f>
        <v>55853.6274075506</v>
      </c>
      <c r="AB108" s="15" t="n">
        <f aca="false">SUM(D108:O108)</f>
        <v>-47960.36</v>
      </c>
      <c r="AC108" s="15" t="n">
        <f aca="false">SUM(P108:AA108)</f>
        <v>495894.738291457</v>
      </c>
      <c r="AD108" s="15" t="n">
        <f aca="false">SUM(D108:U108)</f>
        <v>118913.098461538</v>
      </c>
    </row>
    <row r="109" customFormat="false" ht="15" hidden="false" customHeight="false" outlineLevel="0" collapsed="false">
      <c r="A109" s="16" t="s">
        <v>321</v>
      </c>
      <c r="B109" s="2"/>
      <c r="C109" s="2"/>
      <c r="D109" s="36" t="n">
        <f aca="false">Annahmen!$B$6+D108</f>
        <v>237542.81</v>
      </c>
      <c r="E109" s="22" t="n">
        <f aca="false">D109+E108</f>
        <v>234671.24</v>
      </c>
      <c r="F109" s="22" t="n">
        <f aca="false">E109+F108</f>
        <v>227885.29</v>
      </c>
      <c r="G109" s="22" t="n">
        <f aca="false">F109+G108</f>
        <v>219559.96</v>
      </c>
      <c r="H109" s="22" t="n">
        <f aca="false">G109+H108</f>
        <v>212820.25</v>
      </c>
      <c r="I109" s="22" t="n">
        <f aca="false">H109+I108</f>
        <v>207666.16</v>
      </c>
      <c r="J109" s="22" t="n">
        <f aca="false">I109+J108</f>
        <v>203097.69</v>
      </c>
      <c r="K109" s="22" t="n">
        <f aca="false">J109+K108</f>
        <v>200114.84</v>
      </c>
      <c r="L109" s="22" t="n">
        <f aca="false">K109+L108</f>
        <v>196717.61</v>
      </c>
      <c r="M109" s="22" t="n">
        <f aca="false">L109+M108</f>
        <v>196906</v>
      </c>
      <c r="N109" s="22" t="n">
        <f aca="false">M109+N108</f>
        <v>198680.01</v>
      </c>
      <c r="O109" s="22" t="n">
        <f aca="false">N109+O108</f>
        <v>202039.64</v>
      </c>
      <c r="P109" s="22" t="n">
        <f aca="false">O109+P108</f>
        <v>211939.302307692</v>
      </c>
      <c r="Q109" s="22" t="n">
        <f aca="false">P109+Q108</f>
        <v>228378.996923077</v>
      </c>
      <c r="R109" s="22" t="n">
        <f aca="false">Q109+R108</f>
        <v>251358.723846154</v>
      </c>
      <c r="S109" s="22" t="n">
        <f aca="false">R109+S108</f>
        <v>284003.483076923</v>
      </c>
      <c r="T109" s="22" t="n">
        <f aca="false">S109+T108</f>
        <v>323188.274615385</v>
      </c>
      <c r="U109" s="22" t="n">
        <f aca="false">T109+U108</f>
        <v>368913.098461539</v>
      </c>
      <c r="V109" s="22" t="n">
        <f aca="false">U109+V108</f>
        <v>392066.564330628</v>
      </c>
      <c r="W109" s="22" t="n">
        <f aca="false">V109+W108</f>
        <v>421760.062507409</v>
      </c>
      <c r="X109" s="22" t="n">
        <f aca="false">W109+X108</f>
        <v>457993.592991883</v>
      </c>
      <c r="Y109" s="22" t="n">
        <f aca="false">X109+Y108</f>
        <v>592767.155784049</v>
      </c>
      <c r="Z109" s="22" t="n">
        <f aca="false">Y109+Z108</f>
        <v>642080.750883907</v>
      </c>
      <c r="AA109" s="22" t="n">
        <f aca="false">Z109+AA108</f>
        <v>697934.378291457</v>
      </c>
      <c r="AB109" s="2"/>
      <c r="AC109" s="2"/>
      <c r="AD109" s="2"/>
    </row>
    <row r="110" customFormat="false" ht="15" hidden="false" customHeight="false" outlineLevel="0" collapsed="false">
      <c r="A110" s="26" t="s">
        <v>322</v>
      </c>
      <c r="B110" s="2"/>
      <c r="C110" s="2"/>
      <c r="D110" s="37" t="n">
        <f aca="false">IF(D109&lt;0,1,0)</f>
        <v>0</v>
      </c>
      <c r="E110" s="37" t="n">
        <f aca="false">IF(E109&lt;0,1,0)</f>
        <v>0</v>
      </c>
      <c r="F110" s="37" t="n">
        <f aca="false">IF(F109&lt;0,1,0)</f>
        <v>0</v>
      </c>
      <c r="G110" s="37" t="n">
        <f aca="false">IF(G109&lt;0,1,0)</f>
        <v>0</v>
      </c>
      <c r="H110" s="37" t="n">
        <f aca="false">IF(H109&lt;0,1,0)</f>
        <v>0</v>
      </c>
      <c r="I110" s="37" t="n">
        <f aca="false">IF(I109&lt;0,1,0)</f>
        <v>0</v>
      </c>
      <c r="J110" s="37" t="n">
        <f aca="false">IF(J109&lt;0,1,0)</f>
        <v>0</v>
      </c>
      <c r="K110" s="37" t="n">
        <f aca="false">IF(K109&lt;0,1,0)</f>
        <v>0</v>
      </c>
      <c r="L110" s="37" t="n">
        <f aca="false">IF(L109&lt;0,1,0)</f>
        <v>0</v>
      </c>
      <c r="M110" s="37" t="n">
        <f aca="false">IF(M109&lt;0,1,0)</f>
        <v>0</v>
      </c>
      <c r="N110" s="37" t="n">
        <f aca="false">IF(N109&lt;0,1,0)</f>
        <v>0</v>
      </c>
      <c r="O110" s="37" t="n">
        <f aca="false">IF(O109&lt;0,1,0)</f>
        <v>0</v>
      </c>
      <c r="P110" s="37" t="n">
        <f aca="false">IF(P109&lt;0,1,0)</f>
        <v>0</v>
      </c>
      <c r="Q110" s="37" t="n">
        <f aca="false">IF(Q109&lt;0,1,0)</f>
        <v>0</v>
      </c>
      <c r="R110" s="37" t="n">
        <f aca="false">IF(R109&lt;0,1,0)</f>
        <v>0</v>
      </c>
      <c r="S110" s="37" t="n">
        <f aca="false">IF(S109&lt;0,1,0)</f>
        <v>0</v>
      </c>
      <c r="T110" s="37" t="n">
        <f aca="false">IF(T109&lt;0,1,0)</f>
        <v>0</v>
      </c>
      <c r="U110" s="37" t="n">
        <f aca="false">IF(U109&lt;0,1,0)</f>
        <v>0</v>
      </c>
      <c r="V110" s="37" t="n">
        <f aca="false">IF(V109&lt;0,1,0)</f>
        <v>0</v>
      </c>
      <c r="W110" s="37" t="n">
        <f aca="false">IF(W109&lt;0,1,0)</f>
        <v>0</v>
      </c>
      <c r="X110" s="37" t="n">
        <f aca="false">IF(X109&lt;0,1,0)</f>
        <v>0</v>
      </c>
      <c r="Y110" s="37" t="n">
        <f aca="false">IF(Y109&lt;0,1,0)</f>
        <v>0</v>
      </c>
      <c r="Z110" s="37" t="n">
        <f aca="false">IF(Z109&lt;0,1,0)</f>
        <v>0</v>
      </c>
      <c r="AA110" s="37" t="n">
        <f aca="false">IF(AA109&lt;0,1,0)</f>
        <v>0</v>
      </c>
      <c r="AB110" s="2"/>
      <c r="AC110" s="2"/>
      <c r="AD110" s="2"/>
    </row>
    <row r="111" customFormat="false" ht="15" hidden="false" customHeight="false" outlineLevel="0" collapsed="false">
      <c r="A111" s="26" t="s">
        <v>323</v>
      </c>
      <c r="B111" s="2"/>
      <c r="C111" s="2"/>
      <c r="D111" s="37" t="n">
        <f aca="false">IF(D103&gt;=D107,1,0)</f>
        <v>0</v>
      </c>
      <c r="E111" s="37" t="n">
        <f aca="false">IF(E103&gt;=E107,1,0)</f>
        <v>0</v>
      </c>
      <c r="F111" s="37" t="n">
        <f aca="false">IF(F103&gt;=F107,1,0)</f>
        <v>0</v>
      </c>
      <c r="G111" s="37" t="n">
        <f aca="false">IF(G103&gt;=G107,1,0)</f>
        <v>0</v>
      </c>
      <c r="H111" s="37" t="n">
        <f aca="false">IF(H103&gt;=H107,1,0)</f>
        <v>0</v>
      </c>
      <c r="I111" s="37" t="n">
        <f aca="false">IF(I103&gt;=I107,1,0)</f>
        <v>0</v>
      </c>
      <c r="J111" s="37" t="n">
        <f aca="false">IF(J103&gt;=J107,1,0)</f>
        <v>0</v>
      </c>
      <c r="K111" s="37" t="n">
        <f aca="false">IF(K103&gt;=K107,1,0)</f>
        <v>0</v>
      </c>
      <c r="L111" s="37" t="n">
        <f aca="false">IF(L103&gt;=L107,1,0)</f>
        <v>0</v>
      </c>
      <c r="M111" s="37" t="n">
        <f aca="false">IF(M103&gt;=M107,1,0)</f>
        <v>1</v>
      </c>
      <c r="N111" s="37" t="n">
        <f aca="false">IF(N103&gt;=N107,1,0)</f>
        <v>1</v>
      </c>
      <c r="O111" s="37" t="n">
        <f aca="false">IF(O103&gt;=O107,1,0)</f>
        <v>1</v>
      </c>
      <c r="P111" s="37" t="n">
        <f aca="false">IF(P103&gt;=P107,1,0)</f>
        <v>1</v>
      </c>
      <c r="Q111" s="37" t="n">
        <f aca="false">IF(Q103&gt;=Q107,1,0)</f>
        <v>1</v>
      </c>
      <c r="R111" s="37" t="n">
        <f aca="false">IF(R103&gt;=R107,1,0)</f>
        <v>1</v>
      </c>
      <c r="S111" s="37" t="n">
        <f aca="false">IF(S103&gt;=S107,1,0)</f>
        <v>1</v>
      </c>
      <c r="T111" s="37" t="n">
        <f aca="false">IF(T103&gt;=T107,1,0)</f>
        <v>1</v>
      </c>
      <c r="U111" s="37" t="n">
        <f aca="false">IF(U103&gt;=U107,1,0)</f>
        <v>1</v>
      </c>
      <c r="V111" s="37" t="n">
        <f aca="false">IF(V103&gt;=V107,1,0)</f>
        <v>1</v>
      </c>
      <c r="W111" s="37" t="n">
        <f aca="false">IF(W103&gt;=W107,1,0)</f>
        <v>1</v>
      </c>
      <c r="X111" s="37" t="n">
        <f aca="false">IF(X103&gt;=X107,1,0)</f>
        <v>1</v>
      </c>
      <c r="Y111" s="37" t="n">
        <f aca="false">IF(Y103&gt;=Y107,1,0)</f>
        <v>1</v>
      </c>
      <c r="Z111" s="37" t="n">
        <f aca="false">IF(Z103&gt;=Z107,1,0)</f>
        <v>1</v>
      </c>
      <c r="AA111" s="37" t="n">
        <f aca="false">IF(AA103&gt;=AA107,1,0)</f>
        <v>1</v>
      </c>
      <c r="AB111" s="2"/>
      <c r="AC111" s="2"/>
      <c r="AD111" s="2"/>
    </row>
    <row r="112" customFormat="false" ht="15" hidden="false" customHeight="false" outlineLevel="0" collapsed="false">
      <c r="A112" s="26" t="s">
        <v>324</v>
      </c>
      <c r="B112" s="2"/>
      <c r="C112" s="2"/>
      <c r="D112" s="37" t="n">
        <f aca="false">IF(AND(D111=1,E112=1),1,0)</f>
        <v>0</v>
      </c>
      <c r="E112" s="37" t="n">
        <f aca="false">IF(AND(E111=1,F112=1),1,0)</f>
        <v>0</v>
      </c>
      <c r="F112" s="37" t="n">
        <f aca="false">IF(AND(F111=1,G112=1),1,0)</f>
        <v>0</v>
      </c>
      <c r="G112" s="37" t="n">
        <f aca="false">IF(AND(G111=1,H112=1),1,0)</f>
        <v>0</v>
      </c>
      <c r="H112" s="37" t="n">
        <f aca="false">IF(AND(H111=1,I112=1),1,0)</f>
        <v>0</v>
      </c>
      <c r="I112" s="37" t="n">
        <f aca="false">IF(AND(I111=1,J112=1),1,0)</f>
        <v>0</v>
      </c>
      <c r="J112" s="37" t="n">
        <f aca="false">IF(AND(J111=1,K112=1),1,0)</f>
        <v>0</v>
      </c>
      <c r="K112" s="37" t="n">
        <f aca="false">IF(AND(K111=1,L112=1),1,0)</f>
        <v>0</v>
      </c>
      <c r="L112" s="37" t="n">
        <f aca="false">IF(AND(L111=1,M112=1),1,0)</f>
        <v>0</v>
      </c>
      <c r="M112" s="37" t="n">
        <f aca="false">IF(AND(M111=1,N112=1),1,0)</f>
        <v>1</v>
      </c>
      <c r="N112" s="37" t="n">
        <f aca="false">IF(AND(N111=1,O112=1),1,0)</f>
        <v>1</v>
      </c>
      <c r="O112" s="37" t="n">
        <f aca="false">IF(AND(O111=1,P112=1),1,0)</f>
        <v>1</v>
      </c>
      <c r="P112" s="37" t="n">
        <f aca="false">IF(AND(P111=1,Q112=1),1,0)</f>
        <v>1</v>
      </c>
      <c r="Q112" s="37" t="n">
        <f aca="false">IF(AND(Q111=1,R112=1),1,0)</f>
        <v>1</v>
      </c>
      <c r="R112" s="37" t="n">
        <f aca="false">IF(AND(R111=1,S112=1),1,0)</f>
        <v>1</v>
      </c>
      <c r="S112" s="37" t="n">
        <f aca="false">IF(AND(S111=1,T112=1),1,0)</f>
        <v>1</v>
      </c>
      <c r="T112" s="37" t="n">
        <f aca="false">IF(AND(T111=1,U112=1),1,0)</f>
        <v>1</v>
      </c>
      <c r="U112" s="37" t="n">
        <f aca="false">IF(AND(U111=1,V112=1),1,0)</f>
        <v>1</v>
      </c>
      <c r="V112" s="37" t="n">
        <f aca="false">IF(AND(V111=1,W112=1),1,0)</f>
        <v>1</v>
      </c>
      <c r="W112" s="37" t="n">
        <f aca="false">IF(AND(W111=1,X112=1),1,0)</f>
        <v>1</v>
      </c>
      <c r="X112" s="37" t="n">
        <f aca="false">IF(AND(X111=1,Y112=1),1,0)</f>
        <v>1</v>
      </c>
      <c r="Y112" s="37" t="n">
        <f aca="false">IF(AND(Y111=1,Z112=1),1,0)</f>
        <v>1</v>
      </c>
      <c r="Z112" s="37" t="n">
        <f aca="false">IF(AND(Z111=1,AA112=1),1,0)</f>
        <v>1</v>
      </c>
      <c r="AA112" s="37" t="n">
        <f aca="false">IF(AND(AA111=1,1=1),1,0)</f>
        <v>1</v>
      </c>
      <c r="AB112" s="2"/>
      <c r="AC112" s="2"/>
      <c r="AD112" s="2"/>
    </row>
    <row r="113" customFormat="false" ht="15" hidden="false" customHeight="false" outlineLevel="0" collapsed="false">
      <c r="A113" s="26" t="s">
        <v>325</v>
      </c>
      <c r="B113" s="2"/>
      <c r="C113" s="2"/>
      <c r="D113" s="37" t="n">
        <f aca="false">IF(D109&lt;Annahmen!$B$14*D107,1,0)</f>
        <v>0</v>
      </c>
      <c r="E113" s="37" t="n">
        <f aca="false">IF(E109&lt;Annahmen!$B$14*E107,1,0)</f>
        <v>0</v>
      </c>
      <c r="F113" s="37" t="n">
        <f aca="false">IF(F109&lt;Annahmen!$B$14*F107,1,0)</f>
        <v>0</v>
      </c>
      <c r="G113" s="37" t="n">
        <f aca="false">IF(G109&lt;Annahmen!$B$14*G107,1,0)</f>
        <v>0</v>
      </c>
      <c r="H113" s="37" t="n">
        <f aca="false">IF(H109&lt;Annahmen!$B$14*H107,1,0)</f>
        <v>0</v>
      </c>
      <c r="I113" s="37" t="n">
        <f aca="false">IF(I109&lt;Annahmen!$B$14*I107,1,0)</f>
        <v>0</v>
      </c>
      <c r="J113" s="37" t="n">
        <f aca="false">IF(J109&lt;Annahmen!$B$14*J107,1,0)</f>
        <v>0</v>
      </c>
      <c r="K113" s="37" t="n">
        <f aca="false">IF(K109&lt;Annahmen!$B$14*K107,1,0)</f>
        <v>0</v>
      </c>
      <c r="L113" s="37" t="n">
        <f aca="false">IF(L109&lt;Annahmen!$B$14*L107,1,0)</f>
        <v>0</v>
      </c>
      <c r="M113" s="37" t="n">
        <f aca="false">IF(M109&lt;Annahmen!$B$14*M107,1,0)</f>
        <v>0</v>
      </c>
      <c r="N113" s="37" t="n">
        <f aca="false">IF(N109&lt;Annahmen!$B$14*N107,1,0)</f>
        <v>0</v>
      </c>
      <c r="O113" s="37" t="n">
        <f aca="false">IF(O109&lt;Annahmen!$B$14*O107,1,0)</f>
        <v>0</v>
      </c>
      <c r="P113" s="37" t="n">
        <f aca="false">IF(P109&lt;Annahmen!$B$14*P107,1,0)</f>
        <v>0</v>
      </c>
      <c r="Q113" s="37" t="n">
        <f aca="false">IF(Q109&lt;Annahmen!$B$14*Q107,1,0)</f>
        <v>0</v>
      </c>
      <c r="R113" s="37" t="n">
        <f aca="false">IF(R109&lt;Annahmen!$B$14*R107,1,0)</f>
        <v>0</v>
      </c>
      <c r="S113" s="37" t="n">
        <f aca="false">IF(S109&lt;Annahmen!$B$14*S107,1,0)</f>
        <v>0</v>
      </c>
      <c r="T113" s="37" t="n">
        <f aca="false">IF(T109&lt;Annahmen!$B$14*T107,1,0)</f>
        <v>0</v>
      </c>
      <c r="U113" s="37" t="n">
        <f aca="false">IF(U109&lt;Annahmen!$B$14*U107,1,0)</f>
        <v>0</v>
      </c>
      <c r="V113" s="37" t="n">
        <f aca="false">IF(V109&lt;Annahmen!$B$14*V107,1,0)</f>
        <v>0</v>
      </c>
      <c r="W113" s="37" t="n">
        <f aca="false">IF(W109&lt;Annahmen!$B$14*W107,1,0)</f>
        <v>0</v>
      </c>
      <c r="X113" s="37" t="n">
        <f aca="false">IF(X109&lt;Annahmen!$B$14*X107,1,0)</f>
        <v>0</v>
      </c>
      <c r="Y113" s="37" t="n">
        <f aca="false">IF(Y109&lt;Annahmen!$B$14*Y107,1,0)</f>
        <v>0</v>
      </c>
      <c r="Z113" s="37" t="n">
        <f aca="false">IF(Z109&lt;Annahmen!$B$14*Z107,1,0)</f>
        <v>0</v>
      </c>
      <c r="AA113" s="37" t="n">
        <f aca="false">IF(AA109&lt;Annahmen!$B$14*AA107,1,0)</f>
        <v>0</v>
      </c>
      <c r="AB113" s="2"/>
      <c r="AC113" s="2"/>
      <c r="AD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customFormat="false" ht="15" hidden="false" customHeight="false" outlineLevel="0" collapsed="false">
      <c r="A115" s="4" t="s">
        <v>326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customFormat="false" ht="15" hidden="false" customHeight="false" outlineLevel="0" collapsed="false">
      <c r="A116" s="16" t="s">
        <v>327</v>
      </c>
      <c r="B116" s="2"/>
      <c r="C116" s="2"/>
      <c r="D116" s="21" t="n">
        <f aca="false">D$39+D$50+Annahmen!$B$7</f>
        <v>13250</v>
      </c>
      <c r="E116" s="21" t="n">
        <f aca="false">E$39+E$50+Annahmen!$B$7</f>
        <v>5250</v>
      </c>
      <c r="F116" s="21" t="n">
        <f aca="false">F$39+F$50+Annahmen!$B$7</f>
        <v>10750</v>
      </c>
      <c r="G116" s="21" t="n">
        <f aca="false">G$39+G$50+Annahmen!$B$7</f>
        <v>13875</v>
      </c>
      <c r="H116" s="21" t="n">
        <f aca="false">H$39+H$50+Annahmen!$B$7</f>
        <v>13875</v>
      </c>
      <c r="I116" s="21" t="n">
        <f aca="false">I$39+I$50+Annahmen!$B$7</f>
        <v>13875</v>
      </c>
      <c r="J116" s="21" t="n">
        <f aca="false">J$39+J$50+Annahmen!$B$7</f>
        <v>14875</v>
      </c>
      <c r="K116" s="21" t="n">
        <f aca="false">K$39+K$50+Annahmen!$B$7</f>
        <v>14875</v>
      </c>
      <c r="L116" s="21" t="n">
        <f aca="false">L$39+L$50+Annahmen!$B$7</f>
        <v>16875</v>
      </c>
      <c r="M116" s="21" t="n">
        <f aca="false">M$39+M$50+Annahmen!$B$7</f>
        <v>14875</v>
      </c>
      <c r="N116" s="21" t="n">
        <f aca="false">N$39+N$50+Annahmen!$B$7</f>
        <v>14875</v>
      </c>
      <c r="O116" s="21" t="n">
        <f aca="false">O$39+O$50+Annahmen!$B$7</f>
        <v>14875</v>
      </c>
      <c r="P116" s="21" t="n">
        <f aca="false">P$39+P$50+Annahmen!$B$7</f>
        <v>14875</v>
      </c>
      <c r="Q116" s="21" t="n">
        <f aca="false">Q$39+Q$50+Annahmen!$B$7</f>
        <v>14875</v>
      </c>
      <c r="R116" s="21" t="n">
        <f aca="false">R$39+R$50+Annahmen!$B$7</f>
        <v>14875</v>
      </c>
      <c r="S116" s="21" t="n">
        <f aca="false">S$39+S$50+Annahmen!$B$7</f>
        <v>11750</v>
      </c>
      <c r="T116" s="21" t="n">
        <f aca="false">T$39+T$50+Annahmen!$B$7</f>
        <v>11750</v>
      </c>
      <c r="U116" s="21" t="n">
        <f aca="false">U$39+U$50+Annahmen!$B$7</f>
        <v>11750</v>
      </c>
      <c r="V116" s="21" t="n">
        <f aca="false">V$39+V$50+Annahmen!$B$7</f>
        <v>11750</v>
      </c>
      <c r="W116" s="21" t="n">
        <f aca="false">W$39+W$50+Annahmen!$B$7</f>
        <v>11750</v>
      </c>
      <c r="X116" s="21" t="n">
        <f aca="false">X$39+X$50+Annahmen!$B$7</f>
        <v>11750</v>
      </c>
      <c r="Y116" s="21" t="n">
        <f aca="false">Y$39+Y$50+Annahmen!$B$7</f>
        <v>11750</v>
      </c>
      <c r="Z116" s="21" t="n">
        <f aca="false">Z$39+Z$50+Annahmen!$B$7</f>
        <v>11750</v>
      </c>
      <c r="AA116" s="21" t="n">
        <f aca="false">AA$39+AA$50+Annahmen!$B$7</f>
        <v>11750</v>
      </c>
      <c r="AB116" s="15" t="n">
        <f aca="false">SUM(D116:O116)</f>
        <v>162125</v>
      </c>
      <c r="AC116" s="15" t="n">
        <f aca="false">SUM(P116:AA116)</f>
        <v>150375</v>
      </c>
      <c r="AD116" s="15" t="n">
        <f aca="false">SUM(D116:U116)</f>
        <v>242000</v>
      </c>
    </row>
    <row r="117" customFormat="false" ht="15" hidden="false" customHeight="false" outlineLevel="0" collapsed="false">
      <c r="A117" s="16" t="s">
        <v>328</v>
      </c>
      <c r="B117" s="2"/>
      <c r="C117" s="2"/>
      <c r="D117" s="36" t="n">
        <f aca="false">Annahmen!$B$6-D116</f>
        <v>236750</v>
      </c>
      <c r="E117" s="22" t="n">
        <f aca="false">D117-E116</f>
        <v>231500</v>
      </c>
      <c r="F117" s="22" t="n">
        <f aca="false">E117-F116</f>
        <v>220750</v>
      </c>
      <c r="G117" s="22" t="n">
        <f aca="false">F117-G116</f>
        <v>206875</v>
      </c>
      <c r="H117" s="22" t="n">
        <f aca="false">G117-H116</f>
        <v>193000</v>
      </c>
      <c r="I117" s="22" t="n">
        <f aca="false">H117-I116</f>
        <v>179125</v>
      </c>
      <c r="J117" s="22" t="n">
        <f aca="false">I117-J116</f>
        <v>164250</v>
      </c>
      <c r="K117" s="22" t="n">
        <f aca="false">J117-K116</f>
        <v>149375</v>
      </c>
      <c r="L117" s="22" t="n">
        <f aca="false">K117-L116</f>
        <v>132500</v>
      </c>
      <c r="M117" s="22" t="n">
        <f aca="false">L117-M116</f>
        <v>117625</v>
      </c>
      <c r="N117" s="22" t="n">
        <f aca="false">M117-N116</f>
        <v>102750</v>
      </c>
      <c r="O117" s="22" t="n">
        <f aca="false">N117-O116</f>
        <v>87875</v>
      </c>
      <c r="P117" s="22" t="n">
        <f aca="false">O117-P116</f>
        <v>73000</v>
      </c>
      <c r="Q117" s="22" t="n">
        <f aca="false">P117-Q116</f>
        <v>58125</v>
      </c>
      <c r="R117" s="22" t="n">
        <f aca="false">Q117-R116</f>
        <v>43250</v>
      </c>
      <c r="S117" s="22" t="n">
        <f aca="false">R117-S116</f>
        <v>31500</v>
      </c>
      <c r="T117" s="22" t="n">
        <f aca="false">S117-T116</f>
        <v>19750</v>
      </c>
      <c r="U117" s="22" t="n">
        <f aca="false">T117-U116</f>
        <v>8000</v>
      </c>
      <c r="V117" s="22" t="n">
        <f aca="false">U117-V116</f>
        <v>-3750</v>
      </c>
      <c r="W117" s="22" t="n">
        <f aca="false">V117-W116</f>
        <v>-15500</v>
      </c>
      <c r="X117" s="22" t="n">
        <f aca="false">W117-X116</f>
        <v>-27250</v>
      </c>
      <c r="Y117" s="22" t="n">
        <f aca="false">X117-Y116</f>
        <v>-39000</v>
      </c>
      <c r="Z117" s="22" t="n">
        <f aca="false">Y117-Z116</f>
        <v>-50750</v>
      </c>
      <c r="AA117" s="22" t="n">
        <f aca="false">Z117-AA116</f>
        <v>-62500</v>
      </c>
      <c r="AB117" s="2"/>
      <c r="AC117" s="2"/>
      <c r="AD117" s="2"/>
    </row>
    <row r="118" customFormat="false" ht="15" hidden="false" customHeight="false" outlineLevel="0" collapsed="false">
      <c r="A118" s="26" t="s">
        <v>329</v>
      </c>
      <c r="B118" s="2"/>
      <c r="C118" s="2"/>
      <c r="D118" s="37" t="n">
        <f aca="false">IF(D117&lt;0,1,0)</f>
        <v>0</v>
      </c>
      <c r="E118" s="37" t="n">
        <f aca="false">IF(E117&lt;0,1,0)</f>
        <v>0</v>
      </c>
      <c r="F118" s="37" t="n">
        <f aca="false">IF(F117&lt;0,1,0)</f>
        <v>0</v>
      </c>
      <c r="G118" s="37" t="n">
        <f aca="false">IF(G117&lt;0,1,0)</f>
        <v>0</v>
      </c>
      <c r="H118" s="37" t="n">
        <f aca="false">IF(H117&lt;0,1,0)</f>
        <v>0</v>
      </c>
      <c r="I118" s="37" t="n">
        <f aca="false">IF(I117&lt;0,1,0)</f>
        <v>0</v>
      </c>
      <c r="J118" s="37" t="n">
        <f aca="false">IF(J117&lt;0,1,0)</f>
        <v>0</v>
      </c>
      <c r="K118" s="37" t="n">
        <f aca="false">IF(K117&lt;0,1,0)</f>
        <v>0</v>
      </c>
      <c r="L118" s="37" t="n">
        <f aca="false">IF(L117&lt;0,1,0)</f>
        <v>0</v>
      </c>
      <c r="M118" s="37" t="n">
        <f aca="false">IF(M117&lt;0,1,0)</f>
        <v>0</v>
      </c>
      <c r="N118" s="37" t="n">
        <f aca="false">IF(N117&lt;0,1,0)</f>
        <v>0</v>
      </c>
      <c r="O118" s="37" t="n">
        <f aca="false">IF(O117&lt;0,1,0)</f>
        <v>0</v>
      </c>
      <c r="P118" s="37" t="n">
        <f aca="false">IF(P117&lt;0,1,0)</f>
        <v>0</v>
      </c>
      <c r="Q118" s="37" t="n">
        <f aca="false">IF(Q117&lt;0,1,0)</f>
        <v>0</v>
      </c>
      <c r="R118" s="37" t="n">
        <f aca="false">IF(R117&lt;0,1,0)</f>
        <v>0</v>
      </c>
      <c r="S118" s="37" t="n">
        <f aca="false">IF(S117&lt;0,1,0)</f>
        <v>0</v>
      </c>
      <c r="T118" s="37" t="n">
        <f aca="false">IF(T117&lt;0,1,0)</f>
        <v>0</v>
      </c>
      <c r="U118" s="37" t="n">
        <f aca="false">IF(U117&lt;0,1,0)</f>
        <v>0</v>
      </c>
      <c r="V118" s="37" t="n">
        <f aca="false">IF(V117&lt;0,1,0)</f>
        <v>1</v>
      </c>
      <c r="W118" s="37" t="n">
        <f aca="false">IF(W117&lt;0,1,0)</f>
        <v>1</v>
      </c>
      <c r="X118" s="37" t="n">
        <f aca="false">IF(X117&lt;0,1,0)</f>
        <v>1</v>
      </c>
      <c r="Y118" s="37" t="n">
        <f aca="false">IF(Y117&lt;0,1,0)</f>
        <v>1</v>
      </c>
      <c r="Z118" s="37" t="n">
        <f aca="false">IF(Z117&lt;0,1,0)</f>
        <v>1</v>
      </c>
      <c r="AA118" s="37" t="n">
        <f aca="false">IF(AA117&lt;0,1,0)</f>
        <v>1</v>
      </c>
      <c r="AB118" s="2"/>
      <c r="AC118" s="2"/>
      <c r="AD1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58"/>
    <col collapsed="false" customWidth="true" hidden="false" outlineLevel="0" max="7" min="5" style="0" width="15"/>
    <col collapsed="false" customWidth="true" hidden="false" outlineLevel="0" max="8" min="8" style="0" width="22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1" t="s">
        <v>330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331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2" t="s">
        <v>332</v>
      </c>
      <c r="B4" s="12" t="s">
        <v>255</v>
      </c>
      <c r="C4" s="12" t="s">
        <v>333</v>
      </c>
      <c r="D4" s="12" t="s">
        <v>334</v>
      </c>
      <c r="E4" s="12" t="s">
        <v>335</v>
      </c>
      <c r="F4" s="12" t="s">
        <v>336</v>
      </c>
      <c r="G4" s="12" t="s">
        <v>35</v>
      </c>
      <c r="H4" s="12" t="s">
        <v>337</v>
      </c>
      <c r="I4" s="12" t="s">
        <v>338</v>
      </c>
    </row>
    <row r="5" customFormat="false" ht="15" hidden="false" customHeight="false" outlineLevel="0" collapsed="false">
      <c r="A5" s="34" t="s">
        <v>339</v>
      </c>
      <c r="B5" s="10" t="n">
        <v>3</v>
      </c>
      <c r="C5" s="6" t="s">
        <v>340</v>
      </c>
      <c r="D5" s="6" t="s">
        <v>341</v>
      </c>
      <c r="E5" s="2"/>
      <c r="F5" s="2"/>
      <c r="G5" s="2"/>
      <c r="H5" s="6" t="s">
        <v>342</v>
      </c>
      <c r="I5" s="6" t="s">
        <v>343</v>
      </c>
    </row>
    <row r="6" customFormat="false" ht="15" hidden="false" customHeight="false" outlineLevel="0" collapsed="false">
      <c r="A6" s="34" t="s">
        <v>344</v>
      </c>
      <c r="B6" s="10" t="n">
        <v>6</v>
      </c>
      <c r="C6" s="6" t="s">
        <v>345</v>
      </c>
      <c r="D6" s="6" t="s">
        <v>346</v>
      </c>
      <c r="E6" s="38" t="n">
        <f aca="false">Annahmen!$D$22*6/12</f>
        <v>10000</v>
      </c>
      <c r="F6" s="18" t="n">
        <f aca="false">Annahmen!$C$22*6/12</f>
        <v>4000</v>
      </c>
      <c r="G6" s="18" t="n">
        <f aca="false">Annahmen!$E$22*6/12</f>
        <v>20000</v>
      </c>
      <c r="H6" s="6" t="s">
        <v>342</v>
      </c>
      <c r="I6" s="6" t="s">
        <v>347</v>
      </c>
    </row>
    <row r="7" customFormat="false" ht="15" hidden="false" customHeight="false" outlineLevel="0" collapsed="false">
      <c r="A7" s="34" t="s">
        <v>344</v>
      </c>
      <c r="B7" s="10" t="n">
        <v>6</v>
      </c>
      <c r="C7" s="6" t="s">
        <v>345</v>
      </c>
      <c r="D7" s="6" t="s">
        <v>348</v>
      </c>
      <c r="E7" s="38" t="n">
        <f aca="false">Annahmen!$D$22*6/12*Annahmen!$D$27</f>
        <v>400</v>
      </c>
      <c r="F7" s="18" t="n">
        <f aca="false">Annahmen!$C$22*6/12*Annahmen!$C$27</f>
        <v>120</v>
      </c>
      <c r="G7" s="18" t="n">
        <f aca="false">Annahmen!$E$22*6/12*Annahmen!$E$27</f>
        <v>1000</v>
      </c>
      <c r="H7" s="6" t="s">
        <v>342</v>
      </c>
      <c r="I7" s="6"/>
    </row>
    <row r="8" customFormat="false" ht="15" hidden="false" customHeight="false" outlineLevel="0" collapsed="false">
      <c r="A8" s="34" t="s">
        <v>344</v>
      </c>
      <c r="B8" s="10" t="n">
        <v>6</v>
      </c>
      <c r="C8" s="6" t="s">
        <v>345</v>
      </c>
      <c r="D8" s="6" t="s">
        <v>349</v>
      </c>
      <c r="E8" s="2"/>
      <c r="F8" s="2"/>
      <c r="G8" s="2"/>
      <c r="H8" s="6" t="s">
        <v>342</v>
      </c>
      <c r="I8" s="6"/>
    </row>
    <row r="9" customFormat="false" ht="15" hidden="false" customHeight="false" outlineLevel="0" collapsed="false">
      <c r="A9" s="34" t="s">
        <v>344</v>
      </c>
      <c r="B9" s="10" t="n">
        <v>6</v>
      </c>
      <c r="C9" s="6" t="s">
        <v>345</v>
      </c>
      <c r="D9" s="6" t="s">
        <v>350</v>
      </c>
      <c r="E9" s="2"/>
      <c r="F9" s="2"/>
      <c r="G9" s="2"/>
      <c r="H9" s="6" t="s">
        <v>342</v>
      </c>
      <c r="I9" s="6"/>
    </row>
    <row r="10" customFormat="false" ht="15" hidden="false" customHeight="false" outlineLevel="0" collapsed="false">
      <c r="A10" s="34" t="s">
        <v>351</v>
      </c>
      <c r="B10" s="10" t="n">
        <v>12</v>
      </c>
      <c r="C10" s="6" t="s">
        <v>352</v>
      </c>
      <c r="D10" s="6" t="s">
        <v>346</v>
      </c>
      <c r="E10" s="38" t="n">
        <f aca="false">Annahmen!$D$22*12/12</f>
        <v>20000</v>
      </c>
      <c r="F10" s="18" t="n">
        <f aca="false">Annahmen!$C$22*12/12</f>
        <v>8000</v>
      </c>
      <c r="G10" s="18" t="n">
        <f aca="false">Annahmen!$E$22*12/12</f>
        <v>40000</v>
      </c>
      <c r="H10" s="6" t="s">
        <v>342</v>
      </c>
      <c r="I10" s="6" t="s">
        <v>353</v>
      </c>
    </row>
    <row r="11" customFormat="false" ht="15" hidden="false" customHeight="false" outlineLevel="0" collapsed="false">
      <c r="A11" s="34" t="s">
        <v>351</v>
      </c>
      <c r="B11" s="10" t="n">
        <v>12</v>
      </c>
      <c r="C11" s="6" t="s">
        <v>352</v>
      </c>
      <c r="D11" s="6" t="s">
        <v>354</v>
      </c>
      <c r="E11" s="38" t="n">
        <f aca="false">Annahmen!$D$22*12/12*Annahmen!$D$27</f>
        <v>800</v>
      </c>
      <c r="F11" s="18" t="n">
        <f aca="false">Annahmen!$C$22*12/12*Annahmen!$C$27</f>
        <v>240</v>
      </c>
      <c r="G11" s="18" t="n">
        <f aca="false">Annahmen!$E$22*12/12*Annahmen!$E$27</f>
        <v>2000</v>
      </c>
      <c r="H11" s="6" t="s">
        <v>342</v>
      </c>
      <c r="I11" s="6"/>
    </row>
    <row r="12" customFormat="false" ht="15" hidden="false" customHeight="false" outlineLevel="0" collapsed="false">
      <c r="A12" s="34" t="s">
        <v>351</v>
      </c>
      <c r="B12" s="10" t="n">
        <v>12</v>
      </c>
      <c r="C12" s="6" t="s">
        <v>352</v>
      </c>
      <c r="D12" s="6" t="s">
        <v>355</v>
      </c>
      <c r="E12" s="39" t="n">
        <f aca="false">INDEX('Liquidität 24M'!$D$80:$AA$80,12)</f>
        <v>8073</v>
      </c>
      <c r="F12" s="21" t="n">
        <f aca="false">INDEX('Liquidität 24M'!$D$59:$AA$59,12)</f>
        <v>2499.71666666667</v>
      </c>
      <c r="G12" s="21" t="n">
        <f aca="false">INDEX('Liquidität 24M'!$D$101:$AA$101,12)</f>
        <v>19820.25</v>
      </c>
      <c r="H12" s="6" t="s">
        <v>342</v>
      </c>
      <c r="I12" s="6"/>
    </row>
    <row r="13" customFormat="false" ht="15" hidden="false" customHeight="false" outlineLevel="0" collapsed="false">
      <c r="A13" s="34" t="s">
        <v>351</v>
      </c>
      <c r="B13" s="10" t="n">
        <v>12</v>
      </c>
      <c r="C13" s="6" t="s">
        <v>352</v>
      </c>
      <c r="D13" s="6" t="s">
        <v>356</v>
      </c>
      <c r="E13" s="2"/>
      <c r="F13" s="2"/>
      <c r="G13" s="2"/>
      <c r="H13" s="6" t="s">
        <v>342</v>
      </c>
      <c r="I13" s="6"/>
    </row>
    <row r="14" customFormat="false" ht="15" hidden="false" customHeight="false" outlineLevel="0" collapsed="false">
      <c r="A14" s="34" t="s">
        <v>357</v>
      </c>
      <c r="B14" s="10" t="n">
        <v>18</v>
      </c>
      <c r="C14" s="6" t="s">
        <v>358</v>
      </c>
      <c r="D14" s="6" t="s">
        <v>346</v>
      </c>
      <c r="E14" s="38" t="n">
        <f aca="false">(Annahmen!$D$22+(Annahmen!$D$23-Annahmen!$D$22)*6/12)</f>
        <v>50000</v>
      </c>
      <c r="F14" s="18" t="n">
        <f aca="false">(Annahmen!$C$22+(Annahmen!$C$23-Annahmen!$C$22)*6/12)</f>
        <v>19000</v>
      </c>
      <c r="G14" s="18" t="n">
        <f aca="false">(Annahmen!$E$22+(Annahmen!$E$23-Annahmen!$E$22)*6/12)</f>
        <v>110000</v>
      </c>
      <c r="H14" s="6" t="s">
        <v>342</v>
      </c>
      <c r="I14" s="6" t="s">
        <v>359</v>
      </c>
    </row>
    <row r="15" customFormat="false" ht="15" hidden="false" customHeight="false" outlineLevel="0" collapsed="false">
      <c r="A15" s="34" t="s">
        <v>357</v>
      </c>
      <c r="B15" s="10" t="n">
        <v>18</v>
      </c>
      <c r="C15" s="6" t="s">
        <v>358</v>
      </c>
      <c r="D15" s="6" t="s">
        <v>348</v>
      </c>
      <c r="E15" s="38" t="n">
        <f aca="false">(Annahmen!$D$22+(Annahmen!$D$23-Annahmen!$D$22)*6/12)*Annahmen!$D$27</f>
        <v>2000</v>
      </c>
      <c r="F15" s="18" t="n">
        <f aca="false">(Annahmen!$C$22+(Annahmen!$C$23-Annahmen!$C$22)*6/12)*Annahmen!$C$27</f>
        <v>570</v>
      </c>
      <c r="G15" s="18" t="n">
        <f aca="false">(Annahmen!$E$22+(Annahmen!$E$23-Annahmen!$E$22)*6/12)*Annahmen!$E$27</f>
        <v>5500</v>
      </c>
      <c r="H15" s="6" t="s">
        <v>342</v>
      </c>
      <c r="I15" s="6"/>
    </row>
    <row r="16" customFormat="false" ht="15" hidden="false" customHeight="false" outlineLevel="0" collapsed="false">
      <c r="A16" s="34" t="s">
        <v>357</v>
      </c>
      <c r="B16" s="10" t="n">
        <v>18</v>
      </c>
      <c r="C16" s="6" t="s">
        <v>358</v>
      </c>
      <c r="D16" s="6" t="s">
        <v>360</v>
      </c>
      <c r="E16" s="39" t="n">
        <f aca="false">INDEX('Liquidität 24M'!$D$80:$AA$80,18)</f>
        <v>22585.6153846154</v>
      </c>
      <c r="F16" s="21" t="n">
        <f aca="false">INDEX('Liquidität 24M'!$D$59:$AA$59,18)</f>
        <v>6494.82435897436</v>
      </c>
      <c r="G16" s="21" t="n">
        <f aca="false">INDEX('Liquidität 24M'!$D$101:$AA$101,18)</f>
        <v>62472.6346153846</v>
      </c>
      <c r="H16" s="6" t="s">
        <v>342</v>
      </c>
      <c r="I16" s="6"/>
    </row>
    <row r="17" customFormat="false" ht="15" hidden="false" customHeight="false" outlineLevel="0" collapsed="false">
      <c r="A17" s="34" t="s">
        <v>357</v>
      </c>
      <c r="B17" s="10" t="n">
        <v>18</v>
      </c>
      <c r="C17" s="6" t="s">
        <v>358</v>
      </c>
      <c r="D17" s="6" t="s">
        <v>361</v>
      </c>
      <c r="E17" s="2"/>
      <c r="F17" s="2"/>
      <c r="G17" s="2"/>
      <c r="H17" s="6" t="s">
        <v>342</v>
      </c>
      <c r="I17" s="6"/>
    </row>
    <row r="18" customFormat="false" ht="15" hidden="false" customHeight="false" outlineLevel="0" collapsed="false">
      <c r="A18" s="34" t="s">
        <v>357</v>
      </c>
      <c r="B18" s="10" t="n">
        <v>18</v>
      </c>
      <c r="C18" s="6" t="s">
        <v>358</v>
      </c>
      <c r="D18" s="6" t="s">
        <v>362</v>
      </c>
      <c r="E18" s="2"/>
      <c r="F18" s="2"/>
      <c r="G18" s="2"/>
      <c r="H18" s="6" t="s">
        <v>342</v>
      </c>
      <c r="I18" s="6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3" t="s">
        <v>363</v>
      </c>
      <c r="B20" s="2"/>
      <c r="C20" s="2"/>
      <c r="D20" s="2"/>
      <c r="E20" s="2"/>
      <c r="F20" s="2"/>
      <c r="G20" s="2"/>
      <c r="H20" s="2"/>
      <c r="I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7"/>
    <col collapsed="false" customWidth="true" hidden="false" outlineLevel="0" max="7" min="7" style="0" width="95"/>
  </cols>
  <sheetData>
    <row r="1" customFormat="false" ht="17.35" hidden="false" customHeight="false" outlineLevel="0" collapsed="false">
      <c r="A1" s="1" t="s">
        <v>364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365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366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4" t="s">
        <v>367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6" t="s">
        <v>368</v>
      </c>
      <c r="B6" s="7" t="n">
        <v>1000000</v>
      </c>
      <c r="C6" s="2"/>
      <c r="D6" s="2"/>
      <c r="E6" s="2"/>
      <c r="F6" s="2"/>
      <c r="G6" s="3" t="s">
        <v>369</v>
      </c>
    </row>
    <row r="7" customFormat="false" ht="15" hidden="false" customHeight="false" outlineLevel="0" collapsed="false">
      <c r="A7" s="6" t="s">
        <v>370</v>
      </c>
      <c r="B7" s="8" t="n">
        <v>500000</v>
      </c>
      <c r="C7" s="2"/>
      <c r="D7" s="2"/>
      <c r="E7" s="2"/>
      <c r="F7" s="2"/>
      <c r="G7" s="3" t="s">
        <v>371</v>
      </c>
    </row>
    <row r="8" customFormat="false" ht="15" hidden="false" customHeight="false" outlineLevel="0" collapsed="false">
      <c r="A8" s="12" t="s">
        <v>81</v>
      </c>
      <c r="B8" s="12" t="s">
        <v>372</v>
      </c>
      <c r="C8" s="12" t="s">
        <v>373</v>
      </c>
      <c r="D8" s="12" t="s">
        <v>374</v>
      </c>
      <c r="E8" s="12" t="s">
        <v>375</v>
      </c>
      <c r="F8" s="12"/>
      <c r="G8" s="12" t="s">
        <v>376</v>
      </c>
    </row>
    <row r="9" customFormat="false" ht="15" hidden="false" customHeight="false" outlineLevel="0" collapsed="false">
      <c r="A9" s="6" t="s">
        <v>377</v>
      </c>
      <c r="B9" s="40" t="n">
        <v>0.7</v>
      </c>
      <c r="C9" s="21" t="n">
        <f aca="false">Bewertung!$B$6*B9</f>
        <v>700000</v>
      </c>
      <c r="D9" s="40" t="n">
        <v>0.6</v>
      </c>
      <c r="E9" s="21" t="n">
        <f aca="false">Bewertung!$B$7*D9</f>
        <v>300000</v>
      </c>
      <c r="F9" s="2"/>
      <c r="G9" s="6" t="s">
        <v>378</v>
      </c>
    </row>
    <row r="10" customFormat="false" ht="15" hidden="false" customHeight="false" outlineLevel="0" collapsed="false">
      <c r="A10" s="6" t="s">
        <v>379</v>
      </c>
      <c r="B10" s="40" t="n">
        <v>0.8</v>
      </c>
      <c r="C10" s="21" t="n">
        <f aca="false">Bewertung!$B$6*B10</f>
        <v>800000</v>
      </c>
      <c r="D10" s="40" t="n">
        <v>0.7</v>
      </c>
      <c r="E10" s="21" t="n">
        <f aca="false">Bewertung!$B$7*D10</f>
        <v>350000</v>
      </c>
      <c r="F10" s="2"/>
      <c r="G10" s="6" t="s">
        <v>380</v>
      </c>
    </row>
    <row r="11" customFormat="false" ht="15" hidden="false" customHeight="false" outlineLevel="0" collapsed="false">
      <c r="A11" s="6" t="s">
        <v>381</v>
      </c>
      <c r="B11" s="40" t="n">
        <v>0.5</v>
      </c>
      <c r="C11" s="21" t="n">
        <f aca="false">Bewertung!$B$6*B11</f>
        <v>500000</v>
      </c>
      <c r="D11" s="40" t="n">
        <v>0.3</v>
      </c>
      <c r="E11" s="21" t="n">
        <f aca="false">Bewertung!$B$7*D11</f>
        <v>150000</v>
      </c>
      <c r="F11" s="2"/>
      <c r="G11" s="6" t="s">
        <v>382</v>
      </c>
    </row>
    <row r="12" customFormat="false" ht="15" hidden="false" customHeight="false" outlineLevel="0" collapsed="false">
      <c r="A12" s="6" t="s">
        <v>383</v>
      </c>
      <c r="B12" s="40" t="n">
        <v>0.25</v>
      </c>
      <c r="C12" s="21" t="n">
        <f aca="false">Bewertung!$B$6*B12</f>
        <v>250000</v>
      </c>
      <c r="D12" s="40" t="n">
        <v>0.1</v>
      </c>
      <c r="E12" s="21" t="n">
        <f aca="false">Bewertung!$B$7*D12</f>
        <v>50000</v>
      </c>
      <c r="F12" s="2"/>
      <c r="G12" s="6" t="s">
        <v>384</v>
      </c>
    </row>
    <row r="13" customFormat="false" ht="15" hidden="false" customHeight="false" outlineLevel="0" collapsed="false">
      <c r="A13" s="6" t="s">
        <v>385</v>
      </c>
      <c r="B13" s="40" t="n">
        <v>0.1</v>
      </c>
      <c r="C13" s="21" t="n">
        <f aca="false">Bewertung!$B$6*B13</f>
        <v>100000</v>
      </c>
      <c r="D13" s="40" t="n">
        <v>0.1</v>
      </c>
      <c r="E13" s="21" t="n">
        <f aca="false">Bewertung!$B$7*D13</f>
        <v>50000</v>
      </c>
      <c r="F13" s="2"/>
      <c r="G13" s="6" t="s">
        <v>386</v>
      </c>
    </row>
    <row r="14" customFormat="false" ht="15" hidden="false" customHeight="false" outlineLevel="0" collapsed="false">
      <c r="A14" s="16" t="s">
        <v>387</v>
      </c>
      <c r="B14" s="2"/>
      <c r="C14" s="24" t="n">
        <f aca="false">SUM(C9:C13)</f>
        <v>2350000</v>
      </c>
      <c r="D14" s="2"/>
      <c r="E14" s="17" t="n">
        <f aca="false">SUM(E9:E13)</f>
        <v>900000</v>
      </c>
      <c r="F14" s="2"/>
      <c r="G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</row>
    <row r="16" customFormat="false" ht="15" hidden="false" customHeight="false" outlineLevel="0" collapsed="false">
      <c r="A16" s="4" t="s">
        <v>388</v>
      </c>
      <c r="B16" s="5"/>
      <c r="C16" s="5"/>
      <c r="D16" s="5"/>
      <c r="E16" s="5"/>
      <c r="F16" s="5"/>
      <c r="G16" s="5"/>
    </row>
    <row r="17" customFormat="false" ht="15" hidden="false" customHeight="false" outlineLevel="0" collapsed="false">
      <c r="A17" s="6" t="s">
        <v>389</v>
      </c>
      <c r="B17" s="7" t="n">
        <v>2500000</v>
      </c>
      <c r="C17" s="2"/>
      <c r="D17" s="2"/>
      <c r="E17" s="2"/>
      <c r="F17" s="2"/>
      <c r="G17" s="3" t="s">
        <v>390</v>
      </c>
    </row>
    <row r="18" customFormat="false" ht="15" hidden="false" customHeight="false" outlineLevel="0" collapsed="false">
      <c r="A18" s="6" t="s">
        <v>391</v>
      </c>
      <c r="B18" s="8" t="n">
        <v>1500000</v>
      </c>
      <c r="C18" s="2"/>
      <c r="D18" s="2"/>
      <c r="E18" s="2"/>
      <c r="F18" s="2"/>
      <c r="G18" s="3" t="s">
        <v>392</v>
      </c>
    </row>
    <row r="19" customFormat="false" ht="26.85" hidden="false" customHeight="false" outlineLevel="0" collapsed="false">
      <c r="A19" s="12" t="s">
        <v>81</v>
      </c>
      <c r="B19" s="12" t="s">
        <v>393</v>
      </c>
      <c r="C19" s="12" t="s">
        <v>394</v>
      </c>
      <c r="D19" s="12" t="s">
        <v>395</v>
      </c>
      <c r="E19" s="12" t="s">
        <v>396</v>
      </c>
      <c r="F19" s="12" t="s">
        <v>397</v>
      </c>
      <c r="G19" s="12" t="s">
        <v>376</v>
      </c>
    </row>
    <row r="20" customFormat="false" ht="15" hidden="false" customHeight="false" outlineLevel="0" collapsed="false">
      <c r="A20" s="6" t="s">
        <v>398</v>
      </c>
      <c r="B20" s="9" t="n">
        <v>0.3</v>
      </c>
      <c r="C20" s="9" t="n">
        <v>1</v>
      </c>
      <c r="D20" s="41" t="n">
        <f aca="false">B20*C20</f>
        <v>0.3</v>
      </c>
      <c r="E20" s="9" t="n">
        <v>0.6</v>
      </c>
      <c r="F20" s="41" t="n">
        <f aca="false">B20*E20</f>
        <v>0.18</v>
      </c>
      <c r="G20" s="6" t="s">
        <v>399</v>
      </c>
    </row>
    <row r="21" customFormat="false" ht="15" hidden="false" customHeight="false" outlineLevel="0" collapsed="false">
      <c r="A21" s="6" t="s">
        <v>400</v>
      </c>
      <c r="B21" s="9" t="n">
        <v>0.25</v>
      </c>
      <c r="C21" s="9" t="n">
        <v>1.4</v>
      </c>
      <c r="D21" s="41" t="n">
        <f aca="false">B21*C21</f>
        <v>0.35</v>
      </c>
      <c r="E21" s="9" t="n">
        <v>1.25</v>
      </c>
      <c r="F21" s="41" t="n">
        <f aca="false">B21*E21</f>
        <v>0.3125</v>
      </c>
      <c r="G21" s="6" t="s">
        <v>401</v>
      </c>
    </row>
    <row r="22" customFormat="false" ht="15" hidden="false" customHeight="false" outlineLevel="0" collapsed="false">
      <c r="A22" s="6" t="s">
        <v>402</v>
      </c>
      <c r="B22" s="9" t="n">
        <v>0.15</v>
      </c>
      <c r="C22" s="9" t="n">
        <v>1.4</v>
      </c>
      <c r="D22" s="41" t="n">
        <f aca="false">B22*C22</f>
        <v>0.21</v>
      </c>
      <c r="E22" s="9" t="n">
        <v>1.2</v>
      </c>
      <c r="F22" s="41" t="n">
        <f aca="false">B22*E22</f>
        <v>0.18</v>
      </c>
      <c r="G22" s="6" t="s">
        <v>403</v>
      </c>
    </row>
    <row r="23" customFormat="false" ht="15" hidden="false" customHeight="false" outlineLevel="0" collapsed="false">
      <c r="A23" s="6" t="s">
        <v>404</v>
      </c>
      <c r="B23" s="9" t="n">
        <v>0.1</v>
      </c>
      <c r="C23" s="9" t="n">
        <v>1.3</v>
      </c>
      <c r="D23" s="41" t="n">
        <f aca="false">B23*C23</f>
        <v>0.13</v>
      </c>
      <c r="E23" s="9" t="n">
        <v>0.9</v>
      </c>
      <c r="F23" s="41" t="n">
        <f aca="false">B23*E23</f>
        <v>0.09</v>
      </c>
      <c r="G23" s="6" t="s">
        <v>405</v>
      </c>
    </row>
    <row r="24" customFormat="false" ht="15" hidden="false" customHeight="false" outlineLevel="0" collapsed="false">
      <c r="A24" s="6" t="s">
        <v>406</v>
      </c>
      <c r="B24" s="9" t="n">
        <v>0.1</v>
      </c>
      <c r="C24" s="9" t="n">
        <v>0.8</v>
      </c>
      <c r="D24" s="41" t="n">
        <f aca="false">B24*C24</f>
        <v>0.08</v>
      </c>
      <c r="E24" s="9" t="n">
        <v>0.7</v>
      </c>
      <c r="F24" s="41" t="n">
        <f aca="false">B24*E24</f>
        <v>0.07</v>
      </c>
      <c r="G24" s="6" t="s">
        <v>407</v>
      </c>
    </row>
    <row r="25" customFormat="false" ht="15" hidden="false" customHeight="false" outlineLevel="0" collapsed="false">
      <c r="A25" s="6" t="s">
        <v>408</v>
      </c>
      <c r="B25" s="9" t="n">
        <v>0.05</v>
      </c>
      <c r="C25" s="9" t="n">
        <v>1</v>
      </c>
      <c r="D25" s="41" t="n">
        <f aca="false">B25*C25</f>
        <v>0.05</v>
      </c>
      <c r="E25" s="9" t="n">
        <v>1</v>
      </c>
      <c r="F25" s="41" t="n">
        <f aca="false">B25*E25</f>
        <v>0.05</v>
      </c>
      <c r="G25" s="6" t="s">
        <v>409</v>
      </c>
    </row>
    <row r="26" customFormat="false" ht="15" hidden="false" customHeight="false" outlineLevel="0" collapsed="false">
      <c r="A26" s="6" t="s">
        <v>410</v>
      </c>
      <c r="B26" s="9" t="n">
        <v>0.05</v>
      </c>
      <c r="C26" s="9" t="n">
        <v>1.2</v>
      </c>
      <c r="D26" s="41" t="n">
        <f aca="false">B26*C26</f>
        <v>0.06</v>
      </c>
      <c r="E26" s="9" t="n">
        <v>1.1</v>
      </c>
      <c r="F26" s="41" t="n">
        <f aca="false">B26*E26</f>
        <v>0.055</v>
      </c>
      <c r="G26" s="6" t="s">
        <v>411</v>
      </c>
    </row>
    <row r="27" customFormat="false" ht="15" hidden="false" customHeight="false" outlineLevel="0" collapsed="false">
      <c r="A27" s="6" t="s">
        <v>412</v>
      </c>
      <c r="B27" s="25" t="n">
        <f aca="false">SUM(B20:B26)</f>
        <v>1</v>
      </c>
      <c r="C27" s="2"/>
      <c r="D27" s="41" t="n">
        <f aca="false">SUM(D20:D26)</f>
        <v>1.18</v>
      </c>
      <c r="E27" s="2"/>
      <c r="F27" s="41" t="n">
        <f aca="false">SUM(F20:F26)</f>
        <v>0.9375</v>
      </c>
      <c r="G27" s="2"/>
    </row>
    <row r="28" customFormat="false" ht="15" hidden="false" customHeight="false" outlineLevel="0" collapsed="false">
      <c r="A28" s="16" t="s">
        <v>413</v>
      </c>
      <c r="B28" s="2"/>
      <c r="C28" s="2"/>
      <c r="D28" s="42" t="n">
        <f aca="false">Bewertung!$B$17*D27</f>
        <v>2950000</v>
      </c>
      <c r="E28" s="2"/>
      <c r="F28" s="23" t="n">
        <f aca="false">Bewertung!$B$18*F27</f>
        <v>1406250</v>
      </c>
      <c r="G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</row>
    <row r="30" customFormat="false" ht="15" hidden="false" customHeight="false" outlineLevel="0" collapsed="false">
      <c r="A30" s="4" t="s">
        <v>414</v>
      </c>
      <c r="B30" s="5"/>
      <c r="C30" s="5"/>
      <c r="D30" s="5"/>
      <c r="E30" s="5"/>
      <c r="F30" s="5"/>
      <c r="G30" s="5"/>
    </row>
    <row r="31" customFormat="false" ht="39.55" hidden="false" customHeight="false" outlineLevel="0" collapsed="false">
      <c r="A31" s="12" t="s">
        <v>156</v>
      </c>
      <c r="B31" s="12" t="s">
        <v>415</v>
      </c>
      <c r="C31" s="12" t="s">
        <v>416</v>
      </c>
      <c r="D31" s="12" t="s">
        <v>417</v>
      </c>
      <c r="E31" s="12"/>
      <c r="F31" s="12"/>
      <c r="G31" s="12" t="s">
        <v>418</v>
      </c>
    </row>
    <row r="32" customFormat="false" ht="15" hidden="false" customHeight="false" outlineLevel="0" collapsed="false">
      <c r="A32" s="6" t="s">
        <v>419</v>
      </c>
      <c r="B32" s="21" t="n">
        <f aca="false">'GuV 5 Jahre'!$G$57</f>
        <v>7444105</v>
      </c>
      <c r="C32" s="21" t="n">
        <f aca="false">'GuV 5 Jahre'!$G$36</f>
        <v>3151812.5</v>
      </c>
      <c r="D32" s="21" t="n">
        <f aca="false">'GuV 5 Jahre'!$G$36</f>
        <v>3151812.5</v>
      </c>
      <c r="E32" s="2"/>
      <c r="F32" s="2"/>
      <c r="G32" s="3" t="s">
        <v>420</v>
      </c>
    </row>
    <row r="33" customFormat="false" ht="15" hidden="false" customHeight="false" outlineLevel="0" collapsed="false">
      <c r="A33" s="6" t="s">
        <v>421</v>
      </c>
      <c r="B33" s="43" t="n">
        <v>6</v>
      </c>
      <c r="C33" s="43" t="n">
        <v>6</v>
      </c>
      <c r="D33" s="43" t="n">
        <v>4</v>
      </c>
      <c r="E33" s="2"/>
      <c r="F33" s="2"/>
      <c r="G33" s="3" t="s">
        <v>422</v>
      </c>
    </row>
    <row r="34" customFormat="false" ht="15" hidden="false" customHeight="false" outlineLevel="0" collapsed="false">
      <c r="A34" s="6" t="s">
        <v>423</v>
      </c>
      <c r="B34" s="15" t="n">
        <f aca="false">B32*B33</f>
        <v>44664630</v>
      </c>
      <c r="C34" s="15" t="n">
        <f aca="false">C32*C33</f>
        <v>18910875</v>
      </c>
      <c r="D34" s="15" t="n">
        <f aca="false">D32*D33</f>
        <v>12607250</v>
      </c>
      <c r="E34" s="2"/>
      <c r="F34" s="2"/>
      <c r="G34" s="3"/>
    </row>
    <row r="35" customFormat="false" ht="15" hidden="false" customHeight="false" outlineLevel="0" collapsed="false">
      <c r="A35" s="6" t="s">
        <v>424</v>
      </c>
      <c r="B35" s="43" t="n">
        <v>10</v>
      </c>
      <c r="C35" s="43" t="n">
        <v>10</v>
      </c>
      <c r="D35" s="43" t="n">
        <v>15</v>
      </c>
      <c r="E35" s="2"/>
      <c r="F35" s="2"/>
      <c r="G35" s="3" t="s">
        <v>425</v>
      </c>
    </row>
    <row r="36" customFormat="false" ht="15" hidden="false" customHeight="false" outlineLevel="0" collapsed="false">
      <c r="A36" s="6" t="s">
        <v>426</v>
      </c>
      <c r="B36" s="9" t="n">
        <v>0.4</v>
      </c>
      <c r="C36" s="9" t="n">
        <v>0.4</v>
      </c>
      <c r="D36" s="9" t="n">
        <v>0.45</v>
      </c>
      <c r="E36" s="2"/>
      <c r="F36" s="2"/>
      <c r="G36" s="3" t="s">
        <v>427</v>
      </c>
    </row>
    <row r="37" customFormat="false" ht="15" hidden="false" customHeight="false" outlineLevel="0" collapsed="false">
      <c r="A37" s="6" t="s">
        <v>428</v>
      </c>
      <c r="B37" s="15" t="n">
        <f aca="false">B34/B35*(1-B36)</f>
        <v>2679877.8</v>
      </c>
      <c r="C37" s="15" t="n">
        <f aca="false">C34/C35*(1-C36)</f>
        <v>1134652.5</v>
      </c>
      <c r="D37" s="15" t="n">
        <f aca="false">D34/D35*(1-D36)</f>
        <v>462265.833333333</v>
      </c>
      <c r="E37" s="2"/>
      <c r="F37" s="2"/>
      <c r="G37" s="3"/>
    </row>
    <row r="38" customFormat="false" ht="15" hidden="false" customHeight="false" outlineLevel="0" collapsed="false">
      <c r="A38" s="6" t="s">
        <v>429</v>
      </c>
      <c r="B38" s="21" t="n">
        <f aca="false">Annahmen!$B$6</f>
        <v>250000</v>
      </c>
      <c r="C38" s="21" t="n">
        <f aca="false">Annahmen!$B$6</f>
        <v>250000</v>
      </c>
      <c r="D38" s="21" t="n">
        <f aca="false">Annahmen!$B$6</f>
        <v>250000</v>
      </c>
      <c r="E38" s="2"/>
      <c r="F38" s="2"/>
      <c r="G38" s="3"/>
    </row>
    <row r="39" customFormat="false" ht="15" hidden="false" customHeight="false" outlineLevel="0" collapsed="false">
      <c r="A39" s="16" t="s">
        <v>430</v>
      </c>
      <c r="B39" s="24" t="n">
        <f aca="false">MAX(0,B37-B38)</f>
        <v>2429877.8</v>
      </c>
      <c r="C39" s="17" t="n">
        <f aca="false">MAX(0,C37-C38)</f>
        <v>884652.5</v>
      </c>
      <c r="D39" s="17" t="n">
        <f aca="false">MAX(0,D37-D38)</f>
        <v>212265.833333333</v>
      </c>
      <c r="E39" s="2"/>
      <c r="F39" s="2"/>
      <c r="G39" s="3" t="s">
        <v>431</v>
      </c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</row>
    <row r="41" customFormat="false" ht="15" hidden="false" customHeight="false" outlineLevel="0" collapsed="false">
      <c r="A41" s="34" t="s">
        <v>432</v>
      </c>
      <c r="B41" s="2"/>
      <c r="C41" s="2"/>
      <c r="D41" s="2"/>
      <c r="E41" s="2"/>
      <c r="F41" s="2"/>
      <c r="G41" s="2"/>
    </row>
    <row r="42" customFormat="false" ht="15" hidden="false" customHeight="false" outlineLevel="0" collapsed="false">
      <c r="A42" s="6" t="s">
        <v>433</v>
      </c>
      <c r="B42" s="43" t="n">
        <v>10</v>
      </c>
      <c r="C42" s="43" t="n">
        <v>15</v>
      </c>
      <c r="D42" s="43" t="n">
        <v>20</v>
      </c>
      <c r="E42" s="2"/>
      <c r="F42" s="2"/>
      <c r="G42" s="2"/>
    </row>
    <row r="43" customFormat="false" ht="15" hidden="false" customHeight="false" outlineLevel="0" collapsed="false">
      <c r="A43" s="43" t="n">
        <v>3</v>
      </c>
      <c r="B43" s="21" t="n">
        <f aca="false">MAX(0,Bewertung!$D$32*$A43/B$42*(1-Bewertung!$D$36)-Bewertung!$D$38)</f>
        <v>270049.0625</v>
      </c>
      <c r="C43" s="21" t="n">
        <f aca="false">MAX(0,Bewertung!$D$32*$A43/C$42*(1-Bewertung!$D$36)-Bewertung!$D$38)</f>
        <v>96699.375</v>
      </c>
      <c r="D43" s="21" t="n">
        <f aca="false">MAX(0,Bewertung!$D$32*$A43/D$42*(1-Bewertung!$D$36)-Bewertung!$D$38)</f>
        <v>10024.53125</v>
      </c>
      <c r="E43" s="2"/>
      <c r="F43" s="2"/>
      <c r="G43" s="2"/>
    </row>
    <row r="44" customFormat="false" ht="15" hidden="false" customHeight="false" outlineLevel="0" collapsed="false">
      <c r="A44" s="43" t="n">
        <v>4</v>
      </c>
      <c r="B44" s="21" t="n">
        <f aca="false">MAX(0,Bewertung!$D$32*$A44/B$42*(1-Bewertung!$D$36)-Bewertung!$D$38)</f>
        <v>443398.75</v>
      </c>
      <c r="C44" s="21" t="n">
        <f aca="false">MAX(0,Bewertung!$D$32*$A44/C$42*(1-Bewertung!$D$36)-Bewertung!$D$38)</f>
        <v>212265.833333333</v>
      </c>
      <c r="D44" s="21" t="n">
        <f aca="false">MAX(0,Bewertung!$D$32*$A44/D$42*(1-Bewertung!$D$36)-Bewertung!$D$38)</f>
        <v>96699.375</v>
      </c>
      <c r="E44" s="2"/>
      <c r="F44" s="2"/>
      <c r="G44" s="2"/>
    </row>
    <row r="45" customFormat="false" ht="15" hidden="false" customHeight="false" outlineLevel="0" collapsed="false">
      <c r="A45" s="43" t="n">
        <v>5</v>
      </c>
      <c r="B45" s="21" t="n">
        <f aca="false">MAX(0,Bewertung!$D$32*$A45/B$42*(1-Bewertung!$D$36)-Bewertung!$D$38)</f>
        <v>616748.4375</v>
      </c>
      <c r="C45" s="21" t="n">
        <f aca="false">MAX(0,Bewertung!$D$32*$A45/C$42*(1-Bewertung!$D$36)-Bewertung!$D$38)</f>
        <v>327832.291666667</v>
      </c>
      <c r="D45" s="21" t="n">
        <f aca="false">MAX(0,Bewertung!$D$32*$A45/D$42*(1-Bewertung!$D$36)-Bewertung!$D$38)</f>
        <v>183374.21875</v>
      </c>
      <c r="E45" s="2"/>
      <c r="F45" s="2"/>
      <c r="G45" s="2"/>
    </row>
    <row r="46" customFormat="false" ht="15" hidden="false" customHeight="false" outlineLevel="0" collapsed="false">
      <c r="A46" s="43" t="n">
        <v>6</v>
      </c>
      <c r="B46" s="21" t="n">
        <f aca="false">MAX(0,Bewertung!$D$32*$A46/B$42*(1-Bewertung!$D$36)-Bewertung!$D$38)</f>
        <v>790098.125</v>
      </c>
      <c r="C46" s="21" t="n">
        <f aca="false">MAX(0,Bewertung!$D$32*$A46/C$42*(1-Bewertung!$D$36)-Bewertung!$D$38)</f>
        <v>443398.75</v>
      </c>
      <c r="D46" s="21" t="n">
        <f aca="false">MAX(0,Bewertung!$D$32*$A46/D$42*(1-Bewertung!$D$36)-Bewertung!$D$38)</f>
        <v>270049.0625</v>
      </c>
      <c r="E46" s="2"/>
      <c r="F46" s="2"/>
      <c r="G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</row>
    <row r="48" customFormat="false" ht="15" hidden="false" customHeight="false" outlineLevel="0" collapsed="false">
      <c r="A48" s="4" t="s">
        <v>434</v>
      </c>
      <c r="B48" s="5"/>
      <c r="C48" s="5"/>
      <c r="D48" s="5"/>
      <c r="E48" s="5"/>
      <c r="F48" s="5"/>
      <c r="G48" s="5"/>
    </row>
    <row r="49" customFormat="false" ht="15" hidden="false" customHeight="false" outlineLevel="0" collapsed="false">
      <c r="A49" s="6" t="s">
        <v>435</v>
      </c>
      <c r="B49" s="21" t="n">
        <f aca="false">Bewertung!$B$17</f>
        <v>2500000</v>
      </c>
      <c r="C49" s="2"/>
      <c r="D49" s="2"/>
      <c r="E49" s="2"/>
      <c r="F49" s="2"/>
      <c r="G49" s="3" t="s">
        <v>436</v>
      </c>
    </row>
    <row r="50" customFormat="false" ht="15" hidden="false" customHeight="false" outlineLevel="0" collapsed="false">
      <c r="A50" s="6" t="s">
        <v>437</v>
      </c>
      <c r="B50" s="8" t="n">
        <v>250000</v>
      </c>
      <c r="C50" s="2"/>
      <c r="D50" s="2"/>
      <c r="E50" s="2"/>
      <c r="F50" s="2"/>
      <c r="G50" s="2"/>
    </row>
    <row r="51" customFormat="false" ht="15" hidden="false" customHeight="false" outlineLevel="0" collapsed="false">
      <c r="A51" s="12" t="s">
        <v>438</v>
      </c>
      <c r="B51" s="12" t="s">
        <v>439</v>
      </c>
      <c r="C51" s="12" t="s">
        <v>440</v>
      </c>
      <c r="D51" s="12"/>
      <c r="E51" s="12"/>
      <c r="F51" s="12"/>
      <c r="G51" s="12" t="s">
        <v>441</v>
      </c>
    </row>
    <row r="52" customFormat="false" ht="15" hidden="false" customHeight="false" outlineLevel="0" collapsed="false">
      <c r="A52" s="6" t="s">
        <v>442</v>
      </c>
      <c r="B52" s="44" t="n">
        <v>-1</v>
      </c>
      <c r="C52" s="45" t="n">
        <f aca="false">B52*Bewertung!$B$50</f>
        <v>-250000</v>
      </c>
      <c r="D52" s="2"/>
      <c r="E52" s="2"/>
      <c r="F52" s="2"/>
      <c r="G52" s="6" t="s">
        <v>443</v>
      </c>
    </row>
    <row r="53" customFormat="false" ht="15" hidden="false" customHeight="false" outlineLevel="0" collapsed="false">
      <c r="A53" s="6" t="s">
        <v>444</v>
      </c>
      <c r="B53" s="44" t="n">
        <v>1</v>
      </c>
      <c r="C53" s="45" t="n">
        <f aca="false">B53*Bewertung!$B$50</f>
        <v>250000</v>
      </c>
      <c r="D53" s="2"/>
      <c r="E53" s="2"/>
      <c r="F53" s="2"/>
      <c r="G53" s="6" t="s">
        <v>445</v>
      </c>
    </row>
    <row r="54" customFormat="false" ht="15" hidden="false" customHeight="false" outlineLevel="0" collapsed="false">
      <c r="A54" s="6" t="s">
        <v>446</v>
      </c>
      <c r="B54" s="44" t="n">
        <v>0</v>
      </c>
      <c r="C54" s="45" t="n">
        <f aca="false">B54*Bewertung!$B$50</f>
        <v>0</v>
      </c>
      <c r="D54" s="2"/>
      <c r="E54" s="2"/>
      <c r="F54" s="2"/>
      <c r="G54" s="6" t="s">
        <v>447</v>
      </c>
    </row>
    <row r="55" customFormat="false" ht="15" hidden="false" customHeight="false" outlineLevel="0" collapsed="false">
      <c r="A55" s="6" t="s">
        <v>448</v>
      </c>
      <c r="B55" s="44" t="n">
        <v>1</v>
      </c>
      <c r="C55" s="45" t="n">
        <f aca="false">B55*Bewertung!$B$50</f>
        <v>250000</v>
      </c>
      <c r="D55" s="2"/>
      <c r="E55" s="2"/>
      <c r="F55" s="2"/>
      <c r="G55" s="6" t="s">
        <v>449</v>
      </c>
    </row>
    <row r="56" customFormat="false" ht="15" hidden="false" customHeight="false" outlineLevel="0" collapsed="false">
      <c r="A56" s="6" t="s">
        <v>450</v>
      </c>
      <c r="B56" s="44" t="n">
        <v>-1</v>
      </c>
      <c r="C56" s="45" t="n">
        <f aca="false">B56*Bewertung!$B$50</f>
        <v>-250000</v>
      </c>
      <c r="D56" s="2"/>
      <c r="E56" s="2"/>
      <c r="F56" s="2"/>
      <c r="G56" s="6" t="s">
        <v>451</v>
      </c>
    </row>
    <row r="57" customFormat="false" ht="15" hidden="false" customHeight="false" outlineLevel="0" collapsed="false">
      <c r="A57" s="6" t="s">
        <v>452</v>
      </c>
      <c r="B57" s="44" t="n">
        <v>-1</v>
      </c>
      <c r="C57" s="45" t="n">
        <f aca="false">B57*Bewertung!$B$50</f>
        <v>-250000</v>
      </c>
      <c r="D57" s="2"/>
      <c r="E57" s="2"/>
      <c r="F57" s="2"/>
      <c r="G57" s="6" t="s">
        <v>453</v>
      </c>
    </row>
    <row r="58" customFormat="false" ht="15" hidden="false" customHeight="false" outlineLevel="0" collapsed="false">
      <c r="A58" s="6" t="s">
        <v>454</v>
      </c>
      <c r="B58" s="44" t="n">
        <v>1</v>
      </c>
      <c r="C58" s="45" t="n">
        <f aca="false">B58*Bewertung!$B$50</f>
        <v>250000</v>
      </c>
      <c r="D58" s="2"/>
      <c r="E58" s="2"/>
      <c r="F58" s="2"/>
      <c r="G58" s="6" t="s">
        <v>455</v>
      </c>
    </row>
    <row r="59" customFormat="false" ht="15" hidden="false" customHeight="false" outlineLevel="0" collapsed="false">
      <c r="A59" s="6" t="s">
        <v>456</v>
      </c>
      <c r="B59" s="44" t="n">
        <v>1</v>
      </c>
      <c r="C59" s="45" t="n">
        <f aca="false">B59*Bewertung!$B$50</f>
        <v>250000</v>
      </c>
      <c r="D59" s="2"/>
      <c r="E59" s="2"/>
      <c r="F59" s="2"/>
      <c r="G59" s="6" t="s">
        <v>457</v>
      </c>
    </row>
    <row r="60" customFormat="false" ht="15" hidden="false" customHeight="false" outlineLevel="0" collapsed="false">
      <c r="A60" s="6" t="s">
        <v>458</v>
      </c>
      <c r="B60" s="44" t="n">
        <v>0</v>
      </c>
      <c r="C60" s="45" t="n">
        <f aca="false">B60*Bewertung!$B$50</f>
        <v>0</v>
      </c>
      <c r="D60" s="2"/>
      <c r="E60" s="2"/>
      <c r="F60" s="2"/>
      <c r="G60" s="6" t="s">
        <v>459</v>
      </c>
    </row>
    <row r="61" customFormat="false" ht="15" hidden="false" customHeight="false" outlineLevel="0" collapsed="false">
      <c r="A61" s="6" t="s">
        <v>460</v>
      </c>
      <c r="B61" s="44" t="n">
        <v>1</v>
      </c>
      <c r="C61" s="45" t="n">
        <f aca="false">B61*Bewertung!$B$50</f>
        <v>250000</v>
      </c>
      <c r="D61" s="2"/>
      <c r="E61" s="2"/>
      <c r="F61" s="2"/>
      <c r="G61" s="6" t="s">
        <v>461</v>
      </c>
    </row>
    <row r="62" customFormat="false" ht="15" hidden="false" customHeight="false" outlineLevel="0" collapsed="false">
      <c r="A62" s="6" t="s">
        <v>462</v>
      </c>
      <c r="B62" s="44" t="n">
        <v>0</v>
      </c>
      <c r="C62" s="45" t="n">
        <f aca="false">B62*Bewertung!$B$50</f>
        <v>0</v>
      </c>
      <c r="D62" s="2"/>
      <c r="E62" s="2"/>
      <c r="F62" s="2"/>
      <c r="G62" s="6" t="s">
        <v>463</v>
      </c>
    </row>
    <row r="63" customFormat="false" ht="15" hidden="false" customHeight="false" outlineLevel="0" collapsed="false">
      <c r="A63" s="6" t="s">
        <v>464</v>
      </c>
      <c r="B63" s="44" t="n">
        <v>0</v>
      </c>
      <c r="C63" s="45" t="n">
        <f aca="false">B63*Bewertung!$B$50</f>
        <v>0</v>
      </c>
      <c r="D63" s="2"/>
      <c r="E63" s="2"/>
      <c r="F63" s="2"/>
      <c r="G63" s="6" t="s">
        <v>465</v>
      </c>
    </row>
    <row r="64" customFormat="false" ht="15" hidden="false" customHeight="false" outlineLevel="0" collapsed="false">
      <c r="A64" s="6" t="s">
        <v>466</v>
      </c>
      <c r="B64" s="46" t="n">
        <f aca="false">SUM(B52:B63)</f>
        <v>2</v>
      </c>
      <c r="C64" s="47" t="n">
        <f aca="false">SUM(C52:C63)</f>
        <v>500000</v>
      </c>
      <c r="D64" s="2"/>
      <c r="E64" s="2"/>
      <c r="F64" s="2"/>
      <c r="G64" s="2"/>
    </row>
    <row r="65" customFormat="false" ht="15" hidden="false" customHeight="false" outlineLevel="0" collapsed="false">
      <c r="A65" s="16" t="s">
        <v>467</v>
      </c>
      <c r="B65" s="2"/>
      <c r="C65" s="42" t="n">
        <f aca="false">Bewertung!$B$49+Bewertung!$C$64</f>
        <v>3000000</v>
      </c>
      <c r="D65" s="2"/>
      <c r="E65" s="2"/>
      <c r="F65" s="2"/>
      <c r="G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</row>
    <row r="67" customFormat="false" ht="15" hidden="false" customHeight="false" outlineLevel="0" collapsed="false">
      <c r="A67" s="4" t="s">
        <v>468</v>
      </c>
      <c r="B67" s="5"/>
      <c r="C67" s="5"/>
      <c r="D67" s="5"/>
      <c r="E67" s="5"/>
      <c r="F67" s="5"/>
      <c r="G67" s="5"/>
    </row>
    <row r="68" customFormat="false" ht="15" hidden="false" customHeight="false" outlineLevel="0" collapsed="false">
      <c r="A68" s="12" t="s">
        <v>469</v>
      </c>
      <c r="B68" s="12" t="s">
        <v>470</v>
      </c>
      <c r="C68" s="12" t="s">
        <v>393</v>
      </c>
      <c r="D68" s="12" t="s">
        <v>471</v>
      </c>
      <c r="E68" s="12" t="s">
        <v>393</v>
      </c>
      <c r="F68" s="12"/>
      <c r="G68" s="12" t="s">
        <v>472</v>
      </c>
    </row>
    <row r="69" customFormat="false" ht="15" hidden="false" customHeight="false" outlineLevel="0" collapsed="false">
      <c r="A69" s="6" t="s">
        <v>473</v>
      </c>
      <c r="B69" s="21" t="n">
        <f aca="false">Bewertung!$C$14</f>
        <v>2350000</v>
      </c>
      <c r="C69" s="9" t="n">
        <v>0.25</v>
      </c>
      <c r="D69" s="21" t="n">
        <f aca="false">Bewertung!$E$14</f>
        <v>900000</v>
      </c>
      <c r="E69" s="9" t="n">
        <v>0.4</v>
      </c>
      <c r="F69" s="2"/>
      <c r="G69" s="6" t="s">
        <v>474</v>
      </c>
    </row>
    <row r="70" customFormat="false" ht="15" hidden="false" customHeight="false" outlineLevel="0" collapsed="false">
      <c r="A70" s="6" t="s">
        <v>475</v>
      </c>
      <c r="B70" s="21" t="n">
        <f aca="false">Bewertung!$D$28</f>
        <v>2950000</v>
      </c>
      <c r="C70" s="9" t="n">
        <v>0.3</v>
      </c>
      <c r="D70" s="21" t="n">
        <f aca="false">Bewertung!$F$28</f>
        <v>1406250</v>
      </c>
      <c r="E70" s="9" t="n">
        <v>0.4</v>
      </c>
      <c r="F70" s="2"/>
      <c r="G70" s="6" t="s">
        <v>476</v>
      </c>
    </row>
    <row r="71" customFormat="false" ht="15" hidden="false" customHeight="false" outlineLevel="0" collapsed="false">
      <c r="A71" s="6" t="s">
        <v>477</v>
      </c>
      <c r="B71" s="21" t="n">
        <f aca="false">Bewertung!$B$39</f>
        <v>2429877.8</v>
      </c>
      <c r="C71" s="9" t="n">
        <v>0.2</v>
      </c>
      <c r="D71" s="21" t="n">
        <f aca="false">Bewertung!$D$39</f>
        <v>212265.833333333</v>
      </c>
      <c r="E71" s="9" t="n">
        <v>0.2</v>
      </c>
      <c r="F71" s="2"/>
      <c r="G71" s="6" t="s">
        <v>478</v>
      </c>
    </row>
    <row r="72" customFormat="false" ht="15" hidden="false" customHeight="false" outlineLevel="0" collapsed="false">
      <c r="A72" s="6" t="s">
        <v>479</v>
      </c>
      <c r="B72" s="21" t="n">
        <f aca="false">Bewertung!$C$65</f>
        <v>3000000</v>
      </c>
      <c r="C72" s="9" t="n">
        <v>0.25</v>
      </c>
      <c r="D72" s="15" t="n">
        <v>0</v>
      </c>
      <c r="E72" s="9" t="n">
        <v>0</v>
      </c>
      <c r="F72" s="2"/>
      <c r="G72" s="6" t="s">
        <v>480</v>
      </c>
    </row>
    <row r="73" customFormat="false" ht="15" hidden="false" customHeight="false" outlineLevel="0" collapsed="false">
      <c r="A73" s="6" t="s">
        <v>481</v>
      </c>
      <c r="B73" s="15" t="n">
        <f aca="false">MIN(B69:B72)</f>
        <v>2350000</v>
      </c>
      <c r="C73" s="2"/>
      <c r="D73" s="15" t="n">
        <f aca="false">MIN(D69:D71)</f>
        <v>212265.833333333</v>
      </c>
      <c r="E73" s="2"/>
      <c r="F73" s="2"/>
      <c r="G73" s="2"/>
    </row>
    <row r="74" customFormat="false" ht="15" hidden="false" customHeight="false" outlineLevel="0" collapsed="false">
      <c r="A74" s="6" t="s">
        <v>482</v>
      </c>
      <c r="B74" s="15" t="n">
        <f aca="false">MAX(B69:B72)</f>
        <v>3000000</v>
      </c>
      <c r="C74" s="2"/>
      <c r="D74" s="15" t="n">
        <f aca="false">MAX(D69:D71)</f>
        <v>1406250</v>
      </c>
      <c r="E74" s="2"/>
      <c r="F74" s="2"/>
      <c r="G74" s="2"/>
    </row>
    <row r="75" customFormat="false" ht="15" hidden="false" customHeight="false" outlineLevel="0" collapsed="false">
      <c r="A75" s="16" t="s">
        <v>483</v>
      </c>
      <c r="B75" s="24" t="n">
        <f aca="false">SUMPRODUCT(B69:B72,C69:C72)/SUM(C69:C72)</f>
        <v>2708475.56</v>
      </c>
      <c r="C75" s="2"/>
      <c r="D75" s="17" t="n">
        <f aca="false">SUMPRODUCT(D69:D72,E69:E72)/SUM(E69:E72)</f>
        <v>964953.166666667</v>
      </c>
      <c r="E75" s="2"/>
      <c r="F75" s="2"/>
      <c r="G75" s="2"/>
    </row>
    <row r="76" customFormat="false" ht="15" hidden="false" customHeight="false" outlineLevel="0" collapsed="false">
      <c r="A76" s="6" t="s">
        <v>484</v>
      </c>
      <c r="B76" s="21" t="n">
        <f aca="false">Bewertung!$B$75+C71*(Bewertung!$C$39-Bewertung!$B$39)/SUM(C69:C72)</f>
        <v>2399430.5</v>
      </c>
      <c r="C76" s="2"/>
      <c r="D76" s="2"/>
      <c r="E76" s="2"/>
      <c r="F76" s="2"/>
      <c r="G76" s="3" t="s">
        <v>485</v>
      </c>
    </row>
    <row r="77" customFormat="false" ht="15" hidden="false" customHeight="false" outlineLevel="0" collapsed="false">
      <c r="A77" s="6" t="s">
        <v>486</v>
      </c>
      <c r="B77" s="2"/>
      <c r="C77" s="2"/>
      <c r="D77" s="21" t="n">
        <f aca="false">ROUND(Bewertung!$D$75/50000,0)*50000</f>
        <v>950000</v>
      </c>
      <c r="E77" s="2"/>
      <c r="F77" s="2"/>
      <c r="G77" s="2"/>
    </row>
    <row r="78" customFormat="false" ht="15" hidden="false" customHeight="false" outlineLevel="0" collapsed="false">
      <c r="A78" s="6" t="s">
        <v>487</v>
      </c>
      <c r="B78" s="6" t="str">
        <f aca="false">IF(AND(ROUND(SUM(C69:C72),4)=1,ROUND(SUM(E69:E72),4)=1),"OK","PRÜFEN")</f>
        <v>OK</v>
      </c>
      <c r="C78" s="2"/>
      <c r="D78" s="2"/>
      <c r="E78" s="2"/>
      <c r="F78" s="2"/>
      <c r="G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</row>
    <row r="80" customFormat="false" ht="15" hidden="false" customHeight="false" outlineLevel="0" collapsed="false">
      <c r="A80" s="4" t="s">
        <v>488</v>
      </c>
      <c r="B80" s="5"/>
      <c r="C80" s="5"/>
      <c r="D80" s="5"/>
      <c r="E80" s="5"/>
      <c r="F80" s="5"/>
      <c r="G80" s="5"/>
    </row>
    <row r="81" customFormat="false" ht="15" hidden="false" customHeight="false" outlineLevel="0" collapsed="false">
      <c r="A81" s="6" t="s">
        <v>429</v>
      </c>
      <c r="B81" s="21" t="n">
        <f aca="false">Annahmen!$B$6</f>
        <v>250000</v>
      </c>
      <c r="C81" s="2"/>
      <c r="D81" s="2"/>
      <c r="E81" s="2"/>
      <c r="F81" s="2"/>
      <c r="G81" s="2"/>
    </row>
    <row r="82" customFormat="false" ht="15" hidden="false" customHeight="false" outlineLevel="0" collapsed="false">
      <c r="A82" s="16" t="s">
        <v>489</v>
      </c>
      <c r="B82" s="48" t="n">
        <v>0.1</v>
      </c>
      <c r="C82" s="2"/>
      <c r="D82" s="2"/>
      <c r="E82" s="2"/>
      <c r="F82" s="2"/>
      <c r="G82" s="3" t="s">
        <v>490</v>
      </c>
    </row>
    <row r="83" customFormat="false" ht="15" hidden="false" customHeight="false" outlineLevel="0" collapsed="false">
      <c r="A83" s="16" t="s">
        <v>491</v>
      </c>
      <c r="B83" s="23" t="n">
        <f aca="false">Annahmen!$B$6/Bewertung!$B$82</f>
        <v>2500000</v>
      </c>
      <c r="C83" s="2"/>
      <c r="D83" s="2"/>
      <c r="E83" s="2"/>
      <c r="F83" s="2"/>
      <c r="G83" s="2"/>
    </row>
    <row r="84" customFormat="false" ht="15" hidden="false" customHeight="false" outlineLevel="0" collapsed="false">
      <c r="A84" s="16" t="s">
        <v>492</v>
      </c>
      <c r="B84" s="42" t="n">
        <f aca="false">Bewertung!$B$83-Annahmen!$B$6</f>
        <v>2250000</v>
      </c>
      <c r="C84" s="2"/>
      <c r="D84" s="2"/>
      <c r="E84" s="2"/>
      <c r="F84" s="2"/>
      <c r="G84" s="2"/>
    </row>
    <row r="85" customFormat="false" ht="15" hidden="false" customHeight="false" outlineLevel="0" collapsed="false">
      <c r="A85" s="6" t="s">
        <v>493</v>
      </c>
      <c r="B85" s="19" t="n">
        <f aca="false">1-Bewertung!$B$82</f>
        <v>0.9</v>
      </c>
      <c r="C85" s="2"/>
      <c r="D85" s="2"/>
      <c r="E85" s="2"/>
      <c r="F85" s="2"/>
      <c r="G85" s="2"/>
    </row>
    <row r="86" customFormat="false" ht="15" hidden="false" customHeight="false" outlineLevel="0" collapsed="false">
      <c r="A86" s="6" t="s">
        <v>494</v>
      </c>
      <c r="B86" s="31" t="str">
        <f aca="false">IF(ROUND(Bewertung!$B$83*Bewertung!$B$82-Annahmen!$B$6,2)=0,"OK","PRÜFEN")</f>
        <v>OK</v>
      </c>
      <c r="C86" s="2"/>
      <c r="D86" s="2"/>
      <c r="E86" s="2"/>
      <c r="F86" s="2"/>
      <c r="G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</row>
    <row r="88" customFormat="false" ht="15" hidden="false" customHeight="false" outlineLevel="0" collapsed="false">
      <c r="A88" s="34" t="s">
        <v>495</v>
      </c>
      <c r="B88" s="2"/>
      <c r="C88" s="2"/>
      <c r="D88" s="2"/>
      <c r="E88" s="2"/>
      <c r="F88" s="2"/>
      <c r="G88" s="2"/>
    </row>
    <row r="89" customFormat="false" ht="15" hidden="false" customHeight="false" outlineLevel="0" collapsed="false">
      <c r="A89" s="6" t="s">
        <v>496</v>
      </c>
      <c r="B89" s="49" t="n">
        <f aca="false">Bewertung!$B$84/Bewertung!$B$75</f>
        <v>0.830725605661363</v>
      </c>
      <c r="C89" s="2"/>
      <c r="D89" s="2"/>
      <c r="E89" s="2"/>
      <c r="F89" s="2"/>
      <c r="G89" s="2"/>
    </row>
    <row r="90" customFormat="false" ht="15" hidden="false" customHeight="false" outlineLevel="0" collapsed="false">
      <c r="A90" s="6" t="s">
        <v>497</v>
      </c>
      <c r="B90" s="21" t="n">
        <f aca="false">Bewertung!$B$84-Bewertung!$B$75</f>
        <v>-458475.56</v>
      </c>
      <c r="C90" s="2"/>
      <c r="D90" s="2"/>
      <c r="E90" s="2"/>
      <c r="F90" s="2"/>
      <c r="G90" s="2"/>
    </row>
    <row r="91" customFormat="false" ht="15" hidden="false" customHeight="false" outlineLevel="0" collapsed="false">
      <c r="A91" s="6" t="s">
        <v>498</v>
      </c>
      <c r="B91" s="50" t="n">
        <f aca="false">Bewertung!$B$84/Bewertung!$B$76</f>
        <v>0.937722513738156</v>
      </c>
      <c r="C91" s="2"/>
      <c r="D91" s="2"/>
      <c r="E91" s="2"/>
      <c r="F91" s="2"/>
      <c r="G91" s="2"/>
    </row>
    <row r="92" customFormat="false" ht="15" hidden="false" customHeight="false" outlineLevel="0" collapsed="false">
      <c r="A92" s="6" t="s">
        <v>499</v>
      </c>
      <c r="B92" s="50" t="n">
        <f aca="false">Bewertung!$B$84/Bewertung!$B$73</f>
        <v>0.957446808510638</v>
      </c>
      <c r="C92" s="2"/>
      <c r="D92" s="2"/>
      <c r="E92" s="2"/>
      <c r="F92" s="2"/>
      <c r="G92" s="2"/>
    </row>
    <row r="93" customFormat="false" ht="15" hidden="false" customHeight="false" outlineLevel="0" collapsed="false">
      <c r="A93" s="6" t="s">
        <v>500</v>
      </c>
      <c r="B93" s="50" t="n">
        <f aca="false">Bewertung!$B$84/Bewertung!$D$75</f>
        <v>2.3317193805088</v>
      </c>
      <c r="C93" s="2"/>
      <c r="D93" s="2"/>
      <c r="E93" s="2"/>
      <c r="F93" s="2"/>
      <c r="G93" s="2"/>
    </row>
    <row r="94" customFormat="false" ht="15" hidden="false" customHeight="false" outlineLevel="0" collapsed="false">
      <c r="A94" s="16" t="s">
        <v>501</v>
      </c>
      <c r="B94" s="31" t="str">
        <f aca="false">IF(Bewertung!$B$84&lt;Bewertung!$B$73,"unterhalb der Gründer-Spanne – unter allen vier Methoden",IF(Bewertung!$B$84&lt;=Bewertung!$B$75,"innerhalb der Gründer-Spanne, unter dem gewichteten Mittel",IF(Bewertung!$B$84&lt;=Bewertung!$B$74,"innerhalb der Gründer-Spanne, über dem gewichteten Mittel","oberhalb der Gründer-Spanne")))</f>
        <v>unterhalb der Gründer-Spanne – unter allen vier Methoden</v>
      </c>
      <c r="C94" s="2"/>
      <c r="D94" s="2"/>
      <c r="E94" s="2"/>
      <c r="F94" s="2"/>
      <c r="G94" s="2"/>
    </row>
    <row r="95" customFormat="false" ht="15" hidden="false" customHeight="false" outlineLevel="0" collapsed="false">
      <c r="A95" s="16" t="s">
        <v>502</v>
      </c>
      <c r="B95" s="31" t="str">
        <f aca="false">IF(Bewertung!$B$84&gt;Bewertung!$D$74,"oberhalb aller konservativen Methoden",IF(Bewertung!$B$84&gt;=Bewertung!$D$75,"über dem konservativen Mittel","unter dem konservativen Mittel"))</f>
        <v>oberhalb aller konservativen Methoden</v>
      </c>
      <c r="C95" s="2"/>
      <c r="D95" s="2"/>
      <c r="E95" s="2"/>
      <c r="F95" s="2"/>
      <c r="G95" s="2"/>
    </row>
    <row r="96" customFormat="false" ht="15" hidden="false" customHeight="false" outlineLevel="0" collapsed="false">
      <c r="A96" s="3" t="s">
        <v>503</v>
      </c>
      <c r="B96" s="2"/>
      <c r="C96" s="2"/>
      <c r="D96" s="2"/>
      <c r="E96" s="2"/>
      <c r="F96" s="2"/>
      <c r="G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</row>
    <row r="98" customFormat="false" ht="15" hidden="false" customHeight="false" outlineLevel="0" collapsed="false">
      <c r="A98" s="4" t="s">
        <v>504</v>
      </c>
      <c r="B98" s="5"/>
      <c r="C98" s="5"/>
      <c r="D98" s="5"/>
      <c r="E98" s="5"/>
      <c r="F98" s="5"/>
      <c r="G98" s="5"/>
    </row>
    <row r="99" customFormat="false" ht="26.85" hidden="false" customHeight="false" outlineLevel="0" collapsed="false">
      <c r="A99" s="12" t="s">
        <v>505</v>
      </c>
      <c r="B99" s="12" t="s">
        <v>506</v>
      </c>
      <c r="C99" s="12" t="s">
        <v>507</v>
      </c>
      <c r="D99" s="12" t="s">
        <v>508</v>
      </c>
      <c r="E99" s="12" t="s">
        <v>509</v>
      </c>
      <c r="F99" s="12" t="s">
        <v>510</v>
      </c>
      <c r="G99" s="12" t="s">
        <v>472</v>
      </c>
    </row>
    <row r="100" customFormat="false" ht="15" hidden="false" customHeight="false" outlineLevel="0" collapsed="false">
      <c r="A100" s="9" t="n">
        <v>0.08</v>
      </c>
      <c r="B100" s="21" t="n">
        <f aca="false">Annahmen!$B$6/A100</f>
        <v>3125000</v>
      </c>
      <c r="C100" s="21" t="n">
        <f aca="false">B100-Annahmen!$B$6</f>
        <v>2875000</v>
      </c>
      <c r="D100" s="25" t="n">
        <f aca="false">1-A100</f>
        <v>0.92</v>
      </c>
      <c r="E100" s="50" t="n">
        <f aca="false">C100/Bewertung!$B$75</f>
        <v>1.06148271834508</v>
      </c>
      <c r="F100" s="50" t="n">
        <f aca="false">C100/Bewertung!$D$75</f>
        <v>2.9794192084279</v>
      </c>
      <c r="G100" s="6" t="s">
        <v>511</v>
      </c>
    </row>
    <row r="101" customFormat="false" ht="15" hidden="false" customHeight="false" outlineLevel="0" collapsed="false">
      <c r="A101" s="9" t="n">
        <v>0.1</v>
      </c>
      <c r="B101" s="21" t="n">
        <f aca="false">Annahmen!$B$6/A101</f>
        <v>2500000</v>
      </c>
      <c r="C101" s="39" t="n">
        <f aca="false">B101-Annahmen!$B$6</f>
        <v>2250000</v>
      </c>
      <c r="D101" s="25" t="n">
        <f aca="false">1-A101</f>
        <v>0.9</v>
      </c>
      <c r="E101" s="50" t="n">
        <f aca="false">C101/Bewertung!$B$75</f>
        <v>0.830725605661363</v>
      </c>
      <c r="F101" s="50" t="n">
        <f aca="false">C101/Bewertung!$D$75</f>
        <v>2.3317193805088</v>
      </c>
      <c r="G101" s="6" t="s">
        <v>512</v>
      </c>
    </row>
    <row r="102" customFormat="false" ht="15" hidden="false" customHeight="false" outlineLevel="0" collapsed="false">
      <c r="A102" s="9" t="n">
        <v>0.125</v>
      </c>
      <c r="B102" s="21" t="n">
        <f aca="false">Annahmen!$B$6/A102</f>
        <v>2000000</v>
      </c>
      <c r="C102" s="21" t="n">
        <f aca="false">B102-Annahmen!$B$6</f>
        <v>1750000</v>
      </c>
      <c r="D102" s="25" t="n">
        <f aca="false">1-A102</f>
        <v>0.875</v>
      </c>
      <c r="E102" s="50" t="n">
        <f aca="false">C102/Bewertung!$B$75</f>
        <v>0.646119915514394</v>
      </c>
      <c r="F102" s="50" t="n">
        <f aca="false">C102/Bewertung!$D$75</f>
        <v>1.81355951817351</v>
      </c>
      <c r="G102" s="6" t="s">
        <v>513</v>
      </c>
    </row>
    <row r="103" customFormat="false" ht="15" hidden="false" customHeight="false" outlineLevel="0" collapsed="false">
      <c r="A103" s="9" t="n">
        <v>0.15</v>
      </c>
      <c r="B103" s="21" t="n">
        <f aca="false">Annahmen!$B$6/A103</f>
        <v>1666666.66666667</v>
      </c>
      <c r="C103" s="21" t="n">
        <f aca="false">B103-Annahmen!$B$6</f>
        <v>1416666.66666667</v>
      </c>
      <c r="D103" s="25" t="n">
        <f aca="false">1-A103</f>
        <v>0.85</v>
      </c>
      <c r="E103" s="50" t="n">
        <f aca="false">C103/Bewertung!$B$75</f>
        <v>0.523049455416414</v>
      </c>
      <c r="F103" s="50" t="n">
        <f aca="false">C103/Bewertung!$D$75</f>
        <v>1.46811960994998</v>
      </c>
      <c r="G103" s="6" t="s">
        <v>514</v>
      </c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</row>
    <row r="105" customFormat="false" ht="15" hidden="false" customHeight="false" outlineLevel="0" collapsed="false">
      <c r="A105" s="4" t="s">
        <v>515</v>
      </c>
      <c r="B105" s="5"/>
      <c r="C105" s="5"/>
      <c r="D105" s="5"/>
      <c r="E105" s="5"/>
      <c r="F105" s="5"/>
      <c r="G105" s="5"/>
    </row>
    <row r="106" customFormat="false" ht="15" hidden="false" customHeight="false" outlineLevel="0" collapsed="false">
      <c r="A106" s="6" t="s">
        <v>516</v>
      </c>
      <c r="B106" s="21" t="n">
        <f aca="false">Bewertung!$B$83</f>
        <v>2500000</v>
      </c>
      <c r="C106" s="2"/>
      <c r="D106" s="2"/>
      <c r="E106" s="2"/>
      <c r="F106" s="2"/>
      <c r="G106" s="2"/>
    </row>
    <row r="107" customFormat="false" ht="15" hidden="false" customHeight="false" outlineLevel="0" collapsed="false">
      <c r="A107" s="6" t="s">
        <v>517</v>
      </c>
      <c r="B107" s="9" t="n">
        <v>0.45</v>
      </c>
      <c r="C107" s="2"/>
      <c r="D107" s="2"/>
      <c r="E107" s="2"/>
      <c r="F107" s="2"/>
      <c r="G107" s="3" t="s">
        <v>518</v>
      </c>
    </row>
    <row r="108" customFormat="false" ht="15" hidden="false" customHeight="false" outlineLevel="0" collapsed="false">
      <c r="A108" s="6" t="s">
        <v>519</v>
      </c>
      <c r="B108" s="43" t="n">
        <v>4</v>
      </c>
      <c r="C108" s="43" t="n">
        <v>6</v>
      </c>
      <c r="D108" s="2"/>
      <c r="E108" s="2"/>
      <c r="F108" s="2"/>
      <c r="G108" s="3" t="s">
        <v>520</v>
      </c>
    </row>
    <row r="109" customFormat="false" ht="26.85" hidden="false" customHeight="false" outlineLevel="0" collapsed="false">
      <c r="A109" s="12" t="s">
        <v>521</v>
      </c>
      <c r="B109" s="12" t="s">
        <v>522</v>
      </c>
      <c r="C109" s="12" t="s">
        <v>523</v>
      </c>
      <c r="D109" s="12" t="s">
        <v>524</v>
      </c>
      <c r="E109" s="12" t="s">
        <v>525</v>
      </c>
      <c r="F109" s="12" t="s">
        <v>526</v>
      </c>
      <c r="G109" s="12" t="s">
        <v>527</v>
      </c>
    </row>
    <row r="110" customFormat="false" ht="15" hidden="false" customHeight="false" outlineLevel="0" collapsed="false">
      <c r="A110" s="43" t="n">
        <v>5</v>
      </c>
      <c r="B110" s="21" t="n">
        <f aca="false">Bewertung!$B$106*A110/(1-Bewertung!$B$107)</f>
        <v>22727272.7272727</v>
      </c>
      <c r="C110" s="21" t="n">
        <f aca="false">B110/Bewertung!$B$108</f>
        <v>5681818.18181818</v>
      </c>
      <c r="D110" s="21" t="n">
        <f aca="false">B110/Bewertung!$C$108</f>
        <v>3787878.78787879</v>
      </c>
      <c r="E110" s="31" t="str">
        <f aca="false">IF('GuV 5 Jahre'!$G$15&gt;=C110,"Konservativ",IF('GuV 5 Jahre'!$G$36&gt;=C110,"Basis",IF('GuV 5 Jahre'!$G$57&gt;=C110,"Optimistisch","keines")))</f>
        <v>Optimistisch</v>
      </c>
      <c r="F110" s="31" t="str">
        <f aca="false">IF('GuV 5 Jahre'!$G$15&gt;=D110,"Konservativ",IF('GuV 5 Jahre'!$G$36&gt;=D110,"Basis",IF('GuV 5 Jahre'!$G$57&gt;=D110,"Optimistisch","keines")))</f>
        <v>Optimistisch</v>
      </c>
      <c r="G110" s="3" t="s">
        <v>528</v>
      </c>
    </row>
    <row r="111" customFormat="false" ht="15" hidden="false" customHeight="false" outlineLevel="0" collapsed="false">
      <c r="A111" s="43" t="n">
        <v>10</v>
      </c>
      <c r="B111" s="39" t="n">
        <f aca="false">Bewertung!$B$106*A111/(1-Bewertung!$B$107)</f>
        <v>45454545.4545455</v>
      </c>
      <c r="C111" s="21" t="n">
        <f aca="false">B111/Bewertung!$B$108</f>
        <v>11363636.3636364</v>
      </c>
      <c r="D111" s="21" t="n">
        <f aca="false">B111/Bewertung!$C$108</f>
        <v>7575757.57575758</v>
      </c>
      <c r="E111" s="31" t="str">
        <f aca="false">IF('GuV 5 Jahre'!$G$15&gt;=C111,"Konservativ",IF('GuV 5 Jahre'!$G$36&gt;=C111,"Basis",IF('GuV 5 Jahre'!$G$57&gt;=C111,"Optimistisch","keines")))</f>
        <v>keines</v>
      </c>
      <c r="F111" s="31" t="str">
        <f aca="false">IF('GuV 5 Jahre'!$G$15&gt;=D111,"Konservativ",IF('GuV 5 Jahre'!$G$36&gt;=D111,"Basis",IF('GuV 5 Jahre'!$G$57&gt;=D111,"Optimistisch","keines")))</f>
        <v>keines</v>
      </c>
      <c r="G111" s="3" t="s">
        <v>528</v>
      </c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</row>
    <row r="113" customFormat="false" ht="26.85" hidden="false" customHeight="false" outlineLevel="0" collapsed="false">
      <c r="A113" s="12" t="s">
        <v>529</v>
      </c>
      <c r="B113" s="12" t="s">
        <v>530</v>
      </c>
      <c r="C113" s="12" t="s">
        <v>531</v>
      </c>
      <c r="D113" s="12" t="s">
        <v>532</v>
      </c>
      <c r="E113" s="12" t="s">
        <v>533</v>
      </c>
      <c r="F113" s="12" t="s">
        <v>534</v>
      </c>
      <c r="G113" s="12" t="s">
        <v>472</v>
      </c>
    </row>
    <row r="114" customFormat="false" ht="15" hidden="false" customHeight="false" outlineLevel="0" collapsed="false">
      <c r="A114" s="6" t="s">
        <v>33</v>
      </c>
      <c r="B114" s="21" t="n">
        <f aca="false">'GuV 5 Jahre'!$G$15</f>
        <v>602316.6</v>
      </c>
      <c r="C114" s="50" t="n">
        <f aca="false">B114*Bewertung!$B$108*(1-Bewertung!$B$107)/Bewertung!$B$106</f>
        <v>0.530038608</v>
      </c>
      <c r="D114" s="50" t="n">
        <f aca="false">B114*Bewertung!$C$108*(1-Bewertung!$B$107)/Bewertung!$B$106</f>
        <v>0.795057912</v>
      </c>
      <c r="E114" s="50" t="n">
        <f aca="false">B114*Bewertung!$C$108*(1-Bewertung!$B$36)/Bewertung!$B$106</f>
        <v>0.867335904</v>
      </c>
      <c r="F114" s="19" t="n">
        <f aca="false">B114/Bewertung!$D$111</f>
        <v>0.0795057912</v>
      </c>
      <c r="G114" s="2"/>
    </row>
    <row r="115" customFormat="false" ht="15" hidden="false" customHeight="false" outlineLevel="0" collapsed="false">
      <c r="A115" s="6" t="s">
        <v>34</v>
      </c>
      <c r="B115" s="21" t="n">
        <f aca="false">'GuV 5 Jahre'!$G$36</f>
        <v>3151812.5</v>
      </c>
      <c r="C115" s="50" t="n">
        <f aca="false">B115*Bewertung!$B$108*(1-Bewertung!$B$107)/Bewertung!$B$106</f>
        <v>2.773595</v>
      </c>
      <c r="D115" s="50" t="n">
        <f aca="false">B115*Bewertung!$C$108*(1-Bewertung!$B$107)/Bewertung!$B$106</f>
        <v>4.1603925</v>
      </c>
      <c r="E115" s="50" t="n">
        <f aca="false">B115*Bewertung!$C$108*(1-Bewertung!$B$36)/Bewertung!$B$106</f>
        <v>4.53861</v>
      </c>
      <c r="F115" s="19" t="n">
        <f aca="false">B115/Bewertung!$D$111</f>
        <v>0.41603925</v>
      </c>
      <c r="G115" s="2"/>
    </row>
    <row r="116" customFormat="false" ht="15" hidden="false" customHeight="false" outlineLevel="0" collapsed="false">
      <c r="A116" s="6" t="s">
        <v>35</v>
      </c>
      <c r="B116" s="21" t="n">
        <f aca="false">'GuV 5 Jahre'!$G$57</f>
        <v>7444105</v>
      </c>
      <c r="C116" s="50" t="n">
        <f aca="false">B116*Bewertung!$B$108*(1-Bewertung!$B$107)/Bewertung!$B$106</f>
        <v>6.5508124</v>
      </c>
      <c r="D116" s="50" t="n">
        <f aca="false">B116*Bewertung!$C$108*(1-Bewertung!$B$107)/Bewertung!$B$106</f>
        <v>9.8262186</v>
      </c>
      <c r="E116" s="50" t="n">
        <f aca="false">B116*Bewertung!$C$108*(1-Bewertung!$B$36)/Bewertung!$B$106</f>
        <v>10.7195112</v>
      </c>
      <c r="F116" s="19" t="n">
        <f aca="false">B116/Bewertung!$D$111</f>
        <v>0.98262186</v>
      </c>
      <c r="G116" s="2"/>
    </row>
    <row r="117" customFormat="false" ht="15" hidden="false" customHeight="false" outlineLevel="0" collapsed="false">
      <c r="A117" s="3" t="s">
        <v>535</v>
      </c>
      <c r="B117" s="2"/>
      <c r="C117" s="2"/>
      <c r="D117" s="2"/>
      <c r="E117" s="2"/>
      <c r="F117" s="2"/>
      <c r="G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</row>
    <row r="119" customFormat="false" ht="15" hidden="false" customHeight="false" outlineLevel="0" collapsed="false">
      <c r="A119" s="4" t="s">
        <v>536</v>
      </c>
      <c r="B119" s="5"/>
      <c r="C119" s="5"/>
      <c r="D119" s="5"/>
      <c r="E119" s="5"/>
      <c r="F119" s="5"/>
      <c r="G119" s="5"/>
    </row>
    <row r="120" customFormat="false" ht="15" hidden="false" customHeight="false" outlineLevel="0" collapsed="false">
      <c r="A120" s="6" t="s">
        <v>537</v>
      </c>
      <c r="B120" s="2"/>
      <c r="C120" s="2"/>
      <c r="D120" s="2"/>
      <c r="E120" s="2"/>
      <c r="F120" s="2"/>
      <c r="G120" s="2"/>
    </row>
    <row r="121" customFormat="false" ht="15" hidden="false" customHeight="false" outlineLevel="0" collapsed="false">
      <c r="A121" s="6" t="s">
        <v>538</v>
      </c>
      <c r="B121" s="2"/>
      <c r="C121" s="2"/>
      <c r="D121" s="2"/>
      <c r="E121" s="2"/>
      <c r="F121" s="2"/>
      <c r="G121" s="2"/>
    </row>
    <row r="122" customFormat="false" ht="15" hidden="false" customHeight="false" outlineLevel="0" collapsed="false">
      <c r="A122" s="6" t="s">
        <v>539</v>
      </c>
      <c r="B122" s="2"/>
      <c r="C122" s="2"/>
      <c r="D122" s="2"/>
      <c r="E122" s="2"/>
      <c r="F122" s="2"/>
      <c r="G122" s="2"/>
    </row>
    <row r="123" customFormat="false" ht="15" hidden="false" customHeight="false" outlineLevel="0" collapsed="false">
      <c r="A123" s="6" t="s">
        <v>540</v>
      </c>
      <c r="B123" s="2"/>
      <c r="C123" s="2"/>
      <c r="D123" s="2"/>
      <c r="E123" s="2"/>
      <c r="F123" s="2"/>
      <c r="G123" s="2"/>
    </row>
    <row r="124" customFormat="false" ht="15" hidden="false" customHeight="false" outlineLevel="0" collapsed="false">
      <c r="A124" s="6" t="s">
        <v>541</v>
      </c>
      <c r="B124" s="2"/>
      <c r="C124" s="2"/>
      <c r="D124" s="2"/>
      <c r="E124" s="2"/>
      <c r="F124" s="2"/>
      <c r="G124" s="2"/>
    </row>
    <row r="125" customFormat="false" ht="15" hidden="false" customHeight="false" outlineLevel="0" collapsed="false">
      <c r="A125" s="6" t="s">
        <v>542</v>
      </c>
      <c r="B125" s="2"/>
      <c r="C125" s="2"/>
      <c r="D125" s="2"/>
      <c r="E125" s="2"/>
      <c r="F125" s="2"/>
      <c r="G125" s="2"/>
    </row>
    <row r="126" customFormat="false" ht="15" hidden="false" customHeight="false" outlineLevel="0" collapsed="false">
      <c r="A126" s="6" t="s">
        <v>543</v>
      </c>
      <c r="B126" s="2"/>
      <c r="C126" s="2"/>
      <c r="D126" s="2"/>
      <c r="E126" s="2"/>
      <c r="F126" s="2"/>
      <c r="G126" s="2"/>
    </row>
    <row r="127" customFormat="false" ht="15" hidden="false" customHeight="false" outlineLevel="0" collapsed="false">
      <c r="A127" s="3" t="s">
        <v>544</v>
      </c>
      <c r="B127" s="2"/>
      <c r="C127" s="2"/>
      <c r="D127" s="2"/>
      <c r="E127" s="2"/>
      <c r="F127" s="2"/>
      <c r="G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</row>
    <row r="129" customFormat="false" ht="15" hidden="false" customHeight="false" outlineLevel="0" collapsed="false">
      <c r="A129" s="4" t="s">
        <v>545</v>
      </c>
      <c r="B129" s="5"/>
      <c r="C129" s="5"/>
      <c r="D129" s="5"/>
      <c r="E129" s="5"/>
      <c r="F129" s="5"/>
      <c r="G129" s="5"/>
    </row>
    <row r="130" customFormat="false" ht="15" hidden="false" customHeight="false" outlineLevel="0" collapsed="false">
      <c r="A130" s="16" t="s">
        <v>546</v>
      </c>
      <c r="B130" s="7" t="n">
        <v>2250000</v>
      </c>
      <c r="C130" s="31" t="str">
        <f aca="false">IF(ROUND(Bewertung!$B$130-Bewertung!$B$84,0)=0,"= Angebot Pre-Money","weicht vom Angebot ab")</f>
        <v>= Angebot Pre-Money</v>
      </c>
      <c r="D130" s="2"/>
      <c r="E130" s="2"/>
      <c r="F130" s="2"/>
      <c r="G130" s="3" t="s">
        <v>547</v>
      </c>
    </row>
    <row r="131" customFormat="false" ht="15" hidden="false" customHeight="false" outlineLevel="0" collapsed="false">
      <c r="A131" s="6" t="s">
        <v>548</v>
      </c>
      <c r="B131" s="9" t="n">
        <v>0.2</v>
      </c>
      <c r="C131" s="2"/>
      <c r="D131" s="2"/>
      <c r="E131" s="2"/>
      <c r="F131" s="2"/>
      <c r="G131" s="3" t="s">
        <v>549</v>
      </c>
    </row>
    <row r="132" customFormat="false" ht="15" hidden="false" customHeight="false" outlineLevel="0" collapsed="false">
      <c r="A132" s="6" t="s">
        <v>550</v>
      </c>
      <c r="B132" s="9" t="n">
        <v>0</v>
      </c>
      <c r="C132" s="2"/>
      <c r="D132" s="2"/>
      <c r="E132" s="2"/>
      <c r="F132" s="2"/>
      <c r="G132" s="2"/>
    </row>
    <row r="133" customFormat="false" ht="15" hidden="false" customHeight="false" outlineLevel="0" collapsed="false">
      <c r="A133" s="6" t="s">
        <v>551</v>
      </c>
      <c r="B133" s="10" t="n">
        <v>18</v>
      </c>
      <c r="C133" s="2"/>
      <c r="D133" s="2"/>
      <c r="E133" s="2"/>
      <c r="F133" s="2"/>
      <c r="G133" s="2"/>
    </row>
    <row r="134" customFormat="false" ht="15" hidden="false" customHeight="false" outlineLevel="0" collapsed="false">
      <c r="A134" s="6" t="s">
        <v>552</v>
      </c>
      <c r="B134" s="21" t="n">
        <f aca="false">Annahmen!$B$6*(1+Bewertung!$B$132*Bewertung!$B$133/12)</f>
        <v>250000</v>
      </c>
      <c r="C134" s="2"/>
      <c r="D134" s="2"/>
      <c r="E134" s="2"/>
      <c r="F134" s="2"/>
      <c r="G134" s="2"/>
    </row>
    <row r="135" customFormat="false" ht="15" hidden="false" customHeight="false" outlineLevel="0" collapsed="false">
      <c r="A135" s="6" t="s">
        <v>553</v>
      </c>
      <c r="B135" s="8" t="n">
        <v>3000000</v>
      </c>
      <c r="C135" s="2"/>
      <c r="D135" s="2"/>
      <c r="E135" s="2"/>
      <c r="F135" s="2"/>
      <c r="G135" s="2"/>
    </row>
    <row r="136" customFormat="false" ht="15" hidden="false" customHeight="false" outlineLevel="0" collapsed="false">
      <c r="A136" s="6" t="s">
        <v>554</v>
      </c>
      <c r="B136" s="21" t="n">
        <f aca="false">MIN(Bewertung!$B$130,Bewertung!$B$135*(1-Bewertung!$B$131))</f>
        <v>2250000</v>
      </c>
      <c r="C136" s="2"/>
      <c r="D136" s="2"/>
      <c r="E136" s="2"/>
      <c r="F136" s="2"/>
      <c r="G136" s="2"/>
    </row>
    <row r="137" customFormat="false" ht="15" hidden="false" customHeight="false" outlineLevel="0" collapsed="false">
      <c r="A137" s="16" t="s">
        <v>555</v>
      </c>
      <c r="B137" s="51" t="n">
        <f aca="false">Bewertung!$B$134/(Bewertung!$B$136+Bewertung!$B$134)</f>
        <v>0.1</v>
      </c>
      <c r="C137" s="2"/>
      <c r="D137" s="2"/>
      <c r="E137" s="2"/>
      <c r="F137" s="2"/>
      <c r="G137" s="2"/>
    </row>
    <row r="138" customFormat="false" ht="15" hidden="false" customHeight="false" outlineLevel="0" collapsed="false">
      <c r="A138" s="16" t="s">
        <v>556</v>
      </c>
      <c r="B138" s="52" t="n">
        <f aca="false">Annahmen!$B$6/(Bewertung!$B$130+Annahmen!$B$6)</f>
        <v>0.1</v>
      </c>
      <c r="C138" s="2"/>
      <c r="D138" s="2"/>
      <c r="E138" s="2"/>
      <c r="F138" s="2"/>
      <c r="G138" s="2"/>
    </row>
    <row r="139" customFormat="false" ht="15" hidden="false" customHeight="false" outlineLevel="0" collapsed="false">
      <c r="A139" s="6" t="s">
        <v>557</v>
      </c>
      <c r="B139" s="19" t="n">
        <f aca="false">Bewertung!$B$134/(Bewertung!$B$130+Bewertung!$B$134)</f>
        <v>0.1</v>
      </c>
      <c r="C139" s="2"/>
      <c r="D139" s="2"/>
      <c r="E139" s="2"/>
      <c r="F139" s="2"/>
      <c r="G139" s="3" t="s">
        <v>558</v>
      </c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</row>
    <row r="141" customFormat="false" ht="15" hidden="false" customHeight="false" outlineLevel="0" collapsed="false">
      <c r="A141" s="3" t="s">
        <v>559</v>
      </c>
      <c r="B141" s="2"/>
      <c r="C141" s="2"/>
      <c r="D141" s="2"/>
      <c r="E141" s="2"/>
      <c r="F141" s="2"/>
      <c r="G14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1"/>
    <col collapsed="false" customWidth="true" hidden="false" outlineLevel="0" max="16" min="5" style="0" width="14"/>
    <col collapsed="false" customWidth="true" hidden="false" outlineLevel="0" max="39" min="17" style="0" width="12"/>
  </cols>
  <sheetData>
    <row r="1" customFormat="false" ht="17.35" hidden="false" customHeight="false" outlineLevel="0" collapsed="false">
      <c r="A1" s="1" t="s">
        <v>560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3" t="s">
        <v>561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customFormat="false" ht="26.85" hidden="false" customHeight="false" outlineLevel="0" collapsed="false">
      <c r="A4" s="12" t="s">
        <v>562</v>
      </c>
      <c r="B4" s="12" t="s">
        <v>563</v>
      </c>
      <c r="C4" s="12" t="s">
        <v>564</v>
      </c>
      <c r="D4" s="12" t="s">
        <v>565</v>
      </c>
      <c r="E4" s="12" t="s">
        <v>566</v>
      </c>
      <c r="F4" s="12" t="s">
        <v>567</v>
      </c>
      <c r="G4" s="12" t="s">
        <v>568</v>
      </c>
      <c r="H4" s="12" t="s">
        <v>569</v>
      </c>
      <c r="I4" s="12" t="s">
        <v>570</v>
      </c>
      <c r="J4" s="12" t="s">
        <v>571</v>
      </c>
      <c r="K4" s="12" t="s">
        <v>572</v>
      </c>
      <c r="L4" s="12" t="s">
        <v>573</v>
      </c>
      <c r="M4" s="12" t="s">
        <v>574</v>
      </c>
      <c r="N4" s="12" t="s">
        <v>575</v>
      </c>
      <c r="O4" s="12" t="s">
        <v>576</v>
      </c>
      <c r="P4" s="12" t="s">
        <v>577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customFormat="false" ht="15" hidden="false" customHeight="false" outlineLevel="0" collapsed="false">
      <c r="A5" s="34" t="s">
        <v>34</v>
      </c>
      <c r="B5" s="53" t="n">
        <v>0</v>
      </c>
      <c r="C5" s="40" t="n">
        <v>1</v>
      </c>
      <c r="D5" s="40" t="n">
        <v>1</v>
      </c>
      <c r="E5" s="21" t="n">
        <f aca="false">('GuV 5 Jahre'!$E$27*$D5)*('GuV 5 Jahre'!$E$28+$B5)*Annahmen!$B$13*Annahmen!$D$30*$C5*12+('GuV 5 Jahre'!$E$27*$D5)*Annahmen!$D$31*Annahmen!$B$10+'GuV 5 Jahre'!$E$33+'GuV 5 Jahre'!$E$35</f>
        <v>1038270</v>
      </c>
      <c r="F5" s="54" t="n">
        <f aca="false">E5/$E$5-1</f>
        <v>0</v>
      </c>
      <c r="G5" s="21" t="n">
        <f aca="false">('GuV 5 Jahre'!$C$27*$D5)*('GuV 5 Jahre'!$C$28+$B5)*Annahmen!$B$12*Annahmen!$D$30*$C5*12+('GuV 5 Jahre'!$C$27*$D5)*Annahmen!$D$31*Annahmen!$B$10+'GuV 5 Jahre'!$C$33</f>
        <v>50544</v>
      </c>
      <c r="H5" s="21" t="n">
        <f aca="false">('GuV 5 Jahre'!$D$27*$D5)*('GuV 5 Jahre'!$D$28+$B5)*Annahmen!$B$13*Annahmen!$D$30*$C5*12+('GuV 5 Jahre'!$D$27*$D5)*Annahmen!$D$31*Annahmen!$B$10+'GuV 5 Jahre'!$D$33</f>
        <v>285540</v>
      </c>
      <c r="I5" s="15" t="n">
        <f aca="false">G5*11.5/72</f>
        <v>8073</v>
      </c>
      <c r="J5" s="15" t="n">
        <f aca="false">(H5-12*I5)/78</f>
        <v>2418.76923076923</v>
      </c>
      <c r="K5" s="32" t="str">
        <f aca="false">IFERROR(MATCH(1,$E$18:$AB$18,0)-1,"&gt; 24")</f>
        <v>&gt; 24</v>
      </c>
      <c r="L5" s="32" t="str">
        <f aca="false">IFERROR(MATCH(1,$E$18:$AB$18,0),"keiner")</f>
        <v>keiner</v>
      </c>
      <c r="M5" s="15" t="n">
        <f aca="false">INDEX($E$17:$AB$17,12)</f>
        <v>134375.48</v>
      </c>
      <c r="N5" s="15" t="n">
        <f aca="false">INDEX($E$17:$AB$17,18)</f>
        <v>145794.061538462</v>
      </c>
      <c r="O5" s="15" t="n">
        <f aca="false">INDEX($E$17:$AB$17,24)</f>
        <v>175197.28</v>
      </c>
      <c r="P5" s="15" t="n">
        <f aca="false">MIN($E$17:$AB$17)</f>
        <v>125383.566153846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customFormat="false" ht="15" hidden="false" customHeight="false" outlineLevel="0" collapsed="false">
      <c r="A6" s="34" t="s">
        <v>578</v>
      </c>
      <c r="B6" s="53" t="n">
        <v>-0.01</v>
      </c>
      <c r="C6" s="40" t="n">
        <v>1</v>
      </c>
      <c r="D6" s="40" t="n">
        <v>1</v>
      </c>
      <c r="E6" s="21" t="n">
        <f aca="false">('GuV 5 Jahre'!$E$27*$D6)*('GuV 5 Jahre'!$E$28+$B6)*Annahmen!$B$13*Annahmen!$D$30*$C6*12+('GuV 5 Jahre'!$E$27*$D6)*Annahmen!$D$31*Annahmen!$B$10+'GuV 5 Jahre'!$E$33+'GuV 5 Jahre'!$E$35</f>
        <v>847020</v>
      </c>
      <c r="F6" s="54" t="n">
        <f aca="false">E6/$E$5-1</f>
        <v>-0.184200641451646</v>
      </c>
      <c r="G6" s="21" t="n">
        <f aca="false">('GuV 5 Jahre'!$C$27*$D6)*('GuV 5 Jahre'!$C$28+$B6)*Annahmen!$B$12*Annahmen!$D$30*$C6*12+('GuV 5 Jahre'!$C$27*$D6)*Annahmen!$D$31*Annahmen!$B$10+'GuV 5 Jahre'!$C$33</f>
        <v>40344</v>
      </c>
      <c r="H6" s="21" t="n">
        <f aca="false">('GuV 5 Jahre'!$D$27*$D6)*('GuV 5 Jahre'!$D$28+$B6)*Annahmen!$B$13*Annahmen!$D$30*$C6*12+('GuV 5 Jahre'!$D$27*$D6)*Annahmen!$D$31*Annahmen!$B$10+'GuV 5 Jahre'!$D$33</f>
        <v>224340</v>
      </c>
      <c r="I6" s="15" t="n">
        <f aca="false">G6*11.5/72</f>
        <v>6443.83333333333</v>
      </c>
      <c r="J6" s="15" t="n">
        <f aca="false">(H6-12*I6)/78</f>
        <v>1884.79487179487</v>
      </c>
      <c r="K6" s="32" t="str">
        <f aca="false">IFERROR(MATCH(1,$E$22:$AB$22,0)-1,"&gt; 24")</f>
        <v>&gt; 24</v>
      </c>
      <c r="L6" s="32" t="str">
        <f aca="false">IFERROR(MATCH(1,$E$22:$AB$22,0),"keiner")</f>
        <v>keiner</v>
      </c>
      <c r="M6" s="15" t="n">
        <f aca="false">INDEX($E$21:$AB$21,12)</f>
        <v>124991.48</v>
      </c>
      <c r="N6" s="15" t="n">
        <f aca="false">INDEX($E$21:$AB$21,18)</f>
        <v>117100.676923077</v>
      </c>
      <c r="O6" s="15" t="n">
        <f aca="false">INDEX($E$21:$AB$21,24)</f>
        <v>109509.28</v>
      </c>
      <c r="P6" s="15" t="n">
        <f aca="false">MIN($E$21:$AB$21)</f>
        <v>82501.9276923077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customFormat="false" ht="15" hidden="false" customHeight="false" outlineLevel="0" collapsed="false">
      <c r="A7" s="34" t="s">
        <v>579</v>
      </c>
      <c r="B7" s="53" t="n">
        <v>0.01</v>
      </c>
      <c r="C7" s="40" t="n">
        <v>1</v>
      </c>
      <c r="D7" s="40" t="n">
        <v>1</v>
      </c>
      <c r="E7" s="21" t="n">
        <f aca="false">('GuV 5 Jahre'!$E$27*$D7)*('GuV 5 Jahre'!$E$28+$B7)*Annahmen!$B$13*Annahmen!$D$30*$C7*12+('GuV 5 Jahre'!$E$27*$D7)*Annahmen!$D$31*Annahmen!$B$10+'GuV 5 Jahre'!$E$33+'GuV 5 Jahre'!$E$35</f>
        <v>1229520</v>
      </c>
      <c r="F7" s="54" t="n">
        <f aca="false">E7/$E$5-1</f>
        <v>0.184200641451646</v>
      </c>
      <c r="G7" s="21" t="n">
        <f aca="false">('GuV 5 Jahre'!$C$27*$D7)*('GuV 5 Jahre'!$C$28+$B7)*Annahmen!$B$12*Annahmen!$D$30*$C7*12+('GuV 5 Jahre'!$C$27*$D7)*Annahmen!$D$31*Annahmen!$B$10+'GuV 5 Jahre'!$C$33</f>
        <v>60744</v>
      </c>
      <c r="H7" s="21" t="n">
        <f aca="false">('GuV 5 Jahre'!$D$27*$D7)*('GuV 5 Jahre'!$D$28+$B7)*Annahmen!$B$13*Annahmen!$D$30*$C7*12+('GuV 5 Jahre'!$D$27*$D7)*Annahmen!$D$31*Annahmen!$B$10+'GuV 5 Jahre'!$D$33</f>
        <v>346740</v>
      </c>
      <c r="I7" s="15" t="n">
        <f aca="false">G7*11.5/72</f>
        <v>9702.16666666667</v>
      </c>
      <c r="J7" s="15" t="n">
        <f aca="false">(H7-12*I7)/78</f>
        <v>2952.74358974359</v>
      </c>
      <c r="K7" s="32" t="str">
        <f aca="false">IFERROR(MATCH(1,$E$26:$AB$26,0)-1,"&gt; 24")</f>
        <v>&gt; 24</v>
      </c>
      <c r="L7" s="32" t="str">
        <f aca="false">IFERROR(MATCH(1,$E$26:$AB$26,0),"keiner")</f>
        <v>keiner</v>
      </c>
      <c r="M7" s="15" t="n">
        <f aca="false">INDEX($E$25:$AB$25,12)</f>
        <v>143759.48</v>
      </c>
      <c r="N7" s="15" t="n">
        <f aca="false">INDEX($E$25:$AB$25,18)</f>
        <v>174487.446153846</v>
      </c>
      <c r="O7" s="15" t="n">
        <f aca="false">INDEX($E$25:$AB$25,24)</f>
        <v>240885.28</v>
      </c>
      <c r="P7" s="15" t="n">
        <f aca="false">MIN($E$25:$AB$25)</f>
        <v>140011.038974359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customFormat="false" ht="15" hidden="false" customHeight="false" outlineLevel="0" collapsed="false">
      <c r="A8" s="34" t="s">
        <v>580</v>
      </c>
      <c r="B8" s="53" t="n">
        <v>0</v>
      </c>
      <c r="C8" s="40" t="n">
        <v>0.8</v>
      </c>
      <c r="D8" s="40" t="n">
        <v>1</v>
      </c>
      <c r="E8" s="21" t="n">
        <f aca="false">('GuV 5 Jahre'!$E$27*$D8)*('GuV 5 Jahre'!$E$28+$B8)*Annahmen!$B$13*Annahmen!$D$30*$C8*12+('GuV 5 Jahre'!$E$27*$D8)*Annahmen!$D$31*Annahmen!$B$10+'GuV 5 Jahre'!$E$33+'GuV 5 Jahre'!$E$35</f>
        <v>885270</v>
      </c>
      <c r="F8" s="54" t="n">
        <f aca="false">E8/$E$5-1</f>
        <v>-0.147360513161316</v>
      </c>
      <c r="G8" s="21" t="n">
        <f aca="false">('GuV 5 Jahre'!$C$27*$D8)*('GuV 5 Jahre'!$C$28+$B8)*Annahmen!$B$12*Annahmen!$D$30*$C8*12+('GuV 5 Jahre'!$C$27*$D8)*Annahmen!$D$31*Annahmen!$B$10+'GuV 5 Jahre'!$C$33</f>
        <v>42384</v>
      </c>
      <c r="H8" s="21" t="n">
        <f aca="false">('GuV 5 Jahre'!$D$27*$D8)*('GuV 5 Jahre'!$D$28+$B8)*Annahmen!$B$13*Annahmen!$D$30*$C8*12+('GuV 5 Jahre'!$D$27*$D8)*Annahmen!$D$31*Annahmen!$B$10+'GuV 5 Jahre'!$D$33</f>
        <v>236580</v>
      </c>
      <c r="I8" s="15" t="n">
        <f aca="false">G8*11.5/72</f>
        <v>6769.66666666667</v>
      </c>
      <c r="J8" s="15" t="n">
        <f aca="false">(H8-12*I8)/78</f>
        <v>1991.58974358974</v>
      </c>
      <c r="K8" s="32" t="str">
        <f aca="false">IFERROR(MATCH(1,$E$30:$AB$30,0)-1,"&gt; 24")</f>
        <v>&gt; 24</v>
      </c>
      <c r="L8" s="32" t="str">
        <f aca="false">IFERROR(MATCH(1,$E$30:$AB$30,0),"keiner")</f>
        <v>keiner</v>
      </c>
      <c r="M8" s="15" t="n">
        <f aca="false">INDEX($E$29:$AB$29,12)</f>
        <v>126868.28</v>
      </c>
      <c r="N8" s="15" t="n">
        <f aca="false">INDEX($E$29:$AB$29,18)</f>
        <v>122839.353846154</v>
      </c>
      <c r="O8" s="15" t="n">
        <f aca="false">INDEX($E$29:$AB$29,24)</f>
        <v>122646.88</v>
      </c>
      <c r="P8" s="15" t="n">
        <f aca="false">MIN($E$29:$AB$29)</f>
        <v>91497.9353846152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customFormat="false" ht="15" hidden="false" customHeight="false" outlineLevel="0" collapsed="false">
      <c r="A9" s="34" t="s">
        <v>581</v>
      </c>
      <c r="B9" s="53" t="n">
        <v>0</v>
      </c>
      <c r="C9" s="40" t="n">
        <v>1.2</v>
      </c>
      <c r="D9" s="40" t="n">
        <v>1</v>
      </c>
      <c r="E9" s="21" t="n">
        <f aca="false">('GuV 5 Jahre'!$E$27*$D9)*('GuV 5 Jahre'!$E$28+$B9)*Annahmen!$B$13*Annahmen!$D$30*$C9*12+('GuV 5 Jahre'!$E$27*$D9)*Annahmen!$D$31*Annahmen!$B$10+'GuV 5 Jahre'!$E$33+'GuV 5 Jahre'!$E$35</f>
        <v>1191270</v>
      </c>
      <c r="F9" s="54" t="n">
        <f aca="false">E9/$E$5-1</f>
        <v>0.147360513161317</v>
      </c>
      <c r="G9" s="21" t="n">
        <f aca="false">('GuV 5 Jahre'!$C$27*$D9)*('GuV 5 Jahre'!$C$28+$B9)*Annahmen!$B$12*Annahmen!$D$30*$C9*12+('GuV 5 Jahre'!$C$27*$D9)*Annahmen!$D$31*Annahmen!$B$10+'GuV 5 Jahre'!$C$33</f>
        <v>58704</v>
      </c>
      <c r="H9" s="21" t="n">
        <f aca="false">('GuV 5 Jahre'!$D$27*$D9)*('GuV 5 Jahre'!$D$28+$B9)*Annahmen!$B$13*Annahmen!$D$30*$C9*12+('GuV 5 Jahre'!$D$27*$D9)*Annahmen!$D$31*Annahmen!$B$10+'GuV 5 Jahre'!$D$33</f>
        <v>334500</v>
      </c>
      <c r="I9" s="15" t="n">
        <f aca="false">G9*11.5/72</f>
        <v>9376.33333333333</v>
      </c>
      <c r="J9" s="15" t="n">
        <f aca="false">(H9-12*I9)/78</f>
        <v>2845.94871794872</v>
      </c>
      <c r="K9" s="32" t="str">
        <f aca="false">IFERROR(MATCH(1,$E$34:$AB$34,0)-1,"&gt; 24")</f>
        <v>&gt; 24</v>
      </c>
      <c r="L9" s="32" t="str">
        <f aca="false">IFERROR(MATCH(1,$E$34:$AB$34,0),"keiner")</f>
        <v>keiner</v>
      </c>
      <c r="M9" s="15" t="n">
        <f aca="false">INDEX($E$33:$AB$33,12)</f>
        <v>141882.68</v>
      </c>
      <c r="N9" s="15" t="n">
        <f aca="false">INDEX($E$33:$AB$33,18)</f>
        <v>168748.769230769</v>
      </c>
      <c r="O9" s="15" t="n">
        <f aca="false">INDEX($E$33:$AB$33,24)</f>
        <v>227747.68</v>
      </c>
      <c r="P9" s="15" t="n">
        <f aca="false">MIN($E$33:$AB$33)</f>
        <v>137239.951794872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customFormat="false" ht="15" hidden="false" customHeight="false" outlineLevel="0" collapsed="false">
      <c r="A10" s="34" t="s">
        <v>582</v>
      </c>
      <c r="B10" s="53" t="n">
        <v>0</v>
      </c>
      <c r="C10" s="40" t="n">
        <v>1</v>
      </c>
      <c r="D10" s="40" t="n">
        <v>0.7</v>
      </c>
      <c r="E10" s="21" t="n">
        <f aca="false">('GuV 5 Jahre'!$E$27*$D10)*('GuV 5 Jahre'!$E$28+$B10)*Annahmen!$B$13*Annahmen!$D$30*$C10*12+('GuV 5 Jahre'!$E$27*$D10)*Annahmen!$D$31*Annahmen!$B$10+'GuV 5 Jahre'!$E$33+'GuV 5 Jahre'!$E$35</f>
        <v>778845</v>
      </c>
      <c r="F10" s="54" t="n">
        <f aca="false">E10/$E$5-1</f>
        <v>-0.249862752463232</v>
      </c>
      <c r="G10" s="21" t="n">
        <f aca="false">('GuV 5 Jahre'!$C$27*$D10)*('GuV 5 Jahre'!$C$28+$B10)*Annahmen!$B$12*Annahmen!$D$30*$C10*12+('GuV 5 Jahre'!$C$27*$D10)*Annahmen!$D$31*Annahmen!$B$10+'GuV 5 Jahre'!$C$33</f>
        <v>35910</v>
      </c>
      <c r="H10" s="21" t="n">
        <f aca="false">('GuV 5 Jahre'!$D$27*$D10)*('GuV 5 Jahre'!$D$28+$B10)*Annahmen!$B$13*Annahmen!$D$30*$C10*12+('GuV 5 Jahre'!$D$27*$D10)*Annahmen!$D$31*Annahmen!$B$10+'GuV 5 Jahre'!$D$33</f>
        <v>202524</v>
      </c>
      <c r="I10" s="15" t="n">
        <f aca="false">G10*11.5/72</f>
        <v>5735.625</v>
      </c>
      <c r="J10" s="15" t="n">
        <f aca="false">(H10-12*I10)/78</f>
        <v>1714.05769230769</v>
      </c>
      <c r="K10" s="32" t="str">
        <f aca="false">IFERROR(MATCH(1,$E$38:$AB$38,0)-1,"&gt; 24")</f>
        <v>&gt; 24</v>
      </c>
      <c r="L10" s="32" t="str">
        <f aca="false">IFERROR(MATCH(1,$E$38:$AB$38,0),"keiner")</f>
        <v>keiner</v>
      </c>
      <c r="M10" s="15" t="n">
        <f aca="false">INDEX($E$37:$AB$37,12)</f>
        <v>120912.2</v>
      </c>
      <c r="N10" s="15" t="n">
        <f aca="false">INDEX($E$37:$AB$37,18)</f>
        <v>105813.444615385</v>
      </c>
      <c r="O10" s="15" t="n">
        <f aca="false">INDEX($E$37:$AB$37,24)</f>
        <v>85359.28</v>
      </c>
      <c r="P10" s="15" t="n">
        <f aca="false">MIN($E$37:$AB$37)</f>
        <v>65490.1634615385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customFormat="false" ht="15" hidden="false" customHeight="false" outlineLevel="0" collapsed="false">
      <c r="A11" s="34" t="s">
        <v>583</v>
      </c>
      <c r="B11" s="53" t="n">
        <v>0</v>
      </c>
      <c r="C11" s="40" t="n">
        <v>1</v>
      </c>
      <c r="D11" s="40" t="n">
        <v>1.3</v>
      </c>
      <c r="E11" s="21" t="n">
        <f aca="false">('GuV 5 Jahre'!$E$27*$D11)*('GuV 5 Jahre'!$E$28+$B11)*Annahmen!$B$13*Annahmen!$D$30*$C11*12+('GuV 5 Jahre'!$E$27*$D11)*Annahmen!$D$31*Annahmen!$B$10+'GuV 5 Jahre'!$E$33+'GuV 5 Jahre'!$E$35</f>
        <v>1297695</v>
      </c>
      <c r="F11" s="54" t="n">
        <f aca="false">E11/$E$5-1</f>
        <v>0.249862752463232</v>
      </c>
      <c r="G11" s="21" t="n">
        <f aca="false">('GuV 5 Jahre'!$C$27*$D11)*('GuV 5 Jahre'!$C$28+$B11)*Annahmen!$B$12*Annahmen!$D$30*$C11*12+('GuV 5 Jahre'!$C$27*$D11)*Annahmen!$D$31*Annahmen!$B$10+'GuV 5 Jahre'!$C$33</f>
        <v>65178</v>
      </c>
      <c r="H11" s="21" t="n">
        <f aca="false">('GuV 5 Jahre'!$D$27*$D11)*('GuV 5 Jahre'!$D$28+$B11)*Annahmen!$B$13*Annahmen!$D$30*$C11*12+('GuV 5 Jahre'!$D$27*$D11)*Annahmen!$D$31*Annahmen!$B$10+'GuV 5 Jahre'!$D$33</f>
        <v>368556</v>
      </c>
      <c r="I11" s="15" t="n">
        <f aca="false">G11*11.5/72</f>
        <v>10410.375</v>
      </c>
      <c r="J11" s="15" t="n">
        <f aca="false">(H11-12*I11)/78</f>
        <v>3123.48076923077</v>
      </c>
      <c r="K11" s="32" t="str">
        <f aca="false">IFERROR(MATCH(1,$E$42:$AB$42,0)-1,"&gt; 24")</f>
        <v>&gt; 24</v>
      </c>
      <c r="L11" s="32" t="str">
        <f aca="false">IFERROR(MATCH(1,$E$42:$AB$42,0),"keiner")</f>
        <v>keiner</v>
      </c>
      <c r="M11" s="15" t="n">
        <f aca="false">INDEX($E$41:$AB$41,12)</f>
        <v>147838.76</v>
      </c>
      <c r="N11" s="15" t="n">
        <f aca="false">INDEX($E$41:$AB$41,18)</f>
        <v>185774.678461538</v>
      </c>
      <c r="O11" s="15" t="n">
        <f aca="false">INDEX($E$41:$AB$41,24)</f>
        <v>265035.28</v>
      </c>
      <c r="P11" s="15" t="n">
        <f aca="false">MIN($E$41:$AB$41)</f>
        <v>145414.907307692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customFormat="false" ht="15" hidden="false" customHeight="false" outlineLevel="0" collapsed="false">
      <c r="A13" s="16" t="s">
        <v>255</v>
      </c>
      <c r="B13" s="2"/>
      <c r="C13" s="2"/>
      <c r="D13" s="2"/>
      <c r="E13" s="33" t="n">
        <v>1</v>
      </c>
      <c r="F13" s="33" t="n">
        <v>2</v>
      </c>
      <c r="G13" s="33" t="n">
        <v>3</v>
      </c>
      <c r="H13" s="33" t="n">
        <v>4</v>
      </c>
      <c r="I13" s="33" t="n">
        <v>5</v>
      </c>
      <c r="J13" s="33" t="n">
        <v>6</v>
      </c>
      <c r="K13" s="33" t="n">
        <v>7</v>
      </c>
      <c r="L13" s="33" t="n">
        <v>8</v>
      </c>
      <c r="M13" s="33" t="n">
        <v>9</v>
      </c>
      <c r="N13" s="33" t="n">
        <v>10</v>
      </c>
      <c r="O13" s="33" t="n">
        <v>11</v>
      </c>
      <c r="P13" s="33" t="n">
        <v>12</v>
      </c>
      <c r="Q13" s="33" t="n">
        <v>13</v>
      </c>
      <c r="R13" s="33" t="n">
        <v>14</v>
      </c>
      <c r="S13" s="33" t="n">
        <v>15</v>
      </c>
      <c r="T13" s="33" t="n">
        <v>16</v>
      </c>
      <c r="U13" s="33" t="n">
        <v>17</v>
      </c>
      <c r="V13" s="33" t="n">
        <v>18</v>
      </c>
      <c r="W13" s="33" t="n">
        <v>19</v>
      </c>
      <c r="X13" s="33" t="n">
        <v>20</v>
      </c>
      <c r="Y13" s="33" t="n">
        <v>21</v>
      </c>
      <c r="Z13" s="33" t="n">
        <v>22</v>
      </c>
      <c r="AA13" s="33" t="n">
        <v>23</v>
      </c>
      <c r="AB13" s="33" t="n">
        <v>24</v>
      </c>
    </row>
    <row r="14" customFormat="false" ht="15" hidden="false" customHeight="false" outlineLevel="0" collapsed="false">
      <c r="A14" s="6" t="s">
        <v>584</v>
      </c>
      <c r="B14" s="2"/>
      <c r="C14" s="2"/>
      <c r="D14" s="2"/>
      <c r="E14" s="21" t="n">
        <f aca="false">'Liquidität 24M'!D$39+'Liquidität 24M'!D$48*Annahmen!$D$47+Annahmen!$B$7</f>
        <v>13250</v>
      </c>
      <c r="F14" s="21" t="n">
        <f aca="false">'Liquidität 24M'!E$39+'Liquidität 24M'!E$48*Annahmen!$D$47+Annahmen!$B$7</f>
        <v>5250</v>
      </c>
      <c r="G14" s="21" t="n">
        <f aca="false">'Liquidität 24M'!F$39+'Liquidität 24M'!F$48*Annahmen!$D$47+Annahmen!$B$7</f>
        <v>10750</v>
      </c>
      <c r="H14" s="21" t="n">
        <f aca="false">'Liquidität 24M'!G$39+'Liquidität 24M'!G$48*Annahmen!$D$47+Annahmen!$B$7</f>
        <v>13875</v>
      </c>
      <c r="I14" s="21" t="n">
        <f aca="false">'Liquidität 24M'!H$39+'Liquidität 24M'!H$48*Annahmen!$D$47+Annahmen!$B$7</f>
        <v>13875</v>
      </c>
      <c r="J14" s="21" t="n">
        <f aca="false">'Liquidität 24M'!I$39+'Liquidität 24M'!I$48*Annahmen!$D$47+Annahmen!$B$7</f>
        <v>13875</v>
      </c>
      <c r="K14" s="21" t="n">
        <f aca="false">'Liquidität 24M'!J$39+'Liquidität 24M'!J$48*Annahmen!$D$47+Annahmen!$B$7</f>
        <v>14875</v>
      </c>
      <c r="L14" s="21" t="n">
        <f aca="false">'Liquidität 24M'!K$39+'Liquidität 24M'!K$48*Annahmen!$D$47+Annahmen!$B$7</f>
        <v>14875</v>
      </c>
      <c r="M14" s="21" t="n">
        <f aca="false">'Liquidität 24M'!L$39+'Liquidität 24M'!L$48*Annahmen!$D$47+Annahmen!$B$7</f>
        <v>16875</v>
      </c>
      <c r="N14" s="21" t="n">
        <f aca="false">'Liquidität 24M'!M$39+'Liquidität 24M'!M$48*Annahmen!$D$47+Annahmen!$B$7</f>
        <v>14875</v>
      </c>
      <c r="O14" s="21" t="n">
        <f aca="false">'Liquidität 24M'!N$39+'Liquidität 24M'!N$48*Annahmen!$D$47+Annahmen!$B$7</f>
        <v>14875</v>
      </c>
      <c r="P14" s="21" t="n">
        <f aca="false">'Liquidität 24M'!O$39+'Liquidität 24M'!O$48*Annahmen!$D$47+Annahmen!$B$7</f>
        <v>14875</v>
      </c>
      <c r="Q14" s="21" t="n">
        <f aca="false">'Liquidität 24M'!P$39+'Liquidität 24M'!P$48*Annahmen!$D$47+Annahmen!$B$7</f>
        <v>14875</v>
      </c>
      <c r="R14" s="21" t="n">
        <f aca="false">'Liquidität 24M'!Q$39+'Liquidität 24M'!Q$48*Annahmen!$D$47+Annahmen!$B$7</f>
        <v>14875</v>
      </c>
      <c r="S14" s="21" t="n">
        <f aca="false">'Liquidität 24M'!R$39+'Liquidität 24M'!R$48*Annahmen!$D$47+Annahmen!$B$7</f>
        <v>14875</v>
      </c>
      <c r="T14" s="21" t="n">
        <f aca="false">'Liquidität 24M'!S$39+'Liquidität 24M'!S$48*Annahmen!$D$47+Annahmen!$B$7</f>
        <v>11750</v>
      </c>
      <c r="U14" s="21" t="n">
        <f aca="false">'Liquidität 24M'!T$39+'Liquidität 24M'!T$48*Annahmen!$D$47+Annahmen!$B$7</f>
        <v>11750</v>
      </c>
      <c r="V14" s="21" t="n">
        <f aca="false">'Liquidität 24M'!U$39+'Liquidität 24M'!U$48*Annahmen!$D$47+Annahmen!$B$7</f>
        <v>11750</v>
      </c>
      <c r="W14" s="21" t="n">
        <f aca="false">'Liquidität 24M'!V$39+'Liquidität 24M'!V$48*Annahmen!$D$47+Annahmen!$B$7</f>
        <v>31333.3333333333</v>
      </c>
      <c r="X14" s="21" t="n">
        <f aca="false">'Liquidität 24M'!W$39+'Liquidität 24M'!W$48*Annahmen!$D$47+Annahmen!$B$7</f>
        <v>31333.3333333333</v>
      </c>
      <c r="Y14" s="21" t="n">
        <f aca="false">'Liquidität 24M'!X$39+'Liquidität 24M'!X$48*Annahmen!$D$47+Annahmen!$B$7</f>
        <v>31333.3333333333</v>
      </c>
      <c r="Z14" s="21" t="n">
        <f aca="false">'Liquidität 24M'!Y$39+'Liquidität 24M'!Y$48*Annahmen!$D$47+Annahmen!$B$7</f>
        <v>31333.3333333333</v>
      </c>
      <c r="AA14" s="21" t="n">
        <f aca="false">'Liquidität 24M'!Z$39+'Liquidität 24M'!Z$48*Annahmen!$D$47+Annahmen!$B$7</f>
        <v>31333.3333333333</v>
      </c>
      <c r="AB14" s="21" t="n">
        <f aca="false">'Liquidität 24M'!AA$39+'Liquidität 24M'!AA$48*Annahmen!$D$47+Annahmen!$B$7</f>
        <v>31333.3333333333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customFormat="false" ht="15" hidden="false" customHeight="false" outlineLevel="0" collapsed="false">
      <c r="A16" s="6" t="s">
        <v>585</v>
      </c>
      <c r="B16" s="2"/>
      <c r="C16" s="2"/>
      <c r="D16" s="2"/>
      <c r="E16" s="21" t="n">
        <f aca="false">IF(E$13&lt;=12,$G$5*(E$13-0.5)/72,$I$5+$J$5*(E$13-12))+IF(E$13=12+Annahmen!$B$9,'GuV 5 Jahre'!$D$35,0)+IF(E$13=Annahmen!$B$9,'GuV 5 Jahre'!$C$35,0)</f>
        <v>351</v>
      </c>
      <c r="F16" s="21" t="n">
        <f aca="false">IF(F$13&lt;=12,$G$5*(F$13-0.5)/72,$I$5+$J$5*(F$13-12))+IF(F$13=12+Annahmen!$B$9,'GuV 5 Jahre'!$D$35,0)+IF(F$13=Annahmen!$B$9,'GuV 5 Jahre'!$C$35,0)</f>
        <v>1053</v>
      </c>
      <c r="G16" s="21" t="n">
        <f aca="false">IF(G$13&lt;=12,$G$5*(G$13-0.5)/72,$I$5+$J$5*(G$13-12))+IF(G$13=12+Annahmen!$B$9,'GuV 5 Jahre'!$D$35,0)+IF(G$13=Annahmen!$B$9,'GuV 5 Jahre'!$C$35,0)</f>
        <v>1755</v>
      </c>
      <c r="H16" s="21" t="n">
        <f aca="false">IF(H$13&lt;=12,$G$5*(H$13-0.5)/72,$I$5+$J$5*(H$13-12))+IF(H$13=12+Annahmen!$B$9,'GuV 5 Jahre'!$D$35,0)+IF(H$13=Annahmen!$B$9,'GuV 5 Jahre'!$C$35,0)</f>
        <v>2457</v>
      </c>
      <c r="I16" s="21" t="n">
        <f aca="false">IF(I$13&lt;=12,$G$5*(I$13-0.5)/72,$I$5+$J$5*(I$13-12))+IF(I$13=12+Annahmen!$B$9,'GuV 5 Jahre'!$D$35,0)+IF(I$13=Annahmen!$B$9,'GuV 5 Jahre'!$C$35,0)</f>
        <v>3159</v>
      </c>
      <c r="J16" s="21" t="n">
        <f aca="false">IF(J$13&lt;=12,$G$5*(J$13-0.5)/72,$I$5+$J$5*(J$13-12))+IF(J$13=12+Annahmen!$B$9,'GuV 5 Jahre'!$D$35,0)+IF(J$13=Annahmen!$B$9,'GuV 5 Jahre'!$C$35,0)</f>
        <v>3861</v>
      </c>
      <c r="K16" s="21" t="n">
        <f aca="false">IF(K$13&lt;=12,$G$5*(K$13-0.5)/72,$I$5+$J$5*(K$13-12))+IF(K$13=12+Annahmen!$B$9,'GuV 5 Jahre'!$D$35,0)+IF(K$13=Annahmen!$B$9,'GuV 5 Jahre'!$C$35,0)</f>
        <v>4563</v>
      </c>
      <c r="L16" s="21" t="n">
        <f aca="false">IF(L$13&lt;=12,$G$5*(L$13-0.5)/72,$I$5+$J$5*(L$13-12))+IF(L$13=12+Annahmen!$B$9,'GuV 5 Jahre'!$D$35,0)+IF(L$13=Annahmen!$B$9,'GuV 5 Jahre'!$C$35,0)</f>
        <v>5265</v>
      </c>
      <c r="M16" s="21" t="n">
        <f aca="false">IF(M$13&lt;=12,$G$5*(M$13-0.5)/72,$I$5+$J$5*(M$13-12))+IF(M$13=12+Annahmen!$B$9,'GuV 5 Jahre'!$D$35,0)+IF(M$13=Annahmen!$B$9,'GuV 5 Jahre'!$C$35,0)</f>
        <v>5967</v>
      </c>
      <c r="N16" s="21" t="n">
        <f aca="false">IF(N$13&lt;=12,$G$5*(N$13-0.5)/72,$I$5+$J$5*(N$13-12))+IF(N$13=12+Annahmen!$B$9,'GuV 5 Jahre'!$D$35,0)+IF(N$13=Annahmen!$B$9,'GuV 5 Jahre'!$C$35,0)</f>
        <v>6669</v>
      </c>
      <c r="O16" s="21" t="n">
        <f aca="false">IF(O$13&lt;=12,$G$5*(O$13-0.5)/72,$I$5+$J$5*(O$13-12))+IF(O$13=12+Annahmen!$B$9,'GuV 5 Jahre'!$D$35,0)+IF(O$13=Annahmen!$B$9,'GuV 5 Jahre'!$C$35,0)</f>
        <v>7371</v>
      </c>
      <c r="P16" s="21" t="n">
        <f aca="false">IF(P$13&lt;=12,$G$5*(P$13-0.5)/72,$I$5+$J$5*(P$13-12))+IF(P$13=12+Annahmen!$B$9,'GuV 5 Jahre'!$D$35,0)+IF(P$13=Annahmen!$B$9,'GuV 5 Jahre'!$C$35,0)</f>
        <v>8073</v>
      </c>
      <c r="Q16" s="21" t="n">
        <f aca="false">IF(Q$13&lt;=12,$G$5*(Q$13-0.5)/72,$I$5+$J$5*(Q$13-12))+IF(Q$13=12+Annahmen!$B$9,'GuV 5 Jahre'!$D$35,0)+IF(Q$13=Annahmen!$B$9,'GuV 5 Jahre'!$C$35,0)</f>
        <v>10491.7692307692</v>
      </c>
      <c r="R16" s="21" t="n">
        <f aca="false">IF(R$13&lt;=12,$G$5*(R$13-0.5)/72,$I$5+$J$5*(R$13-12))+IF(R$13=12+Annahmen!$B$9,'GuV 5 Jahre'!$D$35,0)+IF(R$13=Annahmen!$B$9,'GuV 5 Jahre'!$C$35,0)</f>
        <v>12910.5384615385</v>
      </c>
      <c r="S16" s="21" t="n">
        <f aca="false">IF(S$13&lt;=12,$G$5*(S$13-0.5)/72,$I$5+$J$5*(S$13-12))+IF(S$13=12+Annahmen!$B$9,'GuV 5 Jahre'!$D$35,0)+IF(S$13=Annahmen!$B$9,'GuV 5 Jahre'!$C$35,0)</f>
        <v>15329.3076923077</v>
      </c>
      <c r="T16" s="21" t="n">
        <f aca="false">IF(T$13&lt;=12,$G$5*(T$13-0.5)/72,$I$5+$J$5*(T$13-12))+IF(T$13=12+Annahmen!$B$9,'GuV 5 Jahre'!$D$35,0)+IF(T$13=Annahmen!$B$9,'GuV 5 Jahre'!$C$35,0)</f>
        <v>17748.0769230769</v>
      </c>
      <c r="U16" s="21" t="n">
        <f aca="false">IF(U$13&lt;=12,$G$5*(U$13-0.5)/72,$I$5+$J$5*(U$13-12))+IF(U$13=12+Annahmen!$B$9,'GuV 5 Jahre'!$D$35,0)+IF(U$13=Annahmen!$B$9,'GuV 5 Jahre'!$C$35,0)</f>
        <v>20166.8461538462</v>
      </c>
      <c r="V16" s="21" t="n">
        <f aca="false">IF(V$13&lt;=12,$G$5*(V$13-0.5)/72,$I$5+$J$5*(V$13-12))+IF(V$13=12+Annahmen!$B$9,'GuV 5 Jahre'!$D$35,0)+IF(V$13=Annahmen!$B$9,'GuV 5 Jahre'!$C$35,0)</f>
        <v>22585.6153846154</v>
      </c>
      <c r="W16" s="21" t="n">
        <f aca="false">IF(W$13&lt;=12,$G$5*(W$13-0.5)/72,$I$5+$J$5*(W$13-12))+IF(W$13=12+Annahmen!$B$9,'GuV 5 Jahre'!$D$35,0)+IF(W$13=Annahmen!$B$9,'GuV 5 Jahre'!$C$35,0)</f>
        <v>25004.3846153846</v>
      </c>
      <c r="X16" s="21" t="n">
        <f aca="false">IF(X$13&lt;=12,$G$5*(X$13-0.5)/72,$I$5+$J$5*(X$13-12))+IF(X$13=12+Annahmen!$B$9,'GuV 5 Jahre'!$D$35,0)+IF(X$13=Annahmen!$B$9,'GuV 5 Jahre'!$C$35,0)</f>
        <v>27423.1538461538</v>
      </c>
      <c r="Y16" s="21" t="n">
        <f aca="false">IF(Y$13&lt;=12,$G$5*(Y$13-0.5)/72,$I$5+$J$5*(Y$13-12))+IF(Y$13=12+Annahmen!$B$9,'GuV 5 Jahre'!$D$35,0)+IF(Y$13=Annahmen!$B$9,'GuV 5 Jahre'!$C$35,0)</f>
        <v>29841.9230769231</v>
      </c>
      <c r="Z16" s="21" t="n">
        <f aca="false">IF(Z$13&lt;=12,$G$5*(Z$13-0.5)/72,$I$5+$J$5*(Z$13-12))+IF(Z$13=12+Annahmen!$B$9,'GuV 5 Jahre'!$D$35,0)+IF(Z$13=Annahmen!$B$9,'GuV 5 Jahre'!$C$35,0)</f>
        <v>82260.6923076923</v>
      </c>
      <c r="AA16" s="21" t="n">
        <f aca="false">IF(AA$13&lt;=12,$G$5*(AA$13-0.5)/72,$I$5+$J$5*(AA$13-12))+IF(AA$13=12+Annahmen!$B$9,'GuV 5 Jahre'!$D$35,0)+IF(AA$13=Annahmen!$B$9,'GuV 5 Jahre'!$C$35,0)</f>
        <v>34679.4615384615</v>
      </c>
      <c r="AB16" s="21" t="n">
        <f aca="false">IF(AB$13&lt;=12,$G$5*(AB$13-0.5)/72,$I$5+$J$5*(AB$13-12))+IF(AB$13=12+Annahmen!$B$9,'GuV 5 Jahre'!$D$35,0)+IF(AB$13=Annahmen!$B$9,'GuV 5 Jahre'!$C$35,0)</f>
        <v>37098.2307692308</v>
      </c>
    </row>
    <row r="17" customFormat="false" ht="15" hidden="false" customHeight="false" outlineLevel="0" collapsed="false">
      <c r="A17" s="16" t="s">
        <v>586</v>
      </c>
      <c r="B17" s="2"/>
      <c r="C17" s="2"/>
      <c r="D17" s="2"/>
      <c r="E17" s="23" t="n">
        <f aca="false">Annahmen!$B$6+E16*(1-Annahmen!$B$8)-E$14</f>
        <v>237072.92</v>
      </c>
      <c r="F17" s="23" t="n">
        <f aca="false">E17+F16*(1-Annahmen!$B$8)-F$14</f>
        <v>232791.68</v>
      </c>
      <c r="G17" s="23" t="n">
        <f aca="false">F17+G16*(1-Annahmen!$B$8)-G$14</f>
        <v>223656.28</v>
      </c>
      <c r="H17" s="23" t="n">
        <f aca="false">G17+H16*(1-Annahmen!$B$8)-H$14</f>
        <v>212041.72</v>
      </c>
      <c r="I17" s="23" t="n">
        <f aca="false">H17+I16*(1-Annahmen!$B$8)-I$14</f>
        <v>201073</v>
      </c>
      <c r="J17" s="23" t="n">
        <f aca="false">I17+J16*(1-Annahmen!$B$8)-J$14</f>
        <v>190750.12</v>
      </c>
      <c r="K17" s="23" t="n">
        <f aca="false">J17+K16*(1-Annahmen!$B$8)-K$14</f>
        <v>180073.08</v>
      </c>
      <c r="L17" s="23" t="n">
        <f aca="false">K17+L16*(1-Annahmen!$B$8)-L$14</f>
        <v>170041.88</v>
      </c>
      <c r="M17" s="23" t="n">
        <f aca="false">L17+M16*(1-Annahmen!$B$8)-M$14</f>
        <v>158656.52</v>
      </c>
      <c r="N17" s="23" t="n">
        <f aca="false">M17+N16*(1-Annahmen!$B$8)-N$14</f>
        <v>149917</v>
      </c>
      <c r="O17" s="23" t="n">
        <f aca="false">N17+O16*(1-Annahmen!$B$8)-O$14</f>
        <v>141823.32</v>
      </c>
      <c r="P17" s="23" t="n">
        <f aca="false">O17+P16*(1-Annahmen!$B$8)-P$14</f>
        <v>134375.48</v>
      </c>
      <c r="Q17" s="23" t="n">
        <f aca="false">P17+Q16*(1-Annahmen!$B$8)-Q$14</f>
        <v>129152.907692308</v>
      </c>
      <c r="R17" s="23" t="n">
        <f aca="false">Q17+R16*(1-Annahmen!$B$8)-R$14</f>
        <v>126155.603076923</v>
      </c>
      <c r="S17" s="23" t="n">
        <f aca="false">R17+S16*(1-Annahmen!$B$8)-S$14</f>
        <v>125383.566153846</v>
      </c>
      <c r="T17" s="23" t="n">
        <f aca="false">S17+T16*(1-Annahmen!$B$8)-T$14</f>
        <v>129961.796923077</v>
      </c>
      <c r="U17" s="23" t="n">
        <f aca="false">T17+U16*(1-Annahmen!$B$8)-U$14</f>
        <v>136765.295384615</v>
      </c>
      <c r="V17" s="23" t="n">
        <f aca="false">U17+V16*(1-Annahmen!$B$8)-V$14</f>
        <v>145794.061538462</v>
      </c>
      <c r="W17" s="23" t="n">
        <f aca="false">V17+W16*(1-Annahmen!$B$8)-W$14</f>
        <v>137464.762051282</v>
      </c>
      <c r="X17" s="23" t="n">
        <f aca="false">W17+X16*(1-Annahmen!$B$8)-X$14</f>
        <v>131360.73025641</v>
      </c>
      <c r="Y17" s="23" t="n">
        <f aca="false">X17+Y16*(1-Annahmen!$B$8)-Y$14</f>
        <v>127481.966153846</v>
      </c>
      <c r="Z17" s="23" t="n">
        <f aca="false">Y17+Z16*(1-Annahmen!$B$8)-Z$14</f>
        <v>171828.46974359</v>
      </c>
      <c r="AA17" s="23" t="n">
        <f aca="false">Z17+AA16*(1-Annahmen!$B$8)-AA$14</f>
        <v>172400.241025641</v>
      </c>
      <c r="AB17" s="23" t="n">
        <f aca="false">AA17+AB16*(1-Annahmen!$B$8)-AB$14</f>
        <v>175197.28</v>
      </c>
    </row>
    <row r="18" customFormat="false" ht="15" hidden="false" customHeight="false" outlineLevel="0" collapsed="false">
      <c r="A18" s="26" t="s">
        <v>587</v>
      </c>
      <c r="B18" s="2"/>
      <c r="C18" s="2"/>
      <c r="D18" s="2"/>
      <c r="E18" s="37" t="n">
        <f aca="false">IF(E17&lt;0,1,0)</f>
        <v>0</v>
      </c>
      <c r="F18" s="37" t="n">
        <f aca="false">IF(F17&lt;0,1,0)</f>
        <v>0</v>
      </c>
      <c r="G18" s="37" t="n">
        <f aca="false">IF(G17&lt;0,1,0)</f>
        <v>0</v>
      </c>
      <c r="H18" s="37" t="n">
        <f aca="false">IF(H17&lt;0,1,0)</f>
        <v>0</v>
      </c>
      <c r="I18" s="37" t="n">
        <f aca="false">IF(I17&lt;0,1,0)</f>
        <v>0</v>
      </c>
      <c r="J18" s="37" t="n">
        <f aca="false">IF(J17&lt;0,1,0)</f>
        <v>0</v>
      </c>
      <c r="K18" s="37" t="n">
        <f aca="false">IF(K17&lt;0,1,0)</f>
        <v>0</v>
      </c>
      <c r="L18" s="37" t="n">
        <f aca="false">IF(L17&lt;0,1,0)</f>
        <v>0</v>
      </c>
      <c r="M18" s="37" t="n">
        <f aca="false">IF(M17&lt;0,1,0)</f>
        <v>0</v>
      </c>
      <c r="N18" s="37" t="n">
        <f aca="false">IF(N17&lt;0,1,0)</f>
        <v>0</v>
      </c>
      <c r="O18" s="37" t="n">
        <f aca="false">IF(O17&lt;0,1,0)</f>
        <v>0</v>
      </c>
      <c r="P18" s="37" t="n">
        <f aca="false">IF(P17&lt;0,1,0)</f>
        <v>0</v>
      </c>
      <c r="Q18" s="37" t="n">
        <f aca="false">IF(Q17&lt;0,1,0)</f>
        <v>0</v>
      </c>
      <c r="R18" s="37" t="n">
        <f aca="false">IF(R17&lt;0,1,0)</f>
        <v>0</v>
      </c>
      <c r="S18" s="37" t="n">
        <f aca="false">IF(S17&lt;0,1,0)</f>
        <v>0</v>
      </c>
      <c r="T18" s="37" t="n">
        <f aca="false">IF(T17&lt;0,1,0)</f>
        <v>0</v>
      </c>
      <c r="U18" s="37" t="n">
        <f aca="false">IF(U17&lt;0,1,0)</f>
        <v>0</v>
      </c>
      <c r="V18" s="37" t="n">
        <f aca="false">IF(V17&lt;0,1,0)</f>
        <v>0</v>
      </c>
      <c r="W18" s="37" t="n">
        <f aca="false">IF(W17&lt;0,1,0)</f>
        <v>0</v>
      </c>
      <c r="X18" s="37" t="n">
        <f aca="false">IF(X17&lt;0,1,0)</f>
        <v>0</v>
      </c>
      <c r="Y18" s="37" t="n">
        <f aca="false">IF(Y17&lt;0,1,0)</f>
        <v>0</v>
      </c>
      <c r="Z18" s="37" t="n">
        <f aca="false">IF(Z17&lt;0,1,0)</f>
        <v>0</v>
      </c>
      <c r="AA18" s="37" t="n">
        <f aca="false">IF(AA17&lt;0,1,0)</f>
        <v>0</v>
      </c>
      <c r="AB18" s="37" t="n">
        <f aca="false">IF(AB17&lt;0,1,0)</f>
        <v>0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customFormat="false" ht="15" hidden="false" customHeight="false" outlineLevel="0" collapsed="false">
      <c r="A20" s="6" t="s">
        <v>588</v>
      </c>
      <c r="B20" s="2"/>
      <c r="C20" s="2"/>
      <c r="D20" s="2"/>
      <c r="E20" s="21" t="n">
        <f aca="false">IF(E$13&lt;=12,$G$6*(E$13-0.5)/72,$I$6+$J$6*(E$13-12))+IF(E$13=12+Annahmen!$B$9,'GuV 5 Jahre'!$D$35,0)+IF(E$13=Annahmen!$B$9,'GuV 5 Jahre'!$C$35,0)</f>
        <v>280.166666666667</v>
      </c>
      <c r="F20" s="21" t="n">
        <f aca="false">IF(F$13&lt;=12,$G$6*(F$13-0.5)/72,$I$6+$J$6*(F$13-12))+IF(F$13=12+Annahmen!$B$9,'GuV 5 Jahre'!$D$35,0)+IF(F$13=Annahmen!$B$9,'GuV 5 Jahre'!$C$35,0)</f>
        <v>840.5</v>
      </c>
      <c r="G20" s="21" t="n">
        <f aca="false">IF(G$13&lt;=12,$G$6*(G$13-0.5)/72,$I$6+$J$6*(G$13-12))+IF(G$13=12+Annahmen!$B$9,'GuV 5 Jahre'!$D$35,0)+IF(G$13=Annahmen!$B$9,'GuV 5 Jahre'!$C$35,0)</f>
        <v>1400.83333333333</v>
      </c>
      <c r="H20" s="21" t="n">
        <f aca="false">IF(H$13&lt;=12,$G$6*(H$13-0.5)/72,$I$6+$J$6*(H$13-12))+IF(H$13=12+Annahmen!$B$9,'GuV 5 Jahre'!$D$35,0)+IF(H$13=Annahmen!$B$9,'GuV 5 Jahre'!$C$35,0)</f>
        <v>1961.16666666667</v>
      </c>
      <c r="I20" s="21" t="n">
        <f aca="false">IF(I$13&lt;=12,$G$6*(I$13-0.5)/72,$I$6+$J$6*(I$13-12))+IF(I$13=12+Annahmen!$B$9,'GuV 5 Jahre'!$D$35,0)+IF(I$13=Annahmen!$B$9,'GuV 5 Jahre'!$C$35,0)</f>
        <v>2521.5</v>
      </c>
      <c r="J20" s="21" t="n">
        <f aca="false">IF(J$13&lt;=12,$G$6*(J$13-0.5)/72,$I$6+$J$6*(J$13-12))+IF(J$13=12+Annahmen!$B$9,'GuV 5 Jahre'!$D$35,0)+IF(J$13=Annahmen!$B$9,'GuV 5 Jahre'!$C$35,0)</f>
        <v>3081.83333333333</v>
      </c>
      <c r="K20" s="21" t="n">
        <f aca="false">IF(K$13&lt;=12,$G$6*(K$13-0.5)/72,$I$6+$J$6*(K$13-12))+IF(K$13=12+Annahmen!$B$9,'GuV 5 Jahre'!$D$35,0)+IF(K$13=Annahmen!$B$9,'GuV 5 Jahre'!$C$35,0)</f>
        <v>3642.16666666667</v>
      </c>
      <c r="L20" s="21" t="n">
        <f aca="false">IF(L$13&lt;=12,$G$6*(L$13-0.5)/72,$I$6+$J$6*(L$13-12))+IF(L$13=12+Annahmen!$B$9,'GuV 5 Jahre'!$D$35,0)+IF(L$13=Annahmen!$B$9,'GuV 5 Jahre'!$C$35,0)</f>
        <v>4202.5</v>
      </c>
      <c r="M20" s="21" t="n">
        <f aca="false">IF(M$13&lt;=12,$G$6*(M$13-0.5)/72,$I$6+$J$6*(M$13-12))+IF(M$13=12+Annahmen!$B$9,'GuV 5 Jahre'!$D$35,0)+IF(M$13=Annahmen!$B$9,'GuV 5 Jahre'!$C$35,0)</f>
        <v>4762.83333333333</v>
      </c>
      <c r="N20" s="21" t="n">
        <f aca="false">IF(N$13&lt;=12,$G$6*(N$13-0.5)/72,$I$6+$J$6*(N$13-12))+IF(N$13=12+Annahmen!$B$9,'GuV 5 Jahre'!$D$35,0)+IF(N$13=Annahmen!$B$9,'GuV 5 Jahre'!$C$35,0)</f>
        <v>5323.16666666667</v>
      </c>
      <c r="O20" s="21" t="n">
        <f aca="false">IF(O$13&lt;=12,$G$6*(O$13-0.5)/72,$I$6+$J$6*(O$13-12))+IF(O$13=12+Annahmen!$B$9,'GuV 5 Jahre'!$D$35,0)+IF(O$13=Annahmen!$B$9,'GuV 5 Jahre'!$C$35,0)</f>
        <v>5883.5</v>
      </c>
      <c r="P20" s="21" t="n">
        <f aca="false">IF(P$13&lt;=12,$G$6*(P$13-0.5)/72,$I$6+$J$6*(P$13-12))+IF(P$13=12+Annahmen!$B$9,'GuV 5 Jahre'!$D$35,0)+IF(P$13=Annahmen!$B$9,'GuV 5 Jahre'!$C$35,0)</f>
        <v>6443.83333333333</v>
      </c>
      <c r="Q20" s="21" t="n">
        <f aca="false">IF(Q$13&lt;=12,$G$6*(Q$13-0.5)/72,$I$6+$J$6*(Q$13-12))+IF(Q$13=12+Annahmen!$B$9,'GuV 5 Jahre'!$D$35,0)+IF(Q$13=Annahmen!$B$9,'GuV 5 Jahre'!$C$35,0)</f>
        <v>8328.62820512821</v>
      </c>
      <c r="R20" s="21" t="n">
        <f aca="false">IF(R$13&lt;=12,$G$6*(R$13-0.5)/72,$I$6+$J$6*(R$13-12))+IF(R$13=12+Annahmen!$B$9,'GuV 5 Jahre'!$D$35,0)+IF(R$13=Annahmen!$B$9,'GuV 5 Jahre'!$C$35,0)</f>
        <v>10213.4230769231</v>
      </c>
      <c r="S20" s="21" t="n">
        <f aca="false">IF(S$13&lt;=12,$G$6*(S$13-0.5)/72,$I$6+$J$6*(S$13-12))+IF(S$13=12+Annahmen!$B$9,'GuV 5 Jahre'!$D$35,0)+IF(S$13=Annahmen!$B$9,'GuV 5 Jahre'!$C$35,0)</f>
        <v>12098.217948718</v>
      </c>
      <c r="T20" s="21" t="n">
        <f aca="false">IF(T$13&lt;=12,$G$6*(T$13-0.5)/72,$I$6+$J$6*(T$13-12))+IF(T$13=12+Annahmen!$B$9,'GuV 5 Jahre'!$D$35,0)+IF(T$13=Annahmen!$B$9,'GuV 5 Jahre'!$C$35,0)</f>
        <v>13983.0128205128</v>
      </c>
      <c r="U20" s="21" t="n">
        <f aca="false">IF(U$13&lt;=12,$G$6*(U$13-0.5)/72,$I$6+$J$6*(U$13-12))+IF(U$13=12+Annahmen!$B$9,'GuV 5 Jahre'!$D$35,0)+IF(U$13=Annahmen!$B$9,'GuV 5 Jahre'!$C$35,0)</f>
        <v>15867.8076923077</v>
      </c>
      <c r="V20" s="21" t="n">
        <f aca="false">IF(V$13&lt;=12,$G$6*(V$13-0.5)/72,$I$6+$J$6*(V$13-12))+IF(V$13=12+Annahmen!$B$9,'GuV 5 Jahre'!$D$35,0)+IF(V$13=Annahmen!$B$9,'GuV 5 Jahre'!$C$35,0)</f>
        <v>17752.6025641026</v>
      </c>
      <c r="W20" s="21" t="n">
        <f aca="false">IF(W$13&lt;=12,$G$6*(W$13-0.5)/72,$I$6+$J$6*(W$13-12))+IF(W$13=12+Annahmen!$B$9,'GuV 5 Jahre'!$D$35,0)+IF(W$13=Annahmen!$B$9,'GuV 5 Jahre'!$C$35,0)</f>
        <v>19637.3974358974</v>
      </c>
      <c r="X20" s="21" t="n">
        <f aca="false">IF(X$13&lt;=12,$G$6*(X$13-0.5)/72,$I$6+$J$6*(X$13-12))+IF(X$13=12+Annahmen!$B$9,'GuV 5 Jahre'!$D$35,0)+IF(X$13=Annahmen!$B$9,'GuV 5 Jahre'!$C$35,0)</f>
        <v>21522.1923076923</v>
      </c>
      <c r="Y20" s="21" t="n">
        <f aca="false">IF(Y$13&lt;=12,$G$6*(Y$13-0.5)/72,$I$6+$J$6*(Y$13-12))+IF(Y$13=12+Annahmen!$B$9,'GuV 5 Jahre'!$D$35,0)+IF(Y$13=Annahmen!$B$9,'GuV 5 Jahre'!$C$35,0)</f>
        <v>23406.9871794872</v>
      </c>
      <c r="Z20" s="21" t="n">
        <f aca="false">IF(Z$13&lt;=12,$G$6*(Z$13-0.5)/72,$I$6+$J$6*(Z$13-12))+IF(Z$13=12+Annahmen!$B$9,'GuV 5 Jahre'!$D$35,0)+IF(Z$13=Annahmen!$B$9,'GuV 5 Jahre'!$C$35,0)</f>
        <v>75291.7820512821</v>
      </c>
      <c r="AA20" s="21" t="n">
        <f aca="false">IF(AA$13&lt;=12,$G$6*(AA$13-0.5)/72,$I$6+$J$6*(AA$13-12))+IF(AA$13=12+Annahmen!$B$9,'GuV 5 Jahre'!$D$35,0)+IF(AA$13=Annahmen!$B$9,'GuV 5 Jahre'!$C$35,0)</f>
        <v>27176.5769230769</v>
      </c>
      <c r="AB20" s="21" t="n">
        <f aca="false">IF(AB$13&lt;=12,$G$6*(AB$13-0.5)/72,$I$6+$J$6*(AB$13-12))+IF(AB$13=12+Annahmen!$B$9,'GuV 5 Jahre'!$D$35,0)+IF(AB$13=Annahmen!$B$9,'GuV 5 Jahre'!$C$35,0)</f>
        <v>29061.3717948718</v>
      </c>
    </row>
    <row r="21" customFormat="false" ht="15" hidden="false" customHeight="false" outlineLevel="0" collapsed="false">
      <c r="A21" s="16" t="s">
        <v>589</v>
      </c>
      <c r="B21" s="2"/>
      <c r="C21" s="2"/>
      <c r="D21" s="2"/>
      <c r="E21" s="23" t="n">
        <f aca="false">Annahmen!$B$6+E20*(1-Annahmen!$B$8)-E$14</f>
        <v>237007.753333333</v>
      </c>
      <c r="F21" s="23" t="n">
        <f aca="false">E21+F20*(1-Annahmen!$B$8)-F$14</f>
        <v>232531.013333333</v>
      </c>
      <c r="G21" s="23" t="n">
        <f aca="false">F21+G20*(1-Annahmen!$B$8)-G$14</f>
        <v>223069.78</v>
      </c>
      <c r="H21" s="23" t="n">
        <f aca="false">G21+H20*(1-Annahmen!$B$8)-H$14</f>
        <v>210999.053333333</v>
      </c>
      <c r="I21" s="23" t="n">
        <f aca="false">H21+I20*(1-Annahmen!$B$8)-I$14</f>
        <v>199443.833333333</v>
      </c>
      <c r="J21" s="23" t="n">
        <f aca="false">I21+J20*(1-Annahmen!$B$8)-J$14</f>
        <v>188404.12</v>
      </c>
      <c r="K21" s="23" t="n">
        <f aca="false">J21+K20*(1-Annahmen!$B$8)-K$14</f>
        <v>176879.913333333</v>
      </c>
      <c r="L21" s="23" t="n">
        <f aca="false">K21+L20*(1-Annahmen!$B$8)-L$14</f>
        <v>165871.213333333</v>
      </c>
      <c r="M21" s="23" t="n">
        <f aca="false">L21+M20*(1-Annahmen!$B$8)-M$14</f>
        <v>153378.02</v>
      </c>
      <c r="N21" s="23" t="n">
        <f aca="false">M21+N20*(1-Annahmen!$B$8)-N$14</f>
        <v>143400.333333333</v>
      </c>
      <c r="O21" s="23" t="n">
        <f aca="false">N21+O20*(1-Annahmen!$B$8)-O$14</f>
        <v>133938.153333333</v>
      </c>
      <c r="P21" s="23" t="n">
        <f aca="false">O21+P20*(1-Annahmen!$B$8)-P$14</f>
        <v>124991.48</v>
      </c>
      <c r="Q21" s="23" t="n">
        <f aca="false">P21+Q20*(1-Annahmen!$B$8)-Q$14</f>
        <v>117778.817948718</v>
      </c>
      <c r="R21" s="23" t="n">
        <f aca="false">Q21+R20*(1-Annahmen!$B$8)-R$14</f>
        <v>112300.167179487</v>
      </c>
      <c r="S21" s="23" t="n">
        <f aca="false">R21+S20*(1-Annahmen!$B$8)-S$14</f>
        <v>108555.527692308</v>
      </c>
      <c r="T21" s="23" t="n">
        <f aca="false">S21+T20*(1-Annahmen!$B$8)-T$14</f>
        <v>109669.899487179</v>
      </c>
      <c r="U21" s="23" t="n">
        <f aca="false">T21+U20*(1-Annahmen!$B$8)-U$14</f>
        <v>112518.282564103</v>
      </c>
      <c r="V21" s="23" t="n">
        <f aca="false">U21+V20*(1-Annahmen!$B$8)-V$14</f>
        <v>117100.676923077</v>
      </c>
      <c r="W21" s="23" t="n">
        <f aca="false">V21+W20*(1-Annahmen!$B$8)-W$14</f>
        <v>103833.749230769</v>
      </c>
      <c r="X21" s="23" t="n">
        <f aca="false">W21+X20*(1-Annahmen!$B$8)-X$14</f>
        <v>92300.8328205128</v>
      </c>
      <c r="Y21" s="23" t="n">
        <f aca="false">X21+Y20*(1-Annahmen!$B$8)-Y$14</f>
        <v>82501.9276923077</v>
      </c>
      <c r="Z21" s="23" t="n">
        <f aca="false">Y21+Z20*(1-Annahmen!$B$8)-Z$14</f>
        <v>120437.033846154</v>
      </c>
      <c r="AA21" s="23" t="n">
        <f aca="false">Z21+AA20*(1-Annahmen!$B$8)-AA$14</f>
        <v>114106.151282051</v>
      </c>
      <c r="AB21" s="23" t="n">
        <f aca="false">AA21+AB20*(1-Annahmen!$B$8)-AB$14</f>
        <v>109509.28</v>
      </c>
    </row>
    <row r="22" customFormat="false" ht="15" hidden="false" customHeight="false" outlineLevel="0" collapsed="false">
      <c r="A22" s="26" t="s">
        <v>590</v>
      </c>
      <c r="B22" s="2"/>
      <c r="C22" s="2"/>
      <c r="D22" s="2"/>
      <c r="E22" s="37" t="n">
        <f aca="false">IF(E21&lt;0,1,0)</f>
        <v>0</v>
      </c>
      <c r="F22" s="37" t="n">
        <f aca="false">IF(F21&lt;0,1,0)</f>
        <v>0</v>
      </c>
      <c r="G22" s="37" t="n">
        <f aca="false">IF(G21&lt;0,1,0)</f>
        <v>0</v>
      </c>
      <c r="H22" s="37" t="n">
        <f aca="false">IF(H21&lt;0,1,0)</f>
        <v>0</v>
      </c>
      <c r="I22" s="37" t="n">
        <f aca="false">IF(I21&lt;0,1,0)</f>
        <v>0</v>
      </c>
      <c r="J22" s="37" t="n">
        <f aca="false">IF(J21&lt;0,1,0)</f>
        <v>0</v>
      </c>
      <c r="K22" s="37" t="n">
        <f aca="false">IF(K21&lt;0,1,0)</f>
        <v>0</v>
      </c>
      <c r="L22" s="37" t="n">
        <f aca="false">IF(L21&lt;0,1,0)</f>
        <v>0</v>
      </c>
      <c r="M22" s="37" t="n">
        <f aca="false">IF(M21&lt;0,1,0)</f>
        <v>0</v>
      </c>
      <c r="N22" s="37" t="n">
        <f aca="false">IF(N21&lt;0,1,0)</f>
        <v>0</v>
      </c>
      <c r="O22" s="37" t="n">
        <f aca="false">IF(O21&lt;0,1,0)</f>
        <v>0</v>
      </c>
      <c r="P22" s="37" t="n">
        <f aca="false">IF(P21&lt;0,1,0)</f>
        <v>0</v>
      </c>
      <c r="Q22" s="37" t="n">
        <f aca="false">IF(Q21&lt;0,1,0)</f>
        <v>0</v>
      </c>
      <c r="R22" s="37" t="n">
        <f aca="false">IF(R21&lt;0,1,0)</f>
        <v>0</v>
      </c>
      <c r="S22" s="37" t="n">
        <f aca="false">IF(S21&lt;0,1,0)</f>
        <v>0</v>
      </c>
      <c r="T22" s="37" t="n">
        <f aca="false">IF(T21&lt;0,1,0)</f>
        <v>0</v>
      </c>
      <c r="U22" s="37" t="n">
        <f aca="false">IF(U21&lt;0,1,0)</f>
        <v>0</v>
      </c>
      <c r="V22" s="37" t="n">
        <f aca="false">IF(V21&lt;0,1,0)</f>
        <v>0</v>
      </c>
      <c r="W22" s="37" t="n">
        <f aca="false">IF(W21&lt;0,1,0)</f>
        <v>0</v>
      </c>
      <c r="X22" s="37" t="n">
        <f aca="false">IF(X21&lt;0,1,0)</f>
        <v>0</v>
      </c>
      <c r="Y22" s="37" t="n">
        <f aca="false">IF(Y21&lt;0,1,0)</f>
        <v>0</v>
      </c>
      <c r="Z22" s="37" t="n">
        <f aca="false">IF(Z21&lt;0,1,0)</f>
        <v>0</v>
      </c>
      <c r="AA22" s="37" t="n">
        <f aca="false">IF(AA21&lt;0,1,0)</f>
        <v>0</v>
      </c>
      <c r="AB22" s="37" t="n">
        <f aca="false">IF(AB21&lt;0,1,0)</f>
        <v>0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customFormat="false" ht="15" hidden="false" customHeight="false" outlineLevel="0" collapsed="false">
      <c r="A24" s="6" t="s">
        <v>591</v>
      </c>
      <c r="B24" s="2"/>
      <c r="C24" s="2"/>
      <c r="D24" s="2"/>
      <c r="E24" s="21" t="n">
        <f aca="false">IF(E$13&lt;=12,$G$7*(E$13-0.5)/72,$I$7+$J$7*(E$13-12))+IF(E$13=12+Annahmen!$B$9,'GuV 5 Jahre'!$D$35,0)+IF(E$13=Annahmen!$B$9,'GuV 5 Jahre'!$C$35,0)</f>
        <v>421.833333333333</v>
      </c>
      <c r="F24" s="21" t="n">
        <f aca="false">IF(F$13&lt;=12,$G$7*(F$13-0.5)/72,$I$7+$J$7*(F$13-12))+IF(F$13=12+Annahmen!$B$9,'GuV 5 Jahre'!$D$35,0)+IF(F$13=Annahmen!$B$9,'GuV 5 Jahre'!$C$35,0)</f>
        <v>1265.5</v>
      </c>
      <c r="G24" s="21" t="n">
        <f aca="false">IF(G$13&lt;=12,$G$7*(G$13-0.5)/72,$I$7+$J$7*(G$13-12))+IF(G$13=12+Annahmen!$B$9,'GuV 5 Jahre'!$D$35,0)+IF(G$13=Annahmen!$B$9,'GuV 5 Jahre'!$C$35,0)</f>
        <v>2109.16666666667</v>
      </c>
      <c r="H24" s="21" t="n">
        <f aca="false">IF(H$13&lt;=12,$G$7*(H$13-0.5)/72,$I$7+$J$7*(H$13-12))+IF(H$13=12+Annahmen!$B$9,'GuV 5 Jahre'!$D$35,0)+IF(H$13=Annahmen!$B$9,'GuV 5 Jahre'!$C$35,0)</f>
        <v>2952.83333333333</v>
      </c>
      <c r="I24" s="21" t="n">
        <f aca="false">IF(I$13&lt;=12,$G$7*(I$13-0.5)/72,$I$7+$J$7*(I$13-12))+IF(I$13=12+Annahmen!$B$9,'GuV 5 Jahre'!$D$35,0)+IF(I$13=Annahmen!$B$9,'GuV 5 Jahre'!$C$35,0)</f>
        <v>3796.5</v>
      </c>
      <c r="J24" s="21" t="n">
        <f aca="false">IF(J$13&lt;=12,$G$7*(J$13-0.5)/72,$I$7+$J$7*(J$13-12))+IF(J$13=12+Annahmen!$B$9,'GuV 5 Jahre'!$D$35,0)+IF(J$13=Annahmen!$B$9,'GuV 5 Jahre'!$C$35,0)</f>
        <v>4640.16666666667</v>
      </c>
      <c r="K24" s="21" t="n">
        <f aca="false">IF(K$13&lt;=12,$G$7*(K$13-0.5)/72,$I$7+$J$7*(K$13-12))+IF(K$13=12+Annahmen!$B$9,'GuV 5 Jahre'!$D$35,0)+IF(K$13=Annahmen!$B$9,'GuV 5 Jahre'!$C$35,0)</f>
        <v>5483.83333333333</v>
      </c>
      <c r="L24" s="21" t="n">
        <f aca="false">IF(L$13&lt;=12,$G$7*(L$13-0.5)/72,$I$7+$J$7*(L$13-12))+IF(L$13=12+Annahmen!$B$9,'GuV 5 Jahre'!$D$35,0)+IF(L$13=Annahmen!$B$9,'GuV 5 Jahre'!$C$35,0)</f>
        <v>6327.5</v>
      </c>
      <c r="M24" s="21" t="n">
        <f aca="false">IF(M$13&lt;=12,$G$7*(M$13-0.5)/72,$I$7+$J$7*(M$13-12))+IF(M$13=12+Annahmen!$B$9,'GuV 5 Jahre'!$D$35,0)+IF(M$13=Annahmen!$B$9,'GuV 5 Jahre'!$C$35,0)</f>
        <v>7171.16666666667</v>
      </c>
      <c r="N24" s="21" t="n">
        <f aca="false">IF(N$13&lt;=12,$G$7*(N$13-0.5)/72,$I$7+$J$7*(N$13-12))+IF(N$13=12+Annahmen!$B$9,'GuV 5 Jahre'!$D$35,0)+IF(N$13=Annahmen!$B$9,'GuV 5 Jahre'!$C$35,0)</f>
        <v>8014.83333333333</v>
      </c>
      <c r="O24" s="21" t="n">
        <f aca="false">IF(O$13&lt;=12,$G$7*(O$13-0.5)/72,$I$7+$J$7*(O$13-12))+IF(O$13=12+Annahmen!$B$9,'GuV 5 Jahre'!$D$35,0)+IF(O$13=Annahmen!$B$9,'GuV 5 Jahre'!$C$35,0)</f>
        <v>8858.5</v>
      </c>
      <c r="P24" s="21" t="n">
        <f aca="false">IF(P$13&lt;=12,$G$7*(P$13-0.5)/72,$I$7+$J$7*(P$13-12))+IF(P$13=12+Annahmen!$B$9,'GuV 5 Jahre'!$D$35,0)+IF(P$13=Annahmen!$B$9,'GuV 5 Jahre'!$C$35,0)</f>
        <v>9702.16666666667</v>
      </c>
      <c r="Q24" s="21" t="n">
        <f aca="false">IF(Q$13&lt;=12,$G$7*(Q$13-0.5)/72,$I$7+$J$7*(Q$13-12))+IF(Q$13=12+Annahmen!$B$9,'GuV 5 Jahre'!$D$35,0)+IF(Q$13=Annahmen!$B$9,'GuV 5 Jahre'!$C$35,0)</f>
        <v>12654.9102564103</v>
      </c>
      <c r="R24" s="21" t="n">
        <f aca="false">IF(R$13&lt;=12,$G$7*(R$13-0.5)/72,$I$7+$J$7*(R$13-12))+IF(R$13=12+Annahmen!$B$9,'GuV 5 Jahre'!$D$35,0)+IF(R$13=Annahmen!$B$9,'GuV 5 Jahre'!$C$35,0)</f>
        <v>15607.6538461538</v>
      </c>
      <c r="S24" s="21" t="n">
        <f aca="false">IF(S$13&lt;=12,$G$7*(S$13-0.5)/72,$I$7+$J$7*(S$13-12))+IF(S$13=12+Annahmen!$B$9,'GuV 5 Jahre'!$D$35,0)+IF(S$13=Annahmen!$B$9,'GuV 5 Jahre'!$C$35,0)</f>
        <v>18560.3974358974</v>
      </c>
      <c r="T24" s="21" t="n">
        <f aca="false">IF(T$13&lt;=12,$G$7*(T$13-0.5)/72,$I$7+$J$7*(T$13-12))+IF(T$13=12+Annahmen!$B$9,'GuV 5 Jahre'!$D$35,0)+IF(T$13=Annahmen!$B$9,'GuV 5 Jahre'!$C$35,0)</f>
        <v>21513.141025641</v>
      </c>
      <c r="U24" s="21" t="n">
        <f aca="false">IF(U$13&lt;=12,$G$7*(U$13-0.5)/72,$I$7+$J$7*(U$13-12))+IF(U$13=12+Annahmen!$B$9,'GuV 5 Jahre'!$D$35,0)+IF(U$13=Annahmen!$B$9,'GuV 5 Jahre'!$C$35,0)</f>
        <v>24465.8846153846</v>
      </c>
      <c r="V24" s="21" t="n">
        <f aca="false">IF(V$13&lt;=12,$G$7*(V$13-0.5)/72,$I$7+$J$7*(V$13-12))+IF(V$13=12+Annahmen!$B$9,'GuV 5 Jahre'!$D$35,0)+IF(V$13=Annahmen!$B$9,'GuV 5 Jahre'!$C$35,0)</f>
        <v>27418.6282051282</v>
      </c>
      <c r="W24" s="21" t="n">
        <f aca="false">IF(W$13&lt;=12,$G$7*(W$13-0.5)/72,$I$7+$J$7*(W$13-12))+IF(W$13=12+Annahmen!$B$9,'GuV 5 Jahre'!$D$35,0)+IF(W$13=Annahmen!$B$9,'GuV 5 Jahre'!$C$35,0)</f>
        <v>30371.3717948718</v>
      </c>
      <c r="X24" s="21" t="n">
        <f aca="false">IF(X$13&lt;=12,$G$7*(X$13-0.5)/72,$I$7+$J$7*(X$13-12))+IF(X$13=12+Annahmen!$B$9,'GuV 5 Jahre'!$D$35,0)+IF(X$13=Annahmen!$B$9,'GuV 5 Jahre'!$C$35,0)</f>
        <v>33324.1153846154</v>
      </c>
      <c r="Y24" s="21" t="n">
        <f aca="false">IF(Y$13&lt;=12,$G$7*(Y$13-0.5)/72,$I$7+$J$7*(Y$13-12))+IF(Y$13=12+Annahmen!$B$9,'GuV 5 Jahre'!$D$35,0)+IF(Y$13=Annahmen!$B$9,'GuV 5 Jahre'!$C$35,0)</f>
        <v>36276.858974359</v>
      </c>
      <c r="Z24" s="21" t="n">
        <f aca="false">IF(Z$13&lt;=12,$G$7*(Z$13-0.5)/72,$I$7+$J$7*(Z$13-12))+IF(Z$13=12+Annahmen!$B$9,'GuV 5 Jahre'!$D$35,0)+IF(Z$13=Annahmen!$B$9,'GuV 5 Jahre'!$C$35,0)</f>
        <v>89229.6025641026</v>
      </c>
      <c r="AA24" s="21" t="n">
        <f aca="false">IF(AA$13&lt;=12,$G$7*(AA$13-0.5)/72,$I$7+$J$7*(AA$13-12))+IF(AA$13=12+Annahmen!$B$9,'GuV 5 Jahre'!$D$35,0)+IF(AA$13=Annahmen!$B$9,'GuV 5 Jahre'!$C$35,0)</f>
        <v>42182.3461538462</v>
      </c>
      <c r="AB24" s="21" t="n">
        <f aca="false">IF(AB$13&lt;=12,$G$7*(AB$13-0.5)/72,$I$7+$J$7*(AB$13-12))+IF(AB$13=12+Annahmen!$B$9,'GuV 5 Jahre'!$D$35,0)+IF(AB$13=Annahmen!$B$9,'GuV 5 Jahre'!$C$35,0)</f>
        <v>45135.0897435897</v>
      </c>
    </row>
    <row r="25" customFormat="false" ht="15" hidden="false" customHeight="false" outlineLevel="0" collapsed="false">
      <c r="A25" s="16" t="s">
        <v>592</v>
      </c>
      <c r="B25" s="2"/>
      <c r="C25" s="2"/>
      <c r="D25" s="2"/>
      <c r="E25" s="23" t="n">
        <f aca="false">Annahmen!$B$6+E24*(1-Annahmen!$B$8)-E$14</f>
        <v>237138.086666667</v>
      </c>
      <c r="F25" s="23" t="n">
        <f aca="false">E25+F24*(1-Annahmen!$B$8)-F$14</f>
        <v>233052.346666667</v>
      </c>
      <c r="G25" s="23" t="n">
        <f aca="false">F25+G24*(1-Annahmen!$B$8)-G$14</f>
        <v>224242.78</v>
      </c>
      <c r="H25" s="23" t="n">
        <f aca="false">G25+H24*(1-Annahmen!$B$8)-H$14</f>
        <v>213084.386666667</v>
      </c>
      <c r="I25" s="23" t="n">
        <f aca="false">H25+I24*(1-Annahmen!$B$8)-I$14</f>
        <v>202702.166666667</v>
      </c>
      <c r="J25" s="23" t="n">
        <f aca="false">I25+J24*(1-Annahmen!$B$8)-J$14</f>
        <v>193096.12</v>
      </c>
      <c r="K25" s="23" t="n">
        <f aca="false">J25+K24*(1-Annahmen!$B$8)-K$14</f>
        <v>183266.246666667</v>
      </c>
      <c r="L25" s="23" t="n">
        <f aca="false">K25+L24*(1-Annahmen!$B$8)-L$14</f>
        <v>174212.546666667</v>
      </c>
      <c r="M25" s="23" t="n">
        <f aca="false">L25+M24*(1-Annahmen!$B$8)-M$14</f>
        <v>163935.02</v>
      </c>
      <c r="N25" s="23" t="n">
        <f aca="false">M25+N24*(1-Annahmen!$B$8)-N$14</f>
        <v>156433.666666667</v>
      </c>
      <c r="O25" s="23" t="n">
        <f aca="false">N25+O24*(1-Annahmen!$B$8)-O$14</f>
        <v>149708.486666667</v>
      </c>
      <c r="P25" s="23" t="n">
        <f aca="false">O25+P24*(1-Annahmen!$B$8)-P$14</f>
        <v>143759.48</v>
      </c>
      <c r="Q25" s="23" t="n">
        <f aca="false">P25+Q24*(1-Annahmen!$B$8)-Q$14</f>
        <v>140526.997435897</v>
      </c>
      <c r="R25" s="23" t="n">
        <f aca="false">Q25+R24*(1-Annahmen!$B$8)-R$14</f>
        <v>140011.038974359</v>
      </c>
      <c r="S25" s="23" t="n">
        <f aca="false">R25+S24*(1-Annahmen!$B$8)-S$14</f>
        <v>142211.604615385</v>
      </c>
      <c r="T25" s="23" t="n">
        <f aca="false">S25+T24*(1-Annahmen!$B$8)-T$14</f>
        <v>150253.694358974</v>
      </c>
      <c r="U25" s="23" t="n">
        <f aca="false">T25+U24*(1-Annahmen!$B$8)-U$14</f>
        <v>161012.308205128</v>
      </c>
      <c r="V25" s="23" t="n">
        <f aca="false">U25+V24*(1-Annahmen!$B$8)-V$14</f>
        <v>174487.446153846</v>
      </c>
      <c r="W25" s="23" t="n">
        <f aca="false">V25+W24*(1-Annahmen!$B$8)-W$14</f>
        <v>171095.774871795</v>
      </c>
      <c r="X25" s="23" t="n">
        <f aca="false">W25+X24*(1-Annahmen!$B$8)-X$14</f>
        <v>170420.627692308</v>
      </c>
      <c r="Y25" s="23" t="n">
        <f aca="false">X25+Y24*(1-Annahmen!$B$8)-Y$14</f>
        <v>172462.004615385</v>
      </c>
      <c r="Z25" s="23" t="n">
        <f aca="false">Y25+Z24*(1-Annahmen!$B$8)-Z$14</f>
        <v>223219.905641026</v>
      </c>
      <c r="AA25" s="23" t="n">
        <f aca="false">Z25+AA24*(1-Annahmen!$B$8)-AA$14</f>
        <v>230694.330769231</v>
      </c>
      <c r="AB25" s="23" t="n">
        <f aca="false">AA25+AB24*(1-Annahmen!$B$8)-AB$14</f>
        <v>240885.28</v>
      </c>
    </row>
    <row r="26" customFormat="false" ht="15" hidden="false" customHeight="false" outlineLevel="0" collapsed="false">
      <c r="A26" s="26" t="s">
        <v>593</v>
      </c>
      <c r="B26" s="2"/>
      <c r="C26" s="2"/>
      <c r="D26" s="2"/>
      <c r="E26" s="37" t="n">
        <f aca="false">IF(E25&lt;0,1,0)</f>
        <v>0</v>
      </c>
      <c r="F26" s="37" t="n">
        <f aca="false">IF(F25&lt;0,1,0)</f>
        <v>0</v>
      </c>
      <c r="G26" s="37" t="n">
        <f aca="false">IF(G25&lt;0,1,0)</f>
        <v>0</v>
      </c>
      <c r="H26" s="37" t="n">
        <f aca="false">IF(H25&lt;0,1,0)</f>
        <v>0</v>
      </c>
      <c r="I26" s="37" t="n">
        <f aca="false">IF(I25&lt;0,1,0)</f>
        <v>0</v>
      </c>
      <c r="J26" s="37" t="n">
        <f aca="false">IF(J25&lt;0,1,0)</f>
        <v>0</v>
      </c>
      <c r="K26" s="37" t="n">
        <f aca="false">IF(K25&lt;0,1,0)</f>
        <v>0</v>
      </c>
      <c r="L26" s="37" t="n">
        <f aca="false">IF(L25&lt;0,1,0)</f>
        <v>0</v>
      </c>
      <c r="M26" s="37" t="n">
        <f aca="false">IF(M25&lt;0,1,0)</f>
        <v>0</v>
      </c>
      <c r="N26" s="37" t="n">
        <f aca="false">IF(N25&lt;0,1,0)</f>
        <v>0</v>
      </c>
      <c r="O26" s="37" t="n">
        <f aca="false">IF(O25&lt;0,1,0)</f>
        <v>0</v>
      </c>
      <c r="P26" s="37" t="n">
        <f aca="false">IF(P25&lt;0,1,0)</f>
        <v>0</v>
      </c>
      <c r="Q26" s="37" t="n">
        <f aca="false">IF(Q25&lt;0,1,0)</f>
        <v>0</v>
      </c>
      <c r="R26" s="37" t="n">
        <f aca="false">IF(R25&lt;0,1,0)</f>
        <v>0</v>
      </c>
      <c r="S26" s="37" t="n">
        <f aca="false">IF(S25&lt;0,1,0)</f>
        <v>0</v>
      </c>
      <c r="T26" s="37" t="n">
        <f aca="false">IF(T25&lt;0,1,0)</f>
        <v>0</v>
      </c>
      <c r="U26" s="37" t="n">
        <f aca="false">IF(U25&lt;0,1,0)</f>
        <v>0</v>
      </c>
      <c r="V26" s="37" t="n">
        <f aca="false">IF(V25&lt;0,1,0)</f>
        <v>0</v>
      </c>
      <c r="W26" s="37" t="n">
        <f aca="false">IF(W25&lt;0,1,0)</f>
        <v>0</v>
      </c>
      <c r="X26" s="37" t="n">
        <f aca="false">IF(X25&lt;0,1,0)</f>
        <v>0</v>
      </c>
      <c r="Y26" s="37" t="n">
        <f aca="false">IF(Y25&lt;0,1,0)</f>
        <v>0</v>
      </c>
      <c r="Z26" s="37" t="n">
        <f aca="false">IF(Z25&lt;0,1,0)</f>
        <v>0</v>
      </c>
      <c r="AA26" s="37" t="n">
        <f aca="false">IF(AA25&lt;0,1,0)</f>
        <v>0</v>
      </c>
      <c r="AB26" s="37" t="n">
        <f aca="false">IF(AB25&lt;0,1,0)</f>
        <v>0</v>
      </c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customFormat="false" ht="15" hidden="false" customHeight="false" outlineLevel="0" collapsed="false">
      <c r="A28" s="6" t="s">
        <v>594</v>
      </c>
      <c r="B28" s="2"/>
      <c r="C28" s="2"/>
      <c r="D28" s="2"/>
      <c r="E28" s="21" t="n">
        <f aca="false">IF(E$13&lt;=12,$G$8*(E$13-0.5)/72,$I$8+$J$8*(E$13-12))+IF(E$13=12+Annahmen!$B$9,'GuV 5 Jahre'!$D$35,0)+IF(E$13=Annahmen!$B$9,'GuV 5 Jahre'!$C$35,0)</f>
        <v>294.333333333333</v>
      </c>
      <c r="F28" s="21" t="n">
        <f aca="false">IF(F$13&lt;=12,$G$8*(F$13-0.5)/72,$I$8+$J$8*(F$13-12))+IF(F$13=12+Annahmen!$B$9,'GuV 5 Jahre'!$D$35,0)+IF(F$13=Annahmen!$B$9,'GuV 5 Jahre'!$C$35,0)</f>
        <v>883</v>
      </c>
      <c r="G28" s="21" t="n">
        <f aca="false">IF(G$13&lt;=12,$G$8*(G$13-0.5)/72,$I$8+$J$8*(G$13-12))+IF(G$13=12+Annahmen!$B$9,'GuV 5 Jahre'!$D$35,0)+IF(G$13=Annahmen!$B$9,'GuV 5 Jahre'!$C$35,0)</f>
        <v>1471.66666666667</v>
      </c>
      <c r="H28" s="21" t="n">
        <f aca="false">IF(H$13&lt;=12,$G$8*(H$13-0.5)/72,$I$8+$J$8*(H$13-12))+IF(H$13=12+Annahmen!$B$9,'GuV 5 Jahre'!$D$35,0)+IF(H$13=Annahmen!$B$9,'GuV 5 Jahre'!$C$35,0)</f>
        <v>2060.33333333333</v>
      </c>
      <c r="I28" s="21" t="n">
        <f aca="false">IF(I$13&lt;=12,$G$8*(I$13-0.5)/72,$I$8+$J$8*(I$13-12))+IF(I$13=12+Annahmen!$B$9,'GuV 5 Jahre'!$D$35,0)+IF(I$13=Annahmen!$B$9,'GuV 5 Jahre'!$C$35,0)</f>
        <v>2649</v>
      </c>
      <c r="J28" s="21" t="n">
        <f aca="false">IF(J$13&lt;=12,$G$8*(J$13-0.5)/72,$I$8+$J$8*(J$13-12))+IF(J$13=12+Annahmen!$B$9,'GuV 5 Jahre'!$D$35,0)+IF(J$13=Annahmen!$B$9,'GuV 5 Jahre'!$C$35,0)</f>
        <v>3237.66666666667</v>
      </c>
      <c r="K28" s="21" t="n">
        <f aca="false">IF(K$13&lt;=12,$G$8*(K$13-0.5)/72,$I$8+$J$8*(K$13-12))+IF(K$13=12+Annahmen!$B$9,'GuV 5 Jahre'!$D$35,0)+IF(K$13=Annahmen!$B$9,'GuV 5 Jahre'!$C$35,0)</f>
        <v>3826.33333333333</v>
      </c>
      <c r="L28" s="21" t="n">
        <f aca="false">IF(L$13&lt;=12,$G$8*(L$13-0.5)/72,$I$8+$J$8*(L$13-12))+IF(L$13=12+Annahmen!$B$9,'GuV 5 Jahre'!$D$35,0)+IF(L$13=Annahmen!$B$9,'GuV 5 Jahre'!$C$35,0)</f>
        <v>4415</v>
      </c>
      <c r="M28" s="21" t="n">
        <f aca="false">IF(M$13&lt;=12,$G$8*(M$13-0.5)/72,$I$8+$J$8*(M$13-12))+IF(M$13=12+Annahmen!$B$9,'GuV 5 Jahre'!$D$35,0)+IF(M$13=Annahmen!$B$9,'GuV 5 Jahre'!$C$35,0)</f>
        <v>5003.66666666667</v>
      </c>
      <c r="N28" s="21" t="n">
        <f aca="false">IF(N$13&lt;=12,$G$8*(N$13-0.5)/72,$I$8+$J$8*(N$13-12))+IF(N$13=12+Annahmen!$B$9,'GuV 5 Jahre'!$D$35,0)+IF(N$13=Annahmen!$B$9,'GuV 5 Jahre'!$C$35,0)</f>
        <v>5592.33333333333</v>
      </c>
      <c r="O28" s="21" t="n">
        <f aca="false">IF(O$13&lt;=12,$G$8*(O$13-0.5)/72,$I$8+$J$8*(O$13-12))+IF(O$13=12+Annahmen!$B$9,'GuV 5 Jahre'!$D$35,0)+IF(O$13=Annahmen!$B$9,'GuV 5 Jahre'!$C$35,0)</f>
        <v>6181</v>
      </c>
      <c r="P28" s="21" t="n">
        <f aca="false">IF(P$13&lt;=12,$G$8*(P$13-0.5)/72,$I$8+$J$8*(P$13-12))+IF(P$13=12+Annahmen!$B$9,'GuV 5 Jahre'!$D$35,0)+IF(P$13=Annahmen!$B$9,'GuV 5 Jahre'!$C$35,0)</f>
        <v>6769.66666666667</v>
      </c>
      <c r="Q28" s="21" t="n">
        <f aca="false">IF(Q$13&lt;=12,$G$8*(Q$13-0.5)/72,$I$8+$J$8*(Q$13-12))+IF(Q$13=12+Annahmen!$B$9,'GuV 5 Jahre'!$D$35,0)+IF(Q$13=Annahmen!$B$9,'GuV 5 Jahre'!$C$35,0)</f>
        <v>8761.25641025641</v>
      </c>
      <c r="R28" s="21" t="n">
        <f aca="false">IF(R$13&lt;=12,$G$8*(R$13-0.5)/72,$I$8+$J$8*(R$13-12))+IF(R$13=12+Annahmen!$B$9,'GuV 5 Jahre'!$D$35,0)+IF(R$13=Annahmen!$B$9,'GuV 5 Jahre'!$C$35,0)</f>
        <v>10752.8461538462</v>
      </c>
      <c r="S28" s="21" t="n">
        <f aca="false">IF(S$13&lt;=12,$G$8*(S$13-0.5)/72,$I$8+$J$8*(S$13-12))+IF(S$13=12+Annahmen!$B$9,'GuV 5 Jahre'!$D$35,0)+IF(S$13=Annahmen!$B$9,'GuV 5 Jahre'!$C$35,0)</f>
        <v>12744.4358974359</v>
      </c>
      <c r="T28" s="21" t="n">
        <f aca="false">IF(T$13&lt;=12,$G$8*(T$13-0.5)/72,$I$8+$J$8*(T$13-12))+IF(T$13=12+Annahmen!$B$9,'GuV 5 Jahre'!$D$35,0)+IF(T$13=Annahmen!$B$9,'GuV 5 Jahre'!$C$35,0)</f>
        <v>14736.0256410256</v>
      </c>
      <c r="U28" s="21" t="n">
        <f aca="false">IF(U$13&lt;=12,$G$8*(U$13-0.5)/72,$I$8+$J$8*(U$13-12))+IF(U$13=12+Annahmen!$B$9,'GuV 5 Jahre'!$D$35,0)+IF(U$13=Annahmen!$B$9,'GuV 5 Jahre'!$C$35,0)</f>
        <v>16727.6153846154</v>
      </c>
      <c r="V28" s="21" t="n">
        <f aca="false">IF(V$13&lt;=12,$G$8*(V$13-0.5)/72,$I$8+$J$8*(V$13-12))+IF(V$13=12+Annahmen!$B$9,'GuV 5 Jahre'!$D$35,0)+IF(V$13=Annahmen!$B$9,'GuV 5 Jahre'!$C$35,0)</f>
        <v>18719.2051282051</v>
      </c>
      <c r="W28" s="21" t="n">
        <f aca="false">IF(W$13&lt;=12,$G$8*(W$13-0.5)/72,$I$8+$J$8*(W$13-12))+IF(W$13=12+Annahmen!$B$9,'GuV 5 Jahre'!$D$35,0)+IF(W$13=Annahmen!$B$9,'GuV 5 Jahre'!$C$35,0)</f>
        <v>20710.7948717949</v>
      </c>
      <c r="X28" s="21" t="n">
        <f aca="false">IF(X$13&lt;=12,$G$8*(X$13-0.5)/72,$I$8+$J$8*(X$13-12))+IF(X$13=12+Annahmen!$B$9,'GuV 5 Jahre'!$D$35,0)+IF(X$13=Annahmen!$B$9,'GuV 5 Jahre'!$C$35,0)</f>
        <v>22702.3846153846</v>
      </c>
      <c r="Y28" s="21" t="n">
        <f aca="false">IF(Y$13&lt;=12,$G$8*(Y$13-0.5)/72,$I$8+$J$8*(Y$13-12))+IF(Y$13=12+Annahmen!$B$9,'GuV 5 Jahre'!$D$35,0)+IF(Y$13=Annahmen!$B$9,'GuV 5 Jahre'!$C$35,0)</f>
        <v>24693.9743589744</v>
      </c>
      <c r="Z28" s="21" t="n">
        <f aca="false">IF(Z$13&lt;=12,$G$8*(Z$13-0.5)/72,$I$8+$J$8*(Z$13-12))+IF(Z$13=12+Annahmen!$B$9,'GuV 5 Jahre'!$D$35,0)+IF(Z$13=Annahmen!$B$9,'GuV 5 Jahre'!$C$35,0)</f>
        <v>76685.5641025641</v>
      </c>
      <c r="AA28" s="21" t="n">
        <f aca="false">IF(AA$13&lt;=12,$G$8*(AA$13-0.5)/72,$I$8+$J$8*(AA$13-12))+IF(AA$13=12+Annahmen!$B$9,'GuV 5 Jahre'!$D$35,0)+IF(AA$13=Annahmen!$B$9,'GuV 5 Jahre'!$C$35,0)</f>
        <v>28677.1538461538</v>
      </c>
      <c r="AB28" s="21" t="n">
        <f aca="false">IF(AB$13&lt;=12,$G$8*(AB$13-0.5)/72,$I$8+$J$8*(AB$13-12))+IF(AB$13=12+Annahmen!$B$9,'GuV 5 Jahre'!$D$35,0)+IF(AB$13=Annahmen!$B$9,'GuV 5 Jahre'!$C$35,0)</f>
        <v>30668.7435897436</v>
      </c>
    </row>
    <row r="29" customFormat="false" ht="15" hidden="false" customHeight="false" outlineLevel="0" collapsed="false">
      <c r="A29" s="16" t="s">
        <v>595</v>
      </c>
      <c r="B29" s="2"/>
      <c r="C29" s="2"/>
      <c r="D29" s="2"/>
      <c r="E29" s="23" t="n">
        <f aca="false">Annahmen!$B$6+E28*(1-Annahmen!$B$8)-E$14</f>
        <v>237020.786666667</v>
      </c>
      <c r="F29" s="23" t="n">
        <f aca="false">E29+F28*(1-Annahmen!$B$8)-F$14</f>
        <v>232583.146666667</v>
      </c>
      <c r="G29" s="23" t="n">
        <f aca="false">F29+G28*(1-Annahmen!$B$8)-G$14</f>
        <v>223187.08</v>
      </c>
      <c r="H29" s="23" t="n">
        <f aca="false">G29+H28*(1-Annahmen!$B$8)-H$14</f>
        <v>211207.586666667</v>
      </c>
      <c r="I29" s="23" t="n">
        <f aca="false">H29+I28*(1-Annahmen!$B$8)-I$14</f>
        <v>199769.666666667</v>
      </c>
      <c r="J29" s="23" t="n">
        <f aca="false">I29+J28*(1-Annahmen!$B$8)-J$14</f>
        <v>188873.32</v>
      </c>
      <c r="K29" s="23" t="n">
        <f aca="false">J29+K28*(1-Annahmen!$B$8)-K$14</f>
        <v>177518.546666667</v>
      </c>
      <c r="L29" s="23" t="n">
        <f aca="false">K29+L28*(1-Annahmen!$B$8)-L$14</f>
        <v>166705.346666667</v>
      </c>
      <c r="M29" s="23" t="n">
        <f aca="false">L29+M28*(1-Annahmen!$B$8)-M$14</f>
        <v>154433.72</v>
      </c>
      <c r="N29" s="23" t="n">
        <f aca="false">M29+N28*(1-Annahmen!$B$8)-N$14</f>
        <v>144703.666666667</v>
      </c>
      <c r="O29" s="23" t="n">
        <f aca="false">N29+O28*(1-Annahmen!$B$8)-O$14</f>
        <v>135515.186666667</v>
      </c>
      <c r="P29" s="23" t="n">
        <f aca="false">O29+P28*(1-Annahmen!$B$8)-P$14</f>
        <v>126868.28</v>
      </c>
      <c r="Q29" s="23" t="n">
        <f aca="false">P29+Q28*(1-Annahmen!$B$8)-Q$14</f>
        <v>120053.635897436</v>
      </c>
      <c r="R29" s="23" t="n">
        <f aca="false">Q29+R28*(1-Annahmen!$B$8)-R$14</f>
        <v>115071.254358974</v>
      </c>
      <c r="S29" s="23" t="n">
        <f aca="false">R29+S28*(1-Annahmen!$B$8)-S$14</f>
        <v>111921.135384615</v>
      </c>
      <c r="T29" s="23" t="n">
        <f aca="false">S29+T28*(1-Annahmen!$B$8)-T$14</f>
        <v>113728.278974359</v>
      </c>
      <c r="U29" s="23" t="n">
        <f aca="false">T29+U28*(1-Annahmen!$B$8)-U$14</f>
        <v>117367.685128205</v>
      </c>
      <c r="V29" s="23" t="n">
        <f aca="false">U29+V28*(1-Annahmen!$B$8)-V$14</f>
        <v>122839.353846154</v>
      </c>
      <c r="W29" s="23" t="n">
        <f aca="false">V29+W28*(1-Annahmen!$B$8)-W$14</f>
        <v>110559.951794872</v>
      </c>
      <c r="X29" s="23" t="n">
        <f aca="false">W29+X28*(1-Annahmen!$B$8)-X$14</f>
        <v>100112.812307692</v>
      </c>
      <c r="Y29" s="23" t="n">
        <f aca="false">X29+Y28*(1-Annahmen!$B$8)-Y$14</f>
        <v>91497.9353846152</v>
      </c>
      <c r="Z29" s="23" t="n">
        <f aca="false">Y29+Z28*(1-Annahmen!$B$8)-Z$14</f>
        <v>130715.321025641</v>
      </c>
      <c r="AA29" s="23" t="n">
        <f aca="false">Z29+AA28*(1-Annahmen!$B$8)-AA$14</f>
        <v>125764.969230769</v>
      </c>
      <c r="AB29" s="23" t="n">
        <f aca="false">AA29+AB28*(1-Annahmen!$B$8)-AB$14</f>
        <v>122646.88</v>
      </c>
    </row>
    <row r="30" customFormat="false" ht="15" hidden="false" customHeight="false" outlineLevel="0" collapsed="false">
      <c r="A30" s="26" t="s">
        <v>596</v>
      </c>
      <c r="B30" s="2"/>
      <c r="C30" s="2"/>
      <c r="D30" s="2"/>
      <c r="E30" s="37" t="n">
        <f aca="false">IF(E29&lt;0,1,0)</f>
        <v>0</v>
      </c>
      <c r="F30" s="37" t="n">
        <f aca="false">IF(F29&lt;0,1,0)</f>
        <v>0</v>
      </c>
      <c r="G30" s="37" t="n">
        <f aca="false">IF(G29&lt;0,1,0)</f>
        <v>0</v>
      </c>
      <c r="H30" s="37" t="n">
        <f aca="false">IF(H29&lt;0,1,0)</f>
        <v>0</v>
      </c>
      <c r="I30" s="37" t="n">
        <f aca="false">IF(I29&lt;0,1,0)</f>
        <v>0</v>
      </c>
      <c r="J30" s="37" t="n">
        <f aca="false">IF(J29&lt;0,1,0)</f>
        <v>0</v>
      </c>
      <c r="K30" s="37" t="n">
        <f aca="false">IF(K29&lt;0,1,0)</f>
        <v>0</v>
      </c>
      <c r="L30" s="37" t="n">
        <f aca="false">IF(L29&lt;0,1,0)</f>
        <v>0</v>
      </c>
      <c r="M30" s="37" t="n">
        <f aca="false">IF(M29&lt;0,1,0)</f>
        <v>0</v>
      </c>
      <c r="N30" s="37" t="n">
        <f aca="false">IF(N29&lt;0,1,0)</f>
        <v>0</v>
      </c>
      <c r="O30" s="37" t="n">
        <f aca="false">IF(O29&lt;0,1,0)</f>
        <v>0</v>
      </c>
      <c r="P30" s="37" t="n">
        <f aca="false">IF(P29&lt;0,1,0)</f>
        <v>0</v>
      </c>
      <c r="Q30" s="37" t="n">
        <f aca="false">IF(Q29&lt;0,1,0)</f>
        <v>0</v>
      </c>
      <c r="R30" s="37" t="n">
        <f aca="false">IF(R29&lt;0,1,0)</f>
        <v>0</v>
      </c>
      <c r="S30" s="37" t="n">
        <f aca="false">IF(S29&lt;0,1,0)</f>
        <v>0</v>
      </c>
      <c r="T30" s="37" t="n">
        <f aca="false">IF(T29&lt;0,1,0)</f>
        <v>0</v>
      </c>
      <c r="U30" s="37" t="n">
        <f aca="false">IF(U29&lt;0,1,0)</f>
        <v>0</v>
      </c>
      <c r="V30" s="37" t="n">
        <f aca="false">IF(V29&lt;0,1,0)</f>
        <v>0</v>
      </c>
      <c r="W30" s="37" t="n">
        <f aca="false">IF(W29&lt;0,1,0)</f>
        <v>0</v>
      </c>
      <c r="X30" s="37" t="n">
        <f aca="false">IF(X29&lt;0,1,0)</f>
        <v>0</v>
      </c>
      <c r="Y30" s="37" t="n">
        <f aca="false">IF(Y29&lt;0,1,0)</f>
        <v>0</v>
      </c>
      <c r="Z30" s="37" t="n">
        <f aca="false">IF(Z29&lt;0,1,0)</f>
        <v>0</v>
      </c>
      <c r="AA30" s="37" t="n">
        <f aca="false">IF(AA29&lt;0,1,0)</f>
        <v>0</v>
      </c>
      <c r="AB30" s="37" t="n">
        <f aca="false">IF(AB29&lt;0,1,0)</f>
        <v>0</v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customFormat="false" ht="15" hidden="false" customHeight="false" outlineLevel="0" collapsed="false">
      <c r="A32" s="6" t="s">
        <v>597</v>
      </c>
      <c r="B32" s="2"/>
      <c r="C32" s="2"/>
      <c r="D32" s="2"/>
      <c r="E32" s="21" t="n">
        <f aca="false">IF(E$13&lt;=12,$G$9*(E$13-0.5)/72,$I$9+$J$9*(E$13-12))+IF(E$13=12+Annahmen!$B$9,'GuV 5 Jahre'!$D$35,0)+IF(E$13=Annahmen!$B$9,'GuV 5 Jahre'!$C$35,0)</f>
        <v>407.666666666667</v>
      </c>
      <c r="F32" s="21" t="n">
        <f aca="false">IF(F$13&lt;=12,$G$9*(F$13-0.5)/72,$I$9+$J$9*(F$13-12))+IF(F$13=12+Annahmen!$B$9,'GuV 5 Jahre'!$D$35,0)+IF(F$13=Annahmen!$B$9,'GuV 5 Jahre'!$C$35,0)</f>
        <v>1223</v>
      </c>
      <c r="G32" s="21" t="n">
        <f aca="false">IF(G$13&lt;=12,$G$9*(G$13-0.5)/72,$I$9+$J$9*(G$13-12))+IF(G$13=12+Annahmen!$B$9,'GuV 5 Jahre'!$D$35,0)+IF(G$13=Annahmen!$B$9,'GuV 5 Jahre'!$C$35,0)</f>
        <v>2038.33333333333</v>
      </c>
      <c r="H32" s="21" t="n">
        <f aca="false">IF(H$13&lt;=12,$G$9*(H$13-0.5)/72,$I$9+$J$9*(H$13-12))+IF(H$13=12+Annahmen!$B$9,'GuV 5 Jahre'!$D$35,0)+IF(H$13=Annahmen!$B$9,'GuV 5 Jahre'!$C$35,0)</f>
        <v>2853.66666666667</v>
      </c>
      <c r="I32" s="21" t="n">
        <f aca="false">IF(I$13&lt;=12,$G$9*(I$13-0.5)/72,$I$9+$J$9*(I$13-12))+IF(I$13=12+Annahmen!$B$9,'GuV 5 Jahre'!$D$35,0)+IF(I$13=Annahmen!$B$9,'GuV 5 Jahre'!$C$35,0)</f>
        <v>3669</v>
      </c>
      <c r="J32" s="21" t="n">
        <f aca="false">IF(J$13&lt;=12,$G$9*(J$13-0.5)/72,$I$9+$J$9*(J$13-12))+IF(J$13=12+Annahmen!$B$9,'GuV 5 Jahre'!$D$35,0)+IF(J$13=Annahmen!$B$9,'GuV 5 Jahre'!$C$35,0)</f>
        <v>4484.33333333333</v>
      </c>
      <c r="K32" s="21" t="n">
        <f aca="false">IF(K$13&lt;=12,$G$9*(K$13-0.5)/72,$I$9+$J$9*(K$13-12))+IF(K$13=12+Annahmen!$B$9,'GuV 5 Jahre'!$D$35,0)+IF(K$13=Annahmen!$B$9,'GuV 5 Jahre'!$C$35,0)</f>
        <v>5299.66666666667</v>
      </c>
      <c r="L32" s="21" t="n">
        <f aca="false">IF(L$13&lt;=12,$G$9*(L$13-0.5)/72,$I$9+$J$9*(L$13-12))+IF(L$13=12+Annahmen!$B$9,'GuV 5 Jahre'!$D$35,0)+IF(L$13=Annahmen!$B$9,'GuV 5 Jahre'!$C$35,0)</f>
        <v>6115</v>
      </c>
      <c r="M32" s="21" t="n">
        <f aca="false">IF(M$13&lt;=12,$G$9*(M$13-0.5)/72,$I$9+$J$9*(M$13-12))+IF(M$13=12+Annahmen!$B$9,'GuV 5 Jahre'!$D$35,0)+IF(M$13=Annahmen!$B$9,'GuV 5 Jahre'!$C$35,0)</f>
        <v>6930.33333333333</v>
      </c>
      <c r="N32" s="21" t="n">
        <f aca="false">IF(N$13&lt;=12,$G$9*(N$13-0.5)/72,$I$9+$J$9*(N$13-12))+IF(N$13=12+Annahmen!$B$9,'GuV 5 Jahre'!$D$35,0)+IF(N$13=Annahmen!$B$9,'GuV 5 Jahre'!$C$35,0)</f>
        <v>7745.66666666667</v>
      </c>
      <c r="O32" s="21" t="n">
        <f aca="false">IF(O$13&lt;=12,$G$9*(O$13-0.5)/72,$I$9+$J$9*(O$13-12))+IF(O$13=12+Annahmen!$B$9,'GuV 5 Jahre'!$D$35,0)+IF(O$13=Annahmen!$B$9,'GuV 5 Jahre'!$C$35,0)</f>
        <v>8561</v>
      </c>
      <c r="P32" s="21" t="n">
        <f aca="false">IF(P$13&lt;=12,$G$9*(P$13-0.5)/72,$I$9+$J$9*(P$13-12))+IF(P$13=12+Annahmen!$B$9,'GuV 5 Jahre'!$D$35,0)+IF(P$13=Annahmen!$B$9,'GuV 5 Jahre'!$C$35,0)</f>
        <v>9376.33333333333</v>
      </c>
      <c r="Q32" s="21" t="n">
        <f aca="false">IF(Q$13&lt;=12,$G$9*(Q$13-0.5)/72,$I$9+$J$9*(Q$13-12))+IF(Q$13=12+Annahmen!$B$9,'GuV 5 Jahre'!$D$35,0)+IF(Q$13=Annahmen!$B$9,'GuV 5 Jahre'!$C$35,0)</f>
        <v>12222.2820512821</v>
      </c>
      <c r="R32" s="21" t="n">
        <f aca="false">IF(R$13&lt;=12,$G$9*(R$13-0.5)/72,$I$9+$J$9*(R$13-12))+IF(R$13=12+Annahmen!$B$9,'GuV 5 Jahre'!$D$35,0)+IF(R$13=Annahmen!$B$9,'GuV 5 Jahre'!$C$35,0)</f>
        <v>15068.2307692308</v>
      </c>
      <c r="S32" s="21" t="n">
        <f aca="false">IF(S$13&lt;=12,$G$9*(S$13-0.5)/72,$I$9+$J$9*(S$13-12))+IF(S$13=12+Annahmen!$B$9,'GuV 5 Jahre'!$D$35,0)+IF(S$13=Annahmen!$B$9,'GuV 5 Jahre'!$C$35,0)</f>
        <v>17914.1794871795</v>
      </c>
      <c r="T32" s="21" t="n">
        <f aca="false">IF(T$13&lt;=12,$G$9*(T$13-0.5)/72,$I$9+$J$9*(T$13-12))+IF(T$13=12+Annahmen!$B$9,'GuV 5 Jahre'!$D$35,0)+IF(T$13=Annahmen!$B$9,'GuV 5 Jahre'!$C$35,0)</f>
        <v>20760.1282051282</v>
      </c>
      <c r="U32" s="21" t="n">
        <f aca="false">IF(U$13&lt;=12,$G$9*(U$13-0.5)/72,$I$9+$J$9*(U$13-12))+IF(U$13=12+Annahmen!$B$9,'GuV 5 Jahre'!$D$35,0)+IF(U$13=Annahmen!$B$9,'GuV 5 Jahre'!$C$35,0)</f>
        <v>23606.0769230769</v>
      </c>
      <c r="V32" s="21" t="n">
        <f aca="false">IF(V$13&lt;=12,$G$9*(V$13-0.5)/72,$I$9+$J$9*(V$13-12))+IF(V$13=12+Annahmen!$B$9,'GuV 5 Jahre'!$D$35,0)+IF(V$13=Annahmen!$B$9,'GuV 5 Jahre'!$C$35,0)</f>
        <v>26452.0256410256</v>
      </c>
      <c r="W32" s="21" t="n">
        <f aca="false">IF(W$13&lt;=12,$G$9*(W$13-0.5)/72,$I$9+$J$9*(W$13-12))+IF(W$13=12+Annahmen!$B$9,'GuV 5 Jahre'!$D$35,0)+IF(W$13=Annahmen!$B$9,'GuV 5 Jahre'!$C$35,0)</f>
        <v>29297.9743589744</v>
      </c>
      <c r="X32" s="21" t="n">
        <f aca="false">IF(X$13&lt;=12,$G$9*(X$13-0.5)/72,$I$9+$J$9*(X$13-12))+IF(X$13=12+Annahmen!$B$9,'GuV 5 Jahre'!$D$35,0)+IF(X$13=Annahmen!$B$9,'GuV 5 Jahre'!$C$35,0)</f>
        <v>32143.9230769231</v>
      </c>
      <c r="Y32" s="21" t="n">
        <f aca="false">IF(Y$13&lt;=12,$G$9*(Y$13-0.5)/72,$I$9+$J$9*(Y$13-12))+IF(Y$13=12+Annahmen!$B$9,'GuV 5 Jahre'!$D$35,0)+IF(Y$13=Annahmen!$B$9,'GuV 5 Jahre'!$C$35,0)</f>
        <v>34989.8717948718</v>
      </c>
      <c r="Z32" s="21" t="n">
        <f aca="false">IF(Z$13&lt;=12,$G$9*(Z$13-0.5)/72,$I$9+$J$9*(Z$13-12))+IF(Z$13=12+Annahmen!$B$9,'GuV 5 Jahre'!$D$35,0)+IF(Z$13=Annahmen!$B$9,'GuV 5 Jahre'!$C$35,0)</f>
        <v>87835.8205128205</v>
      </c>
      <c r="AA32" s="21" t="n">
        <f aca="false">IF(AA$13&lt;=12,$G$9*(AA$13-0.5)/72,$I$9+$J$9*(AA$13-12))+IF(AA$13=12+Annahmen!$B$9,'GuV 5 Jahre'!$D$35,0)+IF(AA$13=Annahmen!$B$9,'GuV 5 Jahre'!$C$35,0)</f>
        <v>40681.7692307692</v>
      </c>
      <c r="AB32" s="21" t="n">
        <f aca="false">IF(AB$13&lt;=12,$G$9*(AB$13-0.5)/72,$I$9+$J$9*(AB$13-12))+IF(AB$13=12+Annahmen!$B$9,'GuV 5 Jahre'!$D$35,0)+IF(AB$13=Annahmen!$B$9,'GuV 5 Jahre'!$C$35,0)</f>
        <v>43527.7179487179</v>
      </c>
    </row>
    <row r="33" customFormat="false" ht="15" hidden="false" customHeight="false" outlineLevel="0" collapsed="false">
      <c r="A33" s="16" t="s">
        <v>598</v>
      </c>
      <c r="B33" s="2"/>
      <c r="C33" s="2"/>
      <c r="D33" s="2"/>
      <c r="E33" s="23" t="n">
        <f aca="false">Annahmen!$B$6+E32*(1-Annahmen!$B$8)-E$14</f>
        <v>237125.053333333</v>
      </c>
      <c r="F33" s="23" t="n">
        <f aca="false">E33+F32*(1-Annahmen!$B$8)-F$14</f>
        <v>233000.213333333</v>
      </c>
      <c r="G33" s="23" t="n">
        <f aca="false">F33+G32*(1-Annahmen!$B$8)-G$14</f>
        <v>224125.48</v>
      </c>
      <c r="H33" s="23" t="n">
        <f aca="false">G33+H32*(1-Annahmen!$B$8)-H$14</f>
        <v>212875.853333333</v>
      </c>
      <c r="I33" s="23" t="n">
        <f aca="false">H33+I32*(1-Annahmen!$B$8)-I$14</f>
        <v>202376.333333333</v>
      </c>
      <c r="J33" s="23" t="n">
        <f aca="false">I33+J32*(1-Annahmen!$B$8)-J$14</f>
        <v>192626.92</v>
      </c>
      <c r="K33" s="23" t="n">
        <f aca="false">J33+K32*(1-Annahmen!$B$8)-K$14</f>
        <v>182627.613333333</v>
      </c>
      <c r="L33" s="23" t="n">
        <f aca="false">K33+L32*(1-Annahmen!$B$8)-L$14</f>
        <v>173378.413333333</v>
      </c>
      <c r="M33" s="23" t="n">
        <f aca="false">L33+M32*(1-Annahmen!$B$8)-M$14</f>
        <v>162879.32</v>
      </c>
      <c r="N33" s="23" t="n">
        <f aca="false">M33+N32*(1-Annahmen!$B$8)-N$14</f>
        <v>155130.333333333</v>
      </c>
      <c r="O33" s="23" t="n">
        <f aca="false">N33+O32*(1-Annahmen!$B$8)-O$14</f>
        <v>148131.453333333</v>
      </c>
      <c r="P33" s="23" t="n">
        <f aca="false">O33+P32*(1-Annahmen!$B$8)-P$14</f>
        <v>141882.68</v>
      </c>
      <c r="Q33" s="23" t="n">
        <f aca="false">P33+Q32*(1-Annahmen!$B$8)-Q$14</f>
        <v>138252.179487179</v>
      </c>
      <c r="R33" s="23" t="n">
        <f aca="false">Q33+R32*(1-Annahmen!$B$8)-R$14</f>
        <v>137239.951794872</v>
      </c>
      <c r="S33" s="23" t="n">
        <f aca="false">R33+S32*(1-Annahmen!$B$8)-S$14</f>
        <v>138845.996923077</v>
      </c>
      <c r="T33" s="23" t="n">
        <f aca="false">S33+T32*(1-Annahmen!$B$8)-T$14</f>
        <v>146195.314871795</v>
      </c>
      <c r="U33" s="23" t="n">
        <f aca="false">T33+U32*(1-Annahmen!$B$8)-U$14</f>
        <v>156162.905641026</v>
      </c>
      <c r="V33" s="23" t="n">
        <f aca="false">U33+V32*(1-Annahmen!$B$8)-V$14</f>
        <v>168748.769230769</v>
      </c>
      <c r="W33" s="23" t="n">
        <f aca="false">V33+W32*(1-Annahmen!$B$8)-W$14</f>
        <v>164369.572307692</v>
      </c>
      <c r="X33" s="23" t="n">
        <f aca="false">W33+X32*(1-Annahmen!$B$8)-X$14</f>
        <v>162608.648205128</v>
      </c>
      <c r="Y33" s="23" t="n">
        <f aca="false">X33+Y32*(1-Annahmen!$B$8)-Y$14</f>
        <v>163465.996923077</v>
      </c>
      <c r="Z33" s="23" t="n">
        <f aca="false">Y33+Z32*(1-Annahmen!$B$8)-Z$14</f>
        <v>212941.618461538</v>
      </c>
      <c r="AA33" s="23" t="n">
        <f aca="false">Z33+AA32*(1-Annahmen!$B$8)-AA$14</f>
        <v>219035.512820513</v>
      </c>
      <c r="AB33" s="23" t="n">
        <f aca="false">AA33+AB32*(1-Annahmen!$B$8)-AB$14</f>
        <v>227747.68</v>
      </c>
    </row>
    <row r="34" customFormat="false" ht="15" hidden="false" customHeight="false" outlineLevel="0" collapsed="false">
      <c r="A34" s="26" t="s">
        <v>599</v>
      </c>
      <c r="B34" s="2"/>
      <c r="C34" s="2"/>
      <c r="D34" s="2"/>
      <c r="E34" s="37" t="n">
        <f aca="false">IF(E33&lt;0,1,0)</f>
        <v>0</v>
      </c>
      <c r="F34" s="37" t="n">
        <f aca="false">IF(F33&lt;0,1,0)</f>
        <v>0</v>
      </c>
      <c r="G34" s="37" t="n">
        <f aca="false">IF(G33&lt;0,1,0)</f>
        <v>0</v>
      </c>
      <c r="H34" s="37" t="n">
        <f aca="false">IF(H33&lt;0,1,0)</f>
        <v>0</v>
      </c>
      <c r="I34" s="37" t="n">
        <f aca="false">IF(I33&lt;0,1,0)</f>
        <v>0</v>
      </c>
      <c r="J34" s="37" t="n">
        <f aca="false">IF(J33&lt;0,1,0)</f>
        <v>0</v>
      </c>
      <c r="K34" s="37" t="n">
        <f aca="false">IF(K33&lt;0,1,0)</f>
        <v>0</v>
      </c>
      <c r="L34" s="37" t="n">
        <f aca="false">IF(L33&lt;0,1,0)</f>
        <v>0</v>
      </c>
      <c r="M34" s="37" t="n">
        <f aca="false">IF(M33&lt;0,1,0)</f>
        <v>0</v>
      </c>
      <c r="N34" s="37" t="n">
        <f aca="false">IF(N33&lt;0,1,0)</f>
        <v>0</v>
      </c>
      <c r="O34" s="37" t="n">
        <f aca="false">IF(O33&lt;0,1,0)</f>
        <v>0</v>
      </c>
      <c r="P34" s="37" t="n">
        <f aca="false">IF(P33&lt;0,1,0)</f>
        <v>0</v>
      </c>
      <c r="Q34" s="37" t="n">
        <f aca="false">IF(Q33&lt;0,1,0)</f>
        <v>0</v>
      </c>
      <c r="R34" s="37" t="n">
        <f aca="false">IF(R33&lt;0,1,0)</f>
        <v>0</v>
      </c>
      <c r="S34" s="37" t="n">
        <f aca="false">IF(S33&lt;0,1,0)</f>
        <v>0</v>
      </c>
      <c r="T34" s="37" t="n">
        <f aca="false">IF(T33&lt;0,1,0)</f>
        <v>0</v>
      </c>
      <c r="U34" s="37" t="n">
        <f aca="false">IF(U33&lt;0,1,0)</f>
        <v>0</v>
      </c>
      <c r="V34" s="37" t="n">
        <f aca="false">IF(V33&lt;0,1,0)</f>
        <v>0</v>
      </c>
      <c r="W34" s="37" t="n">
        <f aca="false">IF(W33&lt;0,1,0)</f>
        <v>0</v>
      </c>
      <c r="X34" s="37" t="n">
        <f aca="false">IF(X33&lt;0,1,0)</f>
        <v>0</v>
      </c>
      <c r="Y34" s="37" t="n">
        <f aca="false">IF(Y33&lt;0,1,0)</f>
        <v>0</v>
      </c>
      <c r="Z34" s="37" t="n">
        <f aca="false">IF(Z33&lt;0,1,0)</f>
        <v>0</v>
      </c>
      <c r="AA34" s="37" t="n">
        <f aca="false">IF(AA33&lt;0,1,0)</f>
        <v>0</v>
      </c>
      <c r="AB34" s="37" t="n">
        <f aca="false">IF(AB33&lt;0,1,0)</f>
        <v>0</v>
      </c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15" hidden="false" customHeight="false" outlineLevel="0" collapsed="false">
      <c r="A36" s="6" t="s">
        <v>600</v>
      </c>
      <c r="B36" s="2"/>
      <c r="C36" s="2"/>
      <c r="D36" s="2"/>
      <c r="E36" s="21" t="n">
        <f aca="false">IF(E$13&lt;=12,$G$10*(E$13-0.5)/72,$I$10+$J$10*(E$13-12))+IF(E$13=12+Annahmen!$B$9,'GuV 5 Jahre'!$D$35,0)+IF(E$13=Annahmen!$B$9,'GuV 5 Jahre'!$C$35,0)</f>
        <v>249.375</v>
      </c>
      <c r="F36" s="21" t="n">
        <f aca="false">IF(F$13&lt;=12,$G$10*(F$13-0.5)/72,$I$10+$J$10*(F$13-12))+IF(F$13=12+Annahmen!$B$9,'GuV 5 Jahre'!$D$35,0)+IF(F$13=Annahmen!$B$9,'GuV 5 Jahre'!$C$35,0)</f>
        <v>748.125</v>
      </c>
      <c r="G36" s="21" t="n">
        <f aca="false">IF(G$13&lt;=12,$G$10*(G$13-0.5)/72,$I$10+$J$10*(G$13-12))+IF(G$13=12+Annahmen!$B$9,'GuV 5 Jahre'!$D$35,0)+IF(G$13=Annahmen!$B$9,'GuV 5 Jahre'!$C$35,0)</f>
        <v>1246.875</v>
      </c>
      <c r="H36" s="21" t="n">
        <f aca="false">IF(H$13&lt;=12,$G$10*(H$13-0.5)/72,$I$10+$J$10*(H$13-12))+IF(H$13=12+Annahmen!$B$9,'GuV 5 Jahre'!$D$35,0)+IF(H$13=Annahmen!$B$9,'GuV 5 Jahre'!$C$35,0)</f>
        <v>1745.625</v>
      </c>
      <c r="I36" s="21" t="n">
        <f aca="false">IF(I$13&lt;=12,$G$10*(I$13-0.5)/72,$I$10+$J$10*(I$13-12))+IF(I$13=12+Annahmen!$B$9,'GuV 5 Jahre'!$D$35,0)+IF(I$13=Annahmen!$B$9,'GuV 5 Jahre'!$C$35,0)</f>
        <v>2244.375</v>
      </c>
      <c r="J36" s="21" t="n">
        <f aca="false">IF(J$13&lt;=12,$G$10*(J$13-0.5)/72,$I$10+$J$10*(J$13-12))+IF(J$13=12+Annahmen!$B$9,'GuV 5 Jahre'!$D$35,0)+IF(J$13=Annahmen!$B$9,'GuV 5 Jahre'!$C$35,0)</f>
        <v>2743.125</v>
      </c>
      <c r="K36" s="21" t="n">
        <f aca="false">IF(K$13&lt;=12,$G$10*(K$13-0.5)/72,$I$10+$J$10*(K$13-12))+IF(K$13=12+Annahmen!$B$9,'GuV 5 Jahre'!$D$35,0)+IF(K$13=Annahmen!$B$9,'GuV 5 Jahre'!$C$35,0)</f>
        <v>3241.875</v>
      </c>
      <c r="L36" s="21" t="n">
        <f aca="false">IF(L$13&lt;=12,$G$10*(L$13-0.5)/72,$I$10+$J$10*(L$13-12))+IF(L$13=12+Annahmen!$B$9,'GuV 5 Jahre'!$D$35,0)+IF(L$13=Annahmen!$B$9,'GuV 5 Jahre'!$C$35,0)</f>
        <v>3740.625</v>
      </c>
      <c r="M36" s="21" t="n">
        <f aca="false">IF(M$13&lt;=12,$G$10*(M$13-0.5)/72,$I$10+$J$10*(M$13-12))+IF(M$13=12+Annahmen!$B$9,'GuV 5 Jahre'!$D$35,0)+IF(M$13=Annahmen!$B$9,'GuV 5 Jahre'!$C$35,0)</f>
        <v>4239.375</v>
      </c>
      <c r="N36" s="21" t="n">
        <f aca="false">IF(N$13&lt;=12,$G$10*(N$13-0.5)/72,$I$10+$J$10*(N$13-12))+IF(N$13=12+Annahmen!$B$9,'GuV 5 Jahre'!$D$35,0)+IF(N$13=Annahmen!$B$9,'GuV 5 Jahre'!$C$35,0)</f>
        <v>4738.125</v>
      </c>
      <c r="O36" s="21" t="n">
        <f aca="false">IF(O$13&lt;=12,$G$10*(O$13-0.5)/72,$I$10+$J$10*(O$13-12))+IF(O$13=12+Annahmen!$B$9,'GuV 5 Jahre'!$D$35,0)+IF(O$13=Annahmen!$B$9,'GuV 5 Jahre'!$C$35,0)</f>
        <v>5236.875</v>
      </c>
      <c r="P36" s="21" t="n">
        <f aca="false">IF(P$13&lt;=12,$G$10*(P$13-0.5)/72,$I$10+$J$10*(P$13-12))+IF(P$13=12+Annahmen!$B$9,'GuV 5 Jahre'!$D$35,0)+IF(P$13=Annahmen!$B$9,'GuV 5 Jahre'!$C$35,0)</f>
        <v>5735.625</v>
      </c>
      <c r="Q36" s="21" t="n">
        <f aca="false">IF(Q$13&lt;=12,$G$10*(Q$13-0.5)/72,$I$10+$J$10*(Q$13-12))+IF(Q$13=12+Annahmen!$B$9,'GuV 5 Jahre'!$D$35,0)+IF(Q$13=Annahmen!$B$9,'GuV 5 Jahre'!$C$35,0)</f>
        <v>7449.68269230769</v>
      </c>
      <c r="R36" s="21" t="n">
        <f aca="false">IF(R$13&lt;=12,$G$10*(R$13-0.5)/72,$I$10+$J$10*(R$13-12))+IF(R$13=12+Annahmen!$B$9,'GuV 5 Jahre'!$D$35,0)+IF(R$13=Annahmen!$B$9,'GuV 5 Jahre'!$C$35,0)</f>
        <v>9163.74038461539</v>
      </c>
      <c r="S36" s="21" t="n">
        <f aca="false">IF(S$13&lt;=12,$G$10*(S$13-0.5)/72,$I$10+$J$10*(S$13-12))+IF(S$13=12+Annahmen!$B$9,'GuV 5 Jahre'!$D$35,0)+IF(S$13=Annahmen!$B$9,'GuV 5 Jahre'!$C$35,0)</f>
        <v>10877.7980769231</v>
      </c>
      <c r="T36" s="21" t="n">
        <f aca="false">IF(T$13&lt;=12,$G$10*(T$13-0.5)/72,$I$10+$J$10*(T$13-12))+IF(T$13=12+Annahmen!$B$9,'GuV 5 Jahre'!$D$35,0)+IF(T$13=Annahmen!$B$9,'GuV 5 Jahre'!$C$35,0)</f>
        <v>12591.8557692308</v>
      </c>
      <c r="U36" s="21" t="n">
        <f aca="false">IF(U$13&lt;=12,$G$10*(U$13-0.5)/72,$I$10+$J$10*(U$13-12))+IF(U$13=12+Annahmen!$B$9,'GuV 5 Jahre'!$D$35,0)+IF(U$13=Annahmen!$B$9,'GuV 5 Jahre'!$C$35,0)</f>
        <v>14305.9134615385</v>
      </c>
      <c r="V36" s="21" t="n">
        <f aca="false">IF(V$13&lt;=12,$G$10*(V$13-0.5)/72,$I$10+$J$10*(V$13-12))+IF(V$13=12+Annahmen!$B$9,'GuV 5 Jahre'!$D$35,0)+IF(V$13=Annahmen!$B$9,'GuV 5 Jahre'!$C$35,0)</f>
        <v>16019.9711538462</v>
      </c>
      <c r="W36" s="21" t="n">
        <f aca="false">IF(W$13&lt;=12,$G$10*(W$13-0.5)/72,$I$10+$J$10*(W$13-12))+IF(W$13=12+Annahmen!$B$9,'GuV 5 Jahre'!$D$35,0)+IF(W$13=Annahmen!$B$9,'GuV 5 Jahre'!$C$35,0)</f>
        <v>17734.0288461538</v>
      </c>
      <c r="X36" s="21" t="n">
        <f aca="false">IF(X$13&lt;=12,$G$10*(X$13-0.5)/72,$I$10+$J$10*(X$13-12))+IF(X$13=12+Annahmen!$B$9,'GuV 5 Jahre'!$D$35,0)+IF(X$13=Annahmen!$B$9,'GuV 5 Jahre'!$C$35,0)</f>
        <v>19448.0865384615</v>
      </c>
      <c r="Y36" s="21" t="n">
        <f aca="false">IF(Y$13&lt;=12,$G$10*(Y$13-0.5)/72,$I$10+$J$10*(Y$13-12))+IF(Y$13=12+Annahmen!$B$9,'GuV 5 Jahre'!$D$35,0)+IF(Y$13=Annahmen!$B$9,'GuV 5 Jahre'!$C$35,0)</f>
        <v>21162.1442307692</v>
      </c>
      <c r="Z36" s="21" t="n">
        <f aca="false">IF(Z$13&lt;=12,$G$10*(Z$13-0.5)/72,$I$10+$J$10*(Z$13-12))+IF(Z$13=12+Annahmen!$B$9,'GuV 5 Jahre'!$D$35,0)+IF(Z$13=Annahmen!$B$9,'GuV 5 Jahre'!$C$35,0)</f>
        <v>72876.2019230769</v>
      </c>
      <c r="AA36" s="21" t="n">
        <f aca="false">IF(AA$13&lt;=12,$G$10*(AA$13-0.5)/72,$I$10+$J$10*(AA$13-12))+IF(AA$13=12+Annahmen!$B$9,'GuV 5 Jahre'!$D$35,0)+IF(AA$13=Annahmen!$B$9,'GuV 5 Jahre'!$C$35,0)</f>
        <v>24590.2596153846</v>
      </c>
      <c r="AB36" s="21" t="n">
        <f aca="false">IF(AB$13&lt;=12,$G$10*(AB$13-0.5)/72,$I$10+$J$10*(AB$13-12))+IF(AB$13=12+Annahmen!$B$9,'GuV 5 Jahre'!$D$35,0)+IF(AB$13=Annahmen!$B$9,'GuV 5 Jahre'!$C$35,0)</f>
        <v>26304.3173076923</v>
      </c>
    </row>
    <row r="37" customFormat="false" ht="15" hidden="false" customHeight="false" outlineLevel="0" collapsed="false">
      <c r="A37" s="16" t="s">
        <v>601</v>
      </c>
      <c r="B37" s="2"/>
      <c r="C37" s="2"/>
      <c r="D37" s="2"/>
      <c r="E37" s="23" t="n">
        <f aca="false">Annahmen!$B$6+E36*(1-Annahmen!$B$8)-E$14</f>
        <v>236979.425</v>
      </c>
      <c r="F37" s="23" t="n">
        <f aca="false">E37+F36*(1-Annahmen!$B$8)-F$14</f>
        <v>232417.7</v>
      </c>
      <c r="G37" s="23" t="n">
        <f aca="false">F37+G36*(1-Annahmen!$B$8)-G$14</f>
        <v>222814.825</v>
      </c>
      <c r="H37" s="23" t="n">
        <f aca="false">G37+H36*(1-Annahmen!$B$8)-H$14</f>
        <v>210545.8</v>
      </c>
      <c r="I37" s="23" t="n">
        <f aca="false">H37+I36*(1-Annahmen!$B$8)-I$14</f>
        <v>198735.625</v>
      </c>
      <c r="J37" s="23" t="n">
        <f aca="false">I37+J36*(1-Annahmen!$B$8)-J$14</f>
        <v>187384.3</v>
      </c>
      <c r="K37" s="23" t="n">
        <f aca="false">J37+K36*(1-Annahmen!$B$8)-K$14</f>
        <v>175491.825</v>
      </c>
      <c r="L37" s="23" t="n">
        <f aca="false">K37+L36*(1-Annahmen!$B$8)-L$14</f>
        <v>164058.2</v>
      </c>
      <c r="M37" s="23" t="n">
        <f aca="false">L37+M36*(1-Annahmen!$B$8)-M$14</f>
        <v>151083.425</v>
      </c>
      <c r="N37" s="23" t="n">
        <f aca="false">M37+N36*(1-Annahmen!$B$8)-N$14</f>
        <v>140567.5</v>
      </c>
      <c r="O37" s="23" t="n">
        <f aca="false">N37+O36*(1-Annahmen!$B$8)-O$14</f>
        <v>130510.425</v>
      </c>
      <c r="P37" s="23" t="n">
        <f aca="false">O37+P36*(1-Annahmen!$B$8)-P$14</f>
        <v>120912.2</v>
      </c>
      <c r="Q37" s="23" t="n">
        <f aca="false">P37+Q36*(1-Annahmen!$B$8)-Q$14</f>
        <v>112890.908076923</v>
      </c>
      <c r="R37" s="23" t="n">
        <f aca="false">Q37+R36*(1-Annahmen!$B$8)-R$14</f>
        <v>106446.549230769</v>
      </c>
      <c r="S37" s="23" t="n">
        <f aca="false">R37+S36*(1-Annahmen!$B$8)-S$14</f>
        <v>101579.123461538</v>
      </c>
      <c r="T37" s="23" t="n">
        <f aca="false">S37+T36*(1-Annahmen!$B$8)-T$14</f>
        <v>101413.630769231</v>
      </c>
      <c r="U37" s="23" t="n">
        <f aca="false">T37+U36*(1-Annahmen!$B$8)-U$14</f>
        <v>102825.071153846</v>
      </c>
      <c r="V37" s="23" t="n">
        <f aca="false">U37+V36*(1-Annahmen!$B$8)-V$14</f>
        <v>105813.444615385</v>
      </c>
      <c r="W37" s="23" t="n">
        <f aca="false">V37+W36*(1-Annahmen!$B$8)-W$14</f>
        <v>90795.4178205128</v>
      </c>
      <c r="X37" s="23" t="n">
        <f aca="false">W37+X36*(1-Annahmen!$B$8)-X$14</f>
        <v>77354.3241025641</v>
      </c>
      <c r="Y37" s="23" t="n">
        <f aca="false">X37+Y36*(1-Annahmen!$B$8)-Y$14</f>
        <v>65490.1634615385</v>
      </c>
      <c r="Z37" s="23" t="n">
        <f aca="false">Y37+Z36*(1-Annahmen!$B$8)-Z$14</f>
        <v>101202.935897436</v>
      </c>
      <c r="AA37" s="23" t="n">
        <f aca="false">Z37+AA36*(1-Annahmen!$B$8)-AA$14</f>
        <v>92492.6414102564</v>
      </c>
      <c r="AB37" s="23" t="n">
        <f aca="false">AA37+AB36*(1-Annahmen!$B$8)-AB$14</f>
        <v>85359.28</v>
      </c>
    </row>
    <row r="38" customFormat="false" ht="15" hidden="false" customHeight="false" outlineLevel="0" collapsed="false">
      <c r="A38" s="26" t="s">
        <v>602</v>
      </c>
      <c r="B38" s="2"/>
      <c r="C38" s="2"/>
      <c r="D38" s="2"/>
      <c r="E38" s="37" t="n">
        <f aca="false">IF(E37&lt;0,1,0)</f>
        <v>0</v>
      </c>
      <c r="F38" s="37" t="n">
        <f aca="false">IF(F37&lt;0,1,0)</f>
        <v>0</v>
      </c>
      <c r="G38" s="37" t="n">
        <f aca="false">IF(G37&lt;0,1,0)</f>
        <v>0</v>
      </c>
      <c r="H38" s="37" t="n">
        <f aca="false">IF(H37&lt;0,1,0)</f>
        <v>0</v>
      </c>
      <c r="I38" s="37" t="n">
        <f aca="false">IF(I37&lt;0,1,0)</f>
        <v>0</v>
      </c>
      <c r="J38" s="37" t="n">
        <f aca="false">IF(J37&lt;0,1,0)</f>
        <v>0</v>
      </c>
      <c r="K38" s="37" t="n">
        <f aca="false">IF(K37&lt;0,1,0)</f>
        <v>0</v>
      </c>
      <c r="L38" s="37" t="n">
        <f aca="false">IF(L37&lt;0,1,0)</f>
        <v>0</v>
      </c>
      <c r="M38" s="37" t="n">
        <f aca="false">IF(M37&lt;0,1,0)</f>
        <v>0</v>
      </c>
      <c r="N38" s="37" t="n">
        <f aca="false">IF(N37&lt;0,1,0)</f>
        <v>0</v>
      </c>
      <c r="O38" s="37" t="n">
        <f aca="false">IF(O37&lt;0,1,0)</f>
        <v>0</v>
      </c>
      <c r="P38" s="37" t="n">
        <f aca="false">IF(P37&lt;0,1,0)</f>
        <v>0</v>
      </c>
      <c r="Q38" s="37" t="n">
        <f aca="false">IF(Q37&lt;0,1,0)</f>
        <v>0</v>
      </c>
      <c r="R38" s="37" t="n">
        <f aca="false">IF(R37&lt;0,1,0)</f>
        <v>0</v>
      </c>
      <c r="S38" s="37" t="n">
        <f aca="false">IF(S37&lt;0,1,0)</f>
        <v>0</v>
      </c>
      <c r="T38" s="37" t="n">
        <f aca="false">IF(T37&lt;0,1,0)</f>
        <v>0</v>
      </c>
      <c r="U38" s="37" t="n">
        <f aca="false">IF(U37&lt;0,1,0)</f>
        <v>0</v>
      </c>
      <c r="V38" s="37" t="n">
        <f aca="false">IF(V37&lt;0,1,0)</f>
        <v>0</v>
      </c>
      <c r="W38" s="37" t="n">
        <f aca="false">IF(W37&lt;0,1,0)</f>
        <v>0</v>
      </c>
      <c r="X38" s="37" t="n">
        <f aca="false">IF(X37&lt;0,1,0)</f>
        <v>0</v>
      </c>
      <c r="Y38" s="37" t="n">
        <f aca="false">IF(Y37&lt;0,1,0)</f>
        <v>0</v>
      </c>
      <c r="Z38" s="37" t="n">
        <f aca="false">IF(Z37&lt;0,1,0)</f>
        <v>0</v>
      </c>
      <c r="AA38" s="37" t="n">
        <f aca="false">IF(AA37&lt;0,1,0)</f>
        <v>0</v>
      </c>
      <c r="AB38" s="37" t="n">
        <f aca="false">IF(AB37&lt;0,1,0)</f>
        <v>0</v>
      </c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15" hidden="false" customHeight="false" outlineLevel="0" collapsed="false">
      <c r="A40" s="6" t="s">
        <v>603</v>
      </c>
      <c r="B40" s="2"/>
      <c r="C40" s="2"/>
      <c r="D40" s="2"/>
      <c r="E40" s="21" t="n">
        <f aca="false">IF(E$13&lt;=12,$G$11*(E$13-0.5)/72,$I$11+$J$11*(E$13-12))+IF(E$13=12+Annahmen!$B$9,'GuV 5 Jahre'!$D$35,0)+IF(E$13=Annahmen!$B$9,'GuV 5 Jahre'!$C$35,0)</f>
        <v>452.625</v>
      </c>
      <c r="F40" s="21" t="n">
        <f aca="false">IF(F$13&lt;=12,$G$11*(F$13-0.5)/72,$I$11+$J$11*(F$13-12))+IF(F$13=12+Annahmen!$B$9,'GuV 5 Jahre'!$D$35,0)+IF(F$13=Annahmen!$B$9,'GuV 5 Jahre'!$C$35,0)</f>
        <v>1357.875</v>
      </c>
      <c r="G40" s="21" t="n">
        <f aca="false">IF(G$13&lt;=12,$G$11*(G$13-0.5)/72,$I$11+$J$11*(G$13-12))+IF(G$13=12+Annahmen!$B$9,'GuV 5 Jahre'!$D$35,0)+IF(G$13=Annahmen!$B$9,'GuV 5 Jahre'!$C$35,0)</f>
        <v>2263.125</v>
      </c>
      <c r="H40" s="21" t="n">
        <f aca="false">IF(H$13&lt;=12,$G$11*(H$13-0.5)/72,$I$11+$J$11*(H$13-12))+IF(H$13=12+Annahmen!$B$9,'GuV 5 Jahre'!$D$35,0)+IF(H$13=Annahmen!$B$9,'GuV 5 Jahre'!$C$35,0)</f>
        <v>3168.375</v>
      </c>
      <c r="I40" s="21" t="n">
        <f aca="false">IF(I$13&lt;=12,$G$11*(I$13-0.5)/72,$I$11+$J$11*(I$13-12))+IF(I$13=12+Annahmen!$B$9,'GuV 5 Jahre'!$D$35,0)+IF(I$13=Annahmen!$B$9,'GuV 5 Jahre'!$C$35,0)</f>
        <v>4073.625</v>
      </c>
      <c r="J40" s="21" t="n">
        <f aca="false">IF(J$13&lt;=12,$G$11*(J$13-0.5)/72,$I$11+$J$11*(J$13-12))+IF(J$13=12+Annahmen!$B$9,'GuV 5 Jahre'!$D$35,0)+IF(J$13=Annahmen!$B$9,'GuV 5 Jahre'!$C$35,0)</f>
        <v>4978.875</v>
      </c>
      <c r="K40" s="21" t="n">
        <f aca="false">IF(K$13&lt;=12,$G$11*(K$13-0.5)/72,$I$11+$J$11*(K$13-12))+IF(K$13=12+Annahmen!$B$9,'GuV 5 Jahre'!$D$35,0)+IF(K$13=Annahmen!$B$9,'GuV 5 Jahre'!$C$35,0)</f>
        <v>5884.125</v>
      </c>
      <c r="L40" s="21" t="n">
        <f aca="false">IF(L$13&lt;=12,$G$11*(L$13-0.5)/72,$I$11+$J$11*(L$13-12))+IF(L$13=12+Annahmen!$B$9,'GuV 5 Jahre'!$D$35,0)+IF(L$13=Annahmen!$B$9,'GuV 5 Jahre'!$C$35,0)</f>
        <v>6789.375</v>
      </c>
      <c r="M40" s="21" t="n">
        <f aca="false">IF(M$13&lt;=12,$G$11*(M$13-0.5)/72,$I$11+$J$11*(M$13-12))+IF(M$13=12+Annahmen!$B$9,'GuV 5 Jahre'!$D$35,0)+IF(M$13=Annahmen!$B$9,'GuV 5 Jahre'!$C$35,0)</f>
        <v>7694.625</v>
      </c>
      <c r="N40" s="21" t="n">
        <f aca="false">IF(N$13&lt;=12,$G$11*(N$13-0.5)/72,$I$11+$J$11*(N$13-12))+IF(N$13=12+Annahmen!$B$9,'GuV 5 Jahre'!$D$35,0)+IF(N$13=Annahmen!$B$9,'GuV 5 Jahre'!$C$35,0)</f>
        <v>8599.875</v>
      </c>
      <c r="O40" s="21" t="n">
        <f aca="false">IF(O$13&lt;=12,$G$11*(O$13-0.5)/72,$I$11+$J$11*(O$13-12))+IF(O$13=12+Annahmen!$B$9,'GuV 5 Jahre'!$D$35,0)+IF(O$13=Annahmen!$B$9,'GuV 5 Jahre'!$C$35,0)</f>
        <v>9505.125</v>
      </c>
      <c r="P40" s="21" t="n">
        <f aca="false">IF(P$13&lt;=12,$G$11*(P$13-0.5)/72,$I$11+$J$11*(P$13-12))+IF(P$13=12+Annahmen!$B$9,'GuV 5 Jahre'!$D$35,0)+IF(P$13=Annahmen!$B$9,'GuV 5 Jahre'!$C$35,0)</f>
        <v>10410.375</v>
      </c>
      <c r="Q40" s="21" t="n">
        <f aca="false">IF(Q$13&lt;=12,$G$11*(Q$13-0.5)/72,$I$11+$J$11*(Q$13-12))+IF(Q$13=12+Annahmen!$B$9,'GuV 5 Jahre'!$D$35,0)+IF(Q$13=Annahmen!$B$9,'GuV 5 Jahre'!$C$35,0)</f>
        <v>13533.8557692308</v>
      </c>
      <c r="R40" s="21" t="n">
        <f aca="false">IF(R$13&lt;=12,$G$11*(R$13-0.5)/72,$I$11+$J$11*(R$13-12))+IF(R$13=12+Annahmen!$B$9,'GuV 5 Jahre'!$D$35,0)+IF(R$13=Annahmen!$B$9,'GuV 5 Jahre'!$C$35,0)</f>
        <v>16657.3365384615</v>
      </c>
      <c r="S40" s="21" t="n">
        <f aca="false">IF(S$13&lt;=12,$G$11*(S$13-0.5)/72,$I$11+$J$11*(S$13-12))+IF(S$13=12+Annahmen!$B$9,'GuV 5 Jahre'!$D$35,0)+IF(S$13=Annahmen!$B$9,'GuV 5 Jahre'!$C$35,0)</f>
        <v>19780.8173076923</v>
      </c>
      <c r="T40" s="21" t="n">
        <f aca="false">IF(T$13&lt;=12,$G$11*(T$13-0.5)/72,$I$11+$J$11*(T$13-12))+IF(T$13=12+Annahmen!$B$9,'GuV 5 Jahre'!$D$35,0)+IF(T$13=Annahmen!$B$9,'GuV 5 Jahre'!$C$35,0)</f>
        <v>22904.2980769231</v>
      </c>
      <c r="U40" s="21" t="n">
        <f aca="false">IF(U$13&lt;=12,$G$11*(U$13-0.5)/72,$I$11+$J$11*(U$13-12))+IF(U$13=12+Annahmen!$B$9,'GuV 5 Jahre'!$D$35,0)+IF(U$13=Annahmen!$B$9,'GuV 5 Jahre'!$C$35,0)</f>
        <v>26027.7788461538</v>
      </c>
      <c r="V40" s="21" t="n">
        <f aca="false">IF(V$13&lt;=12,$G$11*(V$13-0.5)/72,$I$11+$J$11*(V$13-12))+IF(V$13=12+Annahmen!$B$9,'GuV 5 Jahre'!$D$35,0)+IF(V$13=Annahmen!$B$9,'GuV 5 Jahre'!$C$35,0)</f>
        <v>29151.2596153846</v>
      </c>
      <c r="W40" s="21" t="n">
        <f aca="false">IF(W$13&lt;=12,$G$11*(W$13-0.5)/72,$I$11+$J$11*(W$13-12))+IF(W$13=12+Annahmen!$B$9,'GuV 5 Jahre'!$D$35,0)+IF(W$13=Annahmen!$B$9,'GuV 5 Jahre'!$C$35,0)</f>
        <v>32274.7403846154</v>
      </c>
      <c r="X40" s="21" t="n">
        <f aca="false">IF(X$13&lt;=12,$G$11*(X$13-0.5)/72,$I$11+$J$11*(X$13-12))+IF(X$13=12+Annahmen!$B$9,'GuV 5 Jahre'!$D$35,0)+IF(X$13=Annahmen!$B$9,'GuV 5 Jahre'!$C$35,0)</f>
        <v>35398.2211538462</v>
      </c>
      <c r="Y40" s="21" t="n">
        <f aca="false">IF(Y$13&lt;=12,$G$11*(Y$13-0.5)/72,$I$11+$J$11*(Y$13-12))+IF(Y$13=12+Annahmen!$B$9,'GuV 5 Jahre'!$D$35,0)+IF(Y$13=Annahmen!$B$9,'GuV 5 Jahre'!$C$35,0)</f>
        <v>38521.7019230769</v>
      </c>
      <c r="Z40" s="21" t="n">
        <f aca="false">IF(Z$13&lt;=12,$G$11*(Z$13-0.5)/72,$I$11+$J$11*(Z$13-12))+IF(Z$13=12+Annahmen!$B$9,'GuV 5 Jahre'!$D$35,0)+IF(Z$13=Annahmen!$B$9,'GuV 5 Jahre'!$C$35,0)</f>
        <v>91645.1826923077</v>
      </c>
      <c r="AA40" s="21" t="n">
        <f aca="false">IF(AA$13&lt;=12,$G$11*(AA$13-0.5)/72,$I$11+$J$11*(AA$13-12))+IF(AA$13=12+Annahmen!$B$9,'GuV 5 Jahre'!$D$35,0)+IF(AA$13=Annahmen!$B$9,'GuV 5 Jahre'!$C$35,0)</f>
        <v>44768.6634615385</v>
      </c>
      <c r="AB40" s="21" t="n">
        <f aca="false">IF(AB$13&lt;=12,$G$11*(AB$13-0.5)/72,$I$11+$J$11*(AB$13-12))+IF(AB$13=12+Annahmen!$B$9,'GuV 5 Jahre'!$D$35,0)+IF(AB$13=Annahmen!$B$9,'GuV 5 Jahre'!$C$35,0)</f>
        <v>47892.1442307692</v>
      </c>
    </row>
    <row r="41" customFormat="false" ht="15" hidden="false" customHeight="false" outlineLevel="0" collapsed="false">
      <c r="A41" s="16" t="s">
        <v>604</v>
      </c>
      <c r="B41" s="2"/>
      <c r="C41" s="2"/>
      <c r="D41" s="2"/>
      <c r="E41" s="23" t="n">
        <f aca="false">Annahmen!$B$6+E40*(1-Annahmen!$B$8)-E$14</f>
        <v>237166.415</v>
      </c>
      <c r="F41" s="23" t="n">
        <f aca="false">E41+F40*(1-Annahmen!$B$8)-F$14</f>
        <v>233165.66</v>
      </c>
      <c r="G41" s="23" t="n">
        <f aca="false">F41+G40*(1-Annahmen!$B$8)-G$14</f>
        <v>224497.735</v>
      </c>
      <c r="H41" s="23" t="n">
        <f aca="false">G41+H40*(1-Annahmen!$B$8)-H$14</f>
        <v>213537.64</v>
      </c>
      <c r="I41" s="23" t="n">
        <f aca="false">H41+I40*(1-Annahmen!$B$8)-I$14</f>
        <v>203410.375</v>
      </c>
      <c r="J41" s="23" t="n">
        <f aca="false">I41+J40*(1-Annahmen!$B$8)-J$14</f>
        <v>194115.94</v>
      </c>
      <c r="K41" s="23" t="n">
        <f aca="false">J41+K40*(1-Annahmen!$B$8)-K$14</f>
        <v>184654.335</v>
      </c>
      <c r="L41" s="23" t="n">
        <f aca="false">K41+L40*(1-Annahmen!$B$8)-L$14</f>
        <v>176025.56</v>
      </c>
      <c r="M41" s="23" t="n">
        <f aca="false">L41+M40*(1-Annahmen!$B$8)-M$14</f>
        <v>166229.615</v>
      </c>
      <c r="N41" s="23" t="n">
        <f aca="false">M41+N40*(1-Annahmen!$B$8)-N$14</f>
        <v>159266.5</v>
      </c>
      <c r="O41" s="23" t="n">
        <f aca="false">N41+O40*(1-Annahmen!$B$8)-O$14</f>
        <v>153136.215</v>
      </c>
      <c r="P41" s="23" t="n">
        <f aca="false">O41+P40*(1-Annahmen!$B$8)-P$14</f>
        <v>147838.76</v>
      </c>
      <c r="Q41" s="23" t="n">
        <f aca="false">P41+Q40*(1-Annahmen!$B$8)-Q$14</f>
        <v>145414.907307692</v>
      </c>
      <c r="R41" s="23" t="n">
        <f aca="false">Q41+R40*(1-Annahmen!$B$8)-R$14</f>
        <v>145864.656923077</v>
      </c>
      <c r="S41" s="23" t="n">
        <f aca="false">R41+S40*(1-Annahmen!$B$8)-S$14</f>
        <v>149188.008846154</v>
      </c>
      <c r="T41" s="23" t="n">
        <f aca="false">S41+T40*(1-Annahmen!$B$8)-T$14</f>
        <v>158509.963076923</v>
      </c>
      <c r="U41" s="23" t="n">
        <f aca="false">T41+U40*(1-Annahmen!$B$8)-U$14</f>
        <v>170705.519615385</v>
      </c>
      <c r="V41" s="23" t="n">
        <f aca="false">U41+V40*(1-Annahmen!$B$8)-V$14</f>
        <v>185774.678461538</v>
      </c>
      <c r="W41" s="23" t="n">
        <f aca="false">V41+W40*(1-Annahmen!$B$8)-W$14</f>
        <v>184134.106282051</v>
      </c>
      <c r="X41" s="23" t="n">
        <f aca="false">W41+X40*(1-Annahmen!$B$8)-X$14</f>
        <v>185367.136410256</v>
      </c>
      <c r="Y41" s="23" t="n">
        <f aca="false">X41+Y40*(1-Annahmen!$B$8)-Y$14</f>
        <v>189473.768846154</v>
      </c>
      <c r="Z41" s="23" t="n">
        <f aca="false">Y41+Z40*(1-Annahmen!$B$8)-Z$14</f>
        <v>242454.003589744</v>
      </c>
      <c r="AA41" s="23" t="n">
        <f aca="false">Z41+AA40*(1-Annahmen!$B$8)-AA$14</f>
        <v>252307.840641026</v>
      </c>
      <c r="AB41" s="23" t="n">
        <f aca="false">AA41+AB40*(1-Annahmen!$B$8)-AB$14</f>
        <v>265035.28</v>
      </c>
    </row>
    <row r="42" customFormat="false" ht="15" hidden="false" customHeight="false" outlineLevel="0" collapsed="false">
      <c r="A42" s="26" t="s">
        <v>605</v>
      </c>
      <c r="B42" s="2"/>
      <c r="C42" s="2"/>
      <c r="D42" s="2"/>
      <c r="E42" s="37" t="n">
        <f aca="false">IF(E41&lt;0,1,0)</f>
        <v>0</v>
      </c>
      <c r="F42" s="37" t="n">
        <f aca="false">IF(F41&lt;0,1,0)</f>
        <v>0</v>
      </c>
      <c r="G42" s="37" t="n">
        <f aca="false">IF(G41&lt;0,1,0)</f>
        <v>0</v>
      </c>
      <c r="H42" s="37" t="n">
        <f aca="false">IF(H41&lt;0,1,0)</f>
        <v>0</v>
      </c>
      <c r="I42" s="37" t="n">
        <f aca="false">IF(I41&lt;0,1,0)</f>
        <v>0</v>
      </c>
      <c r="J42" s="37" t="n">
        <f aca="false">IF(J41&lt;0,1,0)</f>
        <v>0</v>
      </c>
      <c r="K42" s="37" t="n">
        <f aca="false">IF(K41&lt;0,1,0)</f>
        <v>0</v>
      </c>
      <c r="L42" s="37" t="n">
        <f aca="false">IF(L41&lt;0,1,0)</f>
        <v>0</v>
      </c>
      <c r="M42" s="37" t="n">
        <f aca="false">IF(M41&lt;0,1,0)</f>
        <v>0</v>
      </c>
      <c r="N42" s="37" t="n">
        <f aca="false">IF(N41&lt;0,1,0)</f>
        <v>0</v>
      </c>
      <c r="O42" s="37" t="n">
        <f aca="false">IF(O41&lt;0,1,0)</f>
        <v>0</v>
      </c>
      <c r="P42" s="37" t="n">
        <f aca="false">IF(P41&lt;0,1,0)</f>
        <v>0</v>
      </c>
      <c r="Q42" s="37" t="n">
        <f aca="false">IF(Q41&lt;0,1,0)</f>
        <v>0</v>
      </c>
      <c r="R42" s="37" t="n">
        <f aca="false">IF(R41&lt;0,1,0)</f>
        <v>0</v>
      </c>
      <c r="S42" s="37" t="n">
        <f aca="false">IF(S41&lt;0,1,0)</f>
        <v>0</v>
      </c>
      <c r="T42" s="37" t="n">
        <f aca="false">IF(T41&lt;0,1,0)</f>
        <v>0</v>
      </c>
      <c r="U42" s="37" t="n">
        <f aca="false">IF(U41&lt;0,1,0)</f>
        <v>0</v>
      </c>
      <c r="V42" s="37" t="n">
        <f aca="false">IF(V41&lt;0,1,0)</f>
        <v>0</v>
      </c>
      <c r="W42" s="37" t="n">
        <f aca="false">IF(W41&lt;0,1,0)</f>
        <v>0</v>
      </c>
      <c r="X42" s="37" t="n">
        <f aca="false">IF(X41&lt;0,1,0)</f>
        <v>0</v>
      </c>
      <c r="Y42" s="37" t="n">
        <f aca="false">IF(Y41&lt;0,1,0)</f>
        <v>0</v>
      </c>
      <c r="Z42" s="37" t="n">
        <f aca="false">IF(Z41&lt;0,1,0)</f>
        <v>0</v>
      </c>
      <c r="AA42" s="37" t="n">
        <f aca="false">IF(AA41&lt;0,1,0)</f>
        <v>0</v>
      </c>
      <c r="AB42" s="37" t="n">
        <f aca="false">IF(AB41&lt;0,1,0)</f>
        <v>0</v>
      </c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15" hidden="false" customHeight="false" outlineLevel="0" collapsed="false">
      <c r="A45" s="6" t="s">
        <v>606</v>
      </c>
      <c r="B45" s="2"/>
      <c r="C45" s="2"/>
      <c r="D45" s="2"/>
      <c r="E45" s="31" t="str">
        <f aca="false">IF(ROUND(O5-'Liquidität 24M'!$D$9,0)=0,"OK","PRÜFEN")</f>
        <v>OK</v>
      </c>
      <c r="F45" s="31" t="str">
        <f aca="false">IF(ROUND(E5-'GuV 5 Jahre'!$E$36,0)=0,"OK","PRÜFEN")</f>
        <v>OK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  <col collapsed="false" customWidth="true" hidden="false" outlineLevel="0" max="6" min="6" style="0" width="8"/>
    <col collapsed="false" customWidth="true" hidden="false" outlineLevel="0" max="10" min="7" style="0" width="14"/>
  </cols>
  <sheetData>
    <row r="1" customFormat="false" ht="17.35" hidden="false" customHeight="false" outlineLevel="0" collapsed="false">
      <c r="A1" s="1" t="s">
        <v>607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4" t="s">
        <v>608</v>
      </c>
      <c r="B3" s="34" t="s">
        <v>609</v>
      </c>
      <c r="C3" s="34" t="s">
        <v>610</v>
      </c>
      <c r="D3" s="34" t="s">
        <v>611</v>
      </c>
      <c r="E3" s="2"/>
      <c r="F3" s="34" t="s">
        <v>255</v>
      </c>
      <c r="G3" s="34" t="s">
        <v>33</v>
      </c>
      <c r="H3" s="34" t="s">
        <v>34</v>
      </c>
      <c r="I3" s="34" t="s">
        <v>35</v>
      </c>
      <c r="J3" s="34" t="s">
        <v>246</v>
      </c>
    </row>
    <row r="4" customFormat="false" ht="15" hidden="false" customHeight="false" outlineLevel="0" collapsed="false">
      <c r="A4" s="6" t="s">
        <v>157</v>
      </c>
      <c r="B4" s="21" t="n">
        <f aca="false">'GuV 5 Jahre'!C36</f>
        <v>50544</v>
      </c>
      <c r="C4" s="21" t="n">
        <f aca="false">'GuV 5 Jahre'!C37</f>
        <v>166168.52</v>
      </c>
      <c r="D4" s="21" t="n">
        <f aca="false">'GuV 5 Jahre'!C38</f>
        <v>-115624.52</v>
      </c>
      <c r="E4" s="2"/>
      <c r="F4" s="32" t="n">
        <v>1</v>
      </c>
      <c r="G4" s="21" t="n">
        <f aca="false">'Liquidität 24M'!D67</f>
        <v>236849.988666667</v>
      </c>
      <c r="H4" s="21" t="n">
        <f aca="false">'Liquidität 24M'!D88</f>
        <v>237072.92</v>
      </c>
      <c r="I4" s="21" t="n">
        <f aca="false">'Liquidität 24M'!D109</f>
        <v>237542.81</v>
      </c>
      <c r="J4" s="21" t="n">
        <f aca="false">'Liquidität 24M'!D117</f>
        <v>236750</v>
      </c>
    </row>
    <row r="5" customFormat="false" ht="15" hidden="false" customHeight="false" outlineLevel="0" collapsed="false">
      <c r="A5" s="6" t="s">
        <v>158</v>
      </c>
      <c r="B5" s="21" t="n">
        <f aca="false">'GuV 5 Jahre'!D36</f>
        <v>335540</v>
      </c>
      <c r="C5" s="21" t="n">
        <f aca="false">'GuV 5 Jahre'!D37</f>
        <v>294718.2</v>
      </c>
      <c r="D5" s="21" t="n">
        <f aca="false">'GuV 5 Jahre'!D38</f>
        <v>40821.8</v>
      </c>
      <c r="E5" s="2"/>
      <c r="F5" s="32" t="n">
        <v>2</v>
      </c>
      <c r="G5" s="21" t="n">
        <f aca="false">'Liquidität 24M'!E67</f>
        <v>231899.954666667</v>
      </c>
      <c r="H5" s="21" t="n">
        <f aca="false">'Liquidität 24M'!E88</f>
        <v>232791.68</v>
      </c>
      <c r="I5" s="21" t="n">
        <f aca="false">'Liquidität 24M'!E109</f>
        <v>234671.24</v>
      </c>
      <c r="J5" s="21" t="n">
        <f aca="false">'Liquidität 24M'!E117</f>
        <v>231500</v>
      </c>
    </row>
    <row r="6" customFormat="false" ht="15" hidden="false" customHeight="false" outlineLevel="0" collapsed="false">
      <c r="A6" s="6" t="s">
        <v>159</v>
      </c>
      <c r="B6" s="21" t="n">
        <f aca="false">'GuV 5 Jahre'!E36</f>
        <v>1038270</v>
      </c>
      <c r="C6" s="21" t="n">
        <f aca="false">'GuV 5 Jahre'!E37</f>
        <v>710000</v>
      </c>
      <c r="D6" s="21" t="n">
        <f aca="false">'GuV 5 Jahre'!E38</f>
        <v>328270</v>
      </c>
      <c r="E6" s="2"/>
      <c r="F6" s="32" t="n">
        <v>3</v>
      </c>
      <c r="G6" s="21" t="n">
        <f aca="false">'Liquidität 24M'!F67</f>
        <v>221649.898</v>
      </c>
      <c r="H6" s="21" t="n">
        <f aca="false">'Liquidität 24M'!F88</f>
        <v>223656.28</v>
      </c>
      <c r="I6" s="21" t="n">
        <f aca="false">'Liquidität 24M'!F109</f>
        <v>227885.29</v>
      </c>
      <c r="J6" s="21" t="n">
        <f aca="false">'Liquidität 24M'!F117</f>
        <v>220750</v>
      </c>
    </row>
    <row r="7" customFormat="false" ht="15" hidden="false" customHeight="false" outlineLevel="0" collapsed="false">
      <c r="A7" s="6" t="s">
        <v>160</v>
      </c>
      <c r="B7" s="21" t="n">
        <f aca="false">'GuV 5 Jahre'!F36</f>
        <v>1983772.5</v>
      </c>
      <c r="C7" s="21" t="n">
        <f aca="false">'GuV 5 Jahre'!F37</f>
        <v>1065000</v>
      </c>
      <c r="D7" s="21" t="n">
        <f aca="false">'GuV 5 Jahre'!F38</f>
        <v>918772.5</v>
      </c>
      <c r="E7" s="2"/>
      <c r="F7" s="32" t="n">
        <v>4</v>
      </c>
      <c r="G7" s="21" t="n">
        <f aca="false">'Liquidität 24M'!G67</f>
        <v>208474.818666667</v>
      </c>
      <c r="H7" s="21" t="n">
        <f aca="false">'Liquidität 24M'!G88</f>
        <v>212041.72</v>
      </c>
      <c r="I7" s="21" t="n">
        <f aca="false">'Liquidität 24M'!G109</f>
        <v>219559.96</v>
      </c>
      <c r="J7" s="21" t="n">
        <f aca="false">'Liquidität 24M'!G117</f>
        <v>206875</v>
      </c>
    </row>
    <row r="8" customFormat="false" ht="15" hidden="false" customHeight="false" outlineLevel="0" collapsed="false">
      <c r="A8" s="6" t="s">
        <v>161</v>
      </c>
      <c r="B8" s="21" t="n">
        <f aca="false">'GuV 5 Jahre'!G36</f>
        <v>3151812.5</v>
      </c>
      <c r="C8" s="21" t="n">
        <f aca="false">'GuV 5 Jahre'!G37</f>
        <v>1491000</v>
      </c>
      <c r="D8" s="21" t="n">
        <f aca="false">'GuV 5 Jahre'!G38</f>
        <v>1660812.5</v>
      </c>
      <c r="E8" s="2"/>
      <c r="F8" s="32" t="n">
        <v>5</v>
      </c>
      <c r="G8" s="21" t="n">
        <f aca="false">'Liquidität 24M'!H67</f>
        <v>195499.716666667</v>
      </c>
      <c r="H8" s="21" t="n">
        <f aca="false">'Liquidität 24M'!H88</f>
        <v>201073</v>
      </c>
      <c r="I8" s="21" t="n">
        <f aca="false">'Liquidität 24M'!H109</f>
        <v>212820.25</v>
      </c>
      <c r="J8" s="21" t="n">
        <f aca="false">'Liquidität 24M'!H117</f>
        <v>193000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32" t="n">
        <v>6</v>
      </c>
      <c r="G9" s="21" t="n">
        <f aca="false">'Liquidität 24M'!I67</f>
        <v>182724.592</v>
      </c>
      <c r="H9" s="21" t="n">
        <f aca="false">'Liquidität 24M'!I88</f>
        <v>190750.12</v>
      </c>
      <c r="I9" s="21" t="n">
        <f aca="false">'Liquidität 24M'!I109</f>
        <v>207666.16</v>
      </c>
      <c r="J9" s="21" t="n">
        <f aca="false">'Liquidität 24M'!I117</f>
        <v>179125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32" t="n">
        <v>7</v>
      </c>
      <c r="G10" s="21" t="n">
        <f aca="false">'Liquidität 24M'!J67</f>
        <v>169149.444666667</v>
      </c>
      <c r="H10" s="21" t="n">
        <f aca="false">'Liquidität 24M'!J88</f>
        <v>180073.08</v>
      </c>
      <c r="I10" s="21" t="n">
        <f aca="false">'Liquidität 24M'!J109</f>
        <v>203097.69</v>
      </c>
      <c r="J10" s="21" t="n">
        <f aca="false">'Liquidität 24M'!J117</f>
        <v>164250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32" t="n">
        <v>8</v>
      </c>
      <c r="G11" s="21" t="n">
        <f aca="false">'Liquidität 24M'!K67</f>
        <v>155774.274666667</v>
      </c>
      <c r="H11" s="21" t="n">
        <f aca="false">'Liquidität 24M'!K88</f>
        <v>170041.88</v>
      </c>
      <c r="I11" s="21" t="n">
        <f aca="false">'Liquidität 24M'!K109</f>
        <v>200114.84</v>
      </c>
      <c r="J11" s="21" t="n">
        <f aca="false">'Liquidität 24M'!K117</f>
        <v>149375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32" t="n">
        <v>9</v>
      </c>
      <c r="G12" s="21" t="n">
        <f aca="false">'Liquidität 24M'!L67</f>
        <v>140599.082</v>
      </c>
      <c r="H12" s="21" t="n">
        <f aca="false">'Liquidität 24M'!L88</f>
        <v>158656.52</v>
      </c>
      <c r="I12" s="21" t="n">
        <f aca="false">'Liquidität 24M'!L109</f>
        <v>196717.61</v>
      </c>
      <c r="J12" s="21" t="n">
        <f aca="false">'Liquidität 24M'!L117</f>
        <v>132500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32" t="n">
        <v>10</v>
      </c>
      <c r="G13" s="21" t="n">
        <f aca="false">'Liquidität 24M'!M67</f>
        <v>127623.866666667</v>
      </c>
      <c r="H13" s="21" t="n">
        <f aca="false">'Liquidität 24M'!M88</f>
        <v>149917</v>
      </c>
      <c r="I13" s="21" t="n">
        <f aca="false">'Liquidität 24M'!M109</f>
        <v>196906</v>
      </c>
      <c r="J13" s="21" t="n">
        <f aca="false">'Liquidität 24M'!M117</f>
        <v>117625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32" t="n">
        <v>11</v>
      </c>
      <c r="G14" s="21" t="n">
        <f aca="false">'Liquidität 24M'!N67</f>
        <v>114848.628666667</v>
      </c>
      <c r="H14" s="21" t="n">
        <f aca="false">'Liquidität 24M'!N88</f>
        <v>141823.32</v>
      </c>
      <c r="I14" s="21" t="n">
        <f aca="false">'Liquidität 24M'!N109</f>
        <v>198680.01</v>
      </c>
      <c r="J14" s="21" t="n">
        <f aca="false">'Liquidität 24M'!N117</f>
        <v>102750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32" t="n">
        <v>12</v>
      </c>
      <c r="G15" s="21" t="n">
        <f aca="false">'Liquidität 24M'!O67</f>
        <v>102273.368</v>
      </c>
      <c r="H15" s="21" t="n">
        <f aca="false">'Liquidität 24M'!O88</f>
        <v>134375.48</v>
      </c>
      <c r="I15" s="21" t="n">
        <f aca="false">'Liquidität 24M'!O109</f>
        <v>202039.64</v>
      </c>
      <c r="J15" s="21" t="n">
        <f aca="false">'Liquidität 24M'!O117</f>
        <v>87875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32" t="n">
        <v>13</v>
      </c>
      <c r="G16" s="21" t="n">
        <f aca="false">'Liquidität 24M'!P67</f>
        <v>90310.6905128205</v>
      </c>
      <c r="H16" s="21" t="n">
        <f aca="false">'Liquidität 24M'!P88</f>
        <v>129152.907692308</v>
      </c>
      <c r="I16" s="21" t="n">
        <f aca="false">'Liquidität 24M'!P109</f>
        <v>211939.302307692</v>
      </c>
      <c r="J16" s="21" t="n">
        <f aca="false">'Liquidität 24M'!P117</f>
        <v>73000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32" t="n">
        <v>14</v>
      </c>
      <c r="G17" s="21" t="n">
        <f aca="false">'Liquidität 24M'!Q67</f>
        <v>78960.5962051282</v>
      </c>
      <c r="H17" s="21" t="n">
        <f aca="false">'Liquidität 24M'!Q88</f>
        <v>126155.603076923</v>
      </c>
      <c r="I17" s="21" t="n">
        <f aca="false">'Liquidität 24M'!Q109</f>
        <v>228378.996923077</v>
      </c>
      <c r="J17" s="21" t="n">
        <f aca="false">'Liquidität 24M'!Q117</f>
        <v>58125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32" t="n">
        <v>15</v>
      </c>
      <c r="G18" s="21" t="n">
        <f aca="false">'Liquidität 24M'!R67</f>
        <v>68223.0850769231</v>
      </c>
      <c r="H18" s="21" t="n">
        <f aca="false">'Liquidität 24M'!R88</f>
        <v>125383.566153846</v>
      </c>
      <c r="I18" s="21" t="n">
        <f aca="false">'Liquidität 24M'!R109</f>
        <v>251358.723846154</v>
      </c>
      <c r="J18" s="21" t="n">
        <f aca="false">'Liquidität 24M'!R117</f>
        <v>43250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32" t="n">
        <v>16</v>
      </c>
      <c r="G19" s="21" t="n">
        <f aca="false">'Liquidität 24M'!S67</f>
        <v>61223.1571282051</v>
      </c>
      <c r="H19" s="21" t="n">
        <f aca="false">'Liquidität 24M'!S88</f>
        <v>129961.796923077</v>
      </c>
      <c r="I19" s="21" t="n">
        <f aca="false">'Liquidität 24M'!S109</f>
        <v>284003.483076923</v>
      </c>
      <c r="J19" s="21" t="n">
        <f aca="false">'Liquidität 24M'!S117</f>
        <v>31500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32" t="n">
        <v>17</v>
      </c>
      <c r="G20" s="21" t="n">
        <f aca="false">'Liquidität 24M'!T67</f>
        <v>54835.8123589744</v>
      </c>
      <c r="H20" s="21" t="n">
        <f aca="false">'Liquidität 24M'!T88</f>
        <v>136765.295384615</v>
      </c>
      <c r="I20" s="21" t="n">
        <f aca="false">'Liquidität 24M'!T109</f>
        <v>323188.274615385</v>
      </c>
      <c r="J20" s="21" t="n">
        <f aca="false">'Liquidität 24M'!T117</f>
        <v>19750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32" t="n">
        <v>18</v>
      </c>
      <c r="G21" s="21" t="n">
        <f aca="false">'Liquidität 24M'!U67</f>
        <v>49061.0507692308</v>
      </c>
      <c r="H21" s="21" t="n">
        <f aca="false">'Liquidität 24M'!U88</f>
        <v>145794.061538462</v>
      </c>
      <c r="I21" s="21" t="n">
        <f aca="false">'Liquidität 24M'!U109</f>
        <v>368913.098461539</v>
      </c>
      <c r="J21" s="21" t="n">
        <f aca="false">'Liquidität 24M'!U117</f>
        <v>8000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32" t="n">
        <v>19</v>
      </c>
      <c r="G22" s="21" t="n">
        <f aca="false">'Liquidität 24M'!V67</f>
        <v>37436.1420407164</v>
      </c>
      <c r="H22" s="21" t="n">
        <f aca="false">'Liquidität 24M'!V88</f>
        <v>137464.762051282</v>
      </c>
      <c r="I22" s="21" t="n">
        <f aca="false">'Liquidität 24M'!V109</f>
        <v>392066.564330628</v>
      </c>
      <c r="J22" s="21" t="n">
        <f aca="false">'Liquidität 24M'!V117</f>
        <v>-3750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32" t="n">
        <v>20</v>
      </c>
      <c r="G23" s="21" t="n">
        <f aca="false">'Liquidität 24M'!W67</f>
        <v>26423.8164916892</v>
      </c>
      <c r="H23" s="21" t="n">
        <f aca="false">'Liquidität 24M'!W88</f>
        <v>131360.73025641</v>
      </c>
      <c r="I23" s="21" t="n">
        <f aca="false">'Liquidität 24M'!W109</f>
        <v>421760.062507409</v>
      </c>
      <c r="J23" s="21" t="n">
        <f aca="false">'Liquidität 24M'!W117</f>
        <v>-15500</v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32" t="n">
        <v>21</v>
      </c>
      <c r="G24" s="21" t="n">
        <f aca="false">'Liquidität 24M'!X67</f>
        <v>16024.0741221492</v>
      </c>
      <c r="H24" s="21" t="n">
        <f aca="false">'Liquidität 24M'!X88</f>
        <v>127481.966153846</v>
      </c>
      <c r="I24" s="21" t="n">
        <f aca="false">'Liquidität 24M'!X109</f>
        <v>457993.592991883</v>
      </c>
      <c r="J24" s="21" t="n">
        <f aca="false">'Liquidität 24M'!X117</f>
        <v>-27250</v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32" t="n">
        <v>22</v>
      </c>
      <c r="G25" s="21" t="n">
        <f aca="false">'Liquidität 24M'!Y67</f>
        <v>6236.91493209638</v>
      </c>
      <c r="H25" s="21" t="n">
        <f aca="false">'Liquidität 24M'!Y88</f>
        <v>171828.46974359</v>
      </c>
      <c r="I25" s="21" t="n">
        <f aca="false">'Liquidität 24M'!Y109</f>
        <v>592767.155784049</v>
      </c>
      <c r="J25" s="21" t="n">
        <f aca="false">'Liquidität 24M'!Y117</f>
        <v>-39000</v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32" t="n">
        <v>23</v>
      </c>
      <c r="G26" s="21" t="n">
        <f aca="false">'Liquidität 24M'!Z67</f>
        <v>-2937.66107846927</v>
      </c>
      <c r="H26" s="21" t="n">
        <f aca="false">'Liquidität 24M'!Z88</f>
        <v>172400.241025641</v>
      </c>
      <c r="I26" s="21" t="n">
        <f aca="false">'Liquidität 24M'!Z109</f>
        <v>642080.750883907</v>
      </c>
      <c r="J26" s="21" t="n">
        <f aca="false">'Liquidität 24M'!Z117</f>
        <v>-50750</v>
      </c>
    </row>
    <row r="27" customFormat="false" ht="15" hidden="false" customHeight="false" outlineLevel="0" collapsed="false">
      <c r="A27" s="2"/>
      <c r="B27" s="2"/>
      <c r="C27" s="2"/>
      <c r="D27" s="2"/>
      <c r="E27" s="2"/>
      <c r="F27" s="32" t="n">
        <v>24</v>
      </c>
      <c r="G27" s="21" t="n">
        <f aca="false">'Liquidität 24M'!AA67</f>
        <v>-11499.6539095477</v>
      </c>
      <c r="H27" s="21" t="n">
        <f aca="false">'Liquidität 24M'!AA88</f>
        <v>175197.28</v>
      </c>
      <c r="I27" s="21" t="n">
        <f aca="false">'Liquidität 24M'!AA109</f>
        <v>697934.378291457</v>
      </c>
      <c r="J27" s="21" t="n">
        <f aca="false">'Liquidität 24M'!AA117</f>
        <v>-62500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46"/>
  </cols>
  <sheetData>
    <row r="1" customFormat="false" ht="17.35" hidden="false" customHeight="false" outlineLevel="0" collapsed="false">
      <c r="A1" s="1" t="s">
        <v>612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12" t="s">
        <v>613</v>
      </c>
      <c r="B3" s="12" t="s">
        <v>614</v>
      </c>
      <c r="C3" s="12" t="s">
        <v>615</v>
      </c>
    </row>
    <row r="4" customFormat="false" ht="15" hidden="false" customHeight="false" outlineLevel="0" collapsed="false">
      <c r="A4" s="6" t="s">
        <v>616</v>
      </c>
      <c r="B4" s="6" t="s">
        <v>617</v>
      </c>
      <c r="C4" s="6" t="s">
        <v>618</v>
      </c>
    </row>
    <row r="5" customFormat="false" ht="15" hidden="false" customHeight="false" outlineLevel="0" collapsed="false">
      <c r="A5" s="6" t="s">
        <v>619</v>
      </c>
      <c r="B5" s="6" t="s">
        <v>620</v>
      </c>
      <c r="C5" s="6" t="s">
        <v>621</v>
      </c>
    </row>
    <row r="6" customFormat="false" ht="15" hidden="false" customHeight="false" outlineLevel="0" collapsed="false">
      <c r="A6" s="6" t="s">
        <v>622</v>
      </c>
      <c r="B6" s="6" t="s">
        <v>623</v>
      </c>
      <c r="C6" s="6" t="s">
        <v>624</v>
      </c>
    </row>
    <row r="7" customFormat="false" ht="15" hidden="false" customHeight="false" outlineLevel="0" collapsed="false">
      <c r="A7" s="6" t="s">
        <v>625</v>
      </c>
      <c r="B7" s="6" t="s">
        <v>626</v>
      </c>
      <c r="C7" s="6" t="s">
        <v>627</v>
      </c>
    </row>
    <row r="8" customFormat="false" ht="15" hidden="false" customHeight="false" outlineLevel="0" collapsed="false">
      <c r="A8" s="6" t="s">
        <v>628</v>
      </c>
      <c r="B8" s="6" t="s">
        <v>629</v>
      </c>
      <c r="C8" s="6" t="s">
        <v>630</v>
      </c>
    </row>
    <row r="9" customFormat="false" ht="15" hidden="false" customHeight="false" outlineLevel="0" collapsed="false">
      <c r="A9" s="6" t="s">
        <v>631</v>
      </c>
      <c r="B9" s="6" t="s">
        <v>632</v>
      </c>
      <c r="C9" s="6" t="s">
        <v>633</v>
      </c>
    </row>
    <row r="10" customFormat="false" ht="15" hidden="false" customHeight="false" outlineLevel="0" collapsed="false">
      <c r="A10" s="6" t="s">
        <v>634</v>
      </c>
      <c r="B10" s="6" t="s">
        <v>635</v>
      </c>
      <c r="C10" s="6" t="s">
        <v>636</v>
      </c>
    </row>
    <row r="11" customFormat="false" ht="15" hidden="false" customHeight="false" outlineLevel="0" collapsed="false">
      <c r="A11" s="6" t="s">
        <v>637</v>
      </c>
      <c r="B11" s="6" t="s">
        <v>638</v>
      </c>
      <c r="C11" s="6" t="s">
        <v>639</v>
      </c>
    </row>
    <row r="12" customFormat="false" ht="15" hidden="false" customHeight="false" outlineLevel="0" collapsed="false">
      <c r="A12" s="6" t="s">
        <v>346</v>
      </c>
      <c r="B12" s="6" t="s">
        <v>640</v>
      </c>
      <c r="C12" s="6" t="s">
        <v>641</v>
      </c>
    </row>
    <row r="13" customFormat="false" ht="15" hidden="false" customHeight="false" outlineLevel="0" collapsed="false">
      <c r="A13" s="6" t="s">
        <v>165</v>
      </c>
      <c r="B13" s="6" t="s">
        <v>642</v>
      </c>
      <c r="C13" s="6" t="s">
        <v>643</v>
      </c>
    </row>
    <row r="14" customFormat="false" ht="15" hidden="false" customHeight="false" outlineLevel="0" collapsed="false">
      <c r="A14" s="6" t="s">
        <v>348</v>
      </c>
      <c r="B14" s="6" t="s">
        <v>644</v>
      </c>
      <c r="C14" s="6" t="s">
        <v>645</v>
      </c>
    </row>
    <row r="15" customFormat="false" ht="15" hidden="false" customHeight="false" outlineLevel="0" collapsed="false">
      <c r="A15" s="6" t="s">
        <v>176</v>
      </c>
      <c r="B15" s="6" t="s">
        <v>646</v>
      </c>
      <c r="C15" s="6" t="s">
        <v>647</v>
      </c>
    </row>
    <row r="16" customFormat="false" ht="15" hidden="false" customHeight="false" outlineLevel="0" collapsed="false">
      <c r="A16" s="6" t="s">
        <v>319</v>
      </c>
      <c r="B16" s="6" t="s">
        <v>648</v>
      </c>
      <c r="C16" s="6" t="s">
        <v>649</v>
      </c>
    </row>
    <row r="17" customFormat="false" ht="15" hidden="false" customHeight="false" outlineLevel="0" collapsed="false">
      <c r="A17" s="6" t="s">
        <v>179</v>
      </c>
      <c r="B17" s="6" t="s">
        <v>650</v>
      </c>
      <c r="C17" s="6" t="s">
        <v>651</v>
      </c>
    </row>
    <row r="18" customFormat="false" ht="15" hidden="false" customHeight="false" outlineLevel="0" collapsed="false">
      <c r="A18" s="6" t="s">
        <v>181</v>
      </c>
      <c r="B18" s="6" t="s">
        <v>652</v>
      </c>
      <c r="C18" s="6" t="s">
        <v>653</v>
      </c>
    </row>
    <row r="19" customFormat="false" ht="15" hidden="false" customHeight="false" outlineLevel="0" collapsed="false">
      <c r="A19" s="6" t="s">
        <v>321</v>
      </c>
      <c r="B19" s="6" t="s">
        <v>654</v>
      </c>
      <c r="C19" s="6" t="s">
        <v>655</v>
      </c>
    </row>
    <row r="20" customFormat="false" ht="15" hidden="false" customHeight="false" outlineLevel="0" collapsed="false">
      <c r="A20" s="6" t="s">
        <v>572</v>
      </c>
      <c r="B20" s="6" t="s">
        <v>656</v>
      </c>
      <c r="C20" s="6" t="s">
        <v>657</v>
      </c>
    </row>
    <row r="21" customFormat="false" ht="15" hidden="false" customHeight="false" outlineLevel="0" collapsed="false">
      <c r="A21" s="6" t="s">
        <v>573</v>
      </c>
      <c r="B21" s="6" t="s">
        <v>658</v>
      </c>
      <c r="C21" s="6" t="s">
        <v>659</v>
      </c>
    </row>
    <row r="22" customFormat="false" ht="15" hidden="false" customHeight="false" outlineLevel="0" collapsed="false">
      <c r="A22" s="6" t="s">
        <v>660</v>
      </c>
      <c r="B22" s="6" t="s">
        <v>661</v>
      </c>
      <c r="C22" s="6" t="s">
        <v>662</v>
      </c>
    </row>
    <row r="23" customFormat="false" ht="15" hidden="false" customHeight="false" outlineLevel="0" collapsed="false">
      <c r="A23" s="6" t="s">
        <v>270</v>
      </c>
      <c r="B23" s="6" t="s">
        <v>663</v>
      </c>
      <c r="C23" s="6" t="s">
        <v>664</v>
      </c>
    </row>
    <row r="24" customFormat="false" ht="15" hidden="false" customHeight="false" outlineLevel="0" collapsed="false">
      <c r="A24" s="6" t="s">
        <v>93</v>
      </c>
      <c r="B24" s="6" t="s">
        <v>665</v>
      </c>
      <c r="C24" s="6" t="s">
        <v>666</v>
      </c>
    </row>
    <row r="25" customFormat="false" ht="15" hidden="false" customHeight="false" outlineLevel="0" collapsed="false">
      <c r="A25" s="6" t="s">
        <v>667</v>
      </c>
      <c r="B25" s="6" t="s">
        <v>668</v>
      </c>
      <c r="C25" s="6" t="s">
        <v>669</v>
      </c>
    </row>
    <row r="26" customFormat="false" ht="15" hidden="false" customHeight="false" outlineLevel="0" collapsed="false">
      <c r="A26" s="6" t="s">
        <v>670</v>
      </c>
      <c r="B26" s="6" t="s">
        <v>671</v>
      </c>
      <c r="C26" s="6" t="s">
        <v>672</v>
      </c>
    </row>
    <row r="27" customFormat="false" ht="15" hidden="false" customHeight="false" outlineLevel="0" collapsed="false">
      <c r="A27" s="6" t="s">
        <v>212</v>
      </c>
      <c r="B27" s="6" t="s">
        <v>673</v>
      </c>
      <c r="C27" s="6" t="s">
        <v>674</v>
      </c>
    </row>
    <row r="28" customFormat="false" ht="15" hidden="false" customHeight="false" outlineLevel="0" collapsed="false">
      <c r="A28" s="6" t="s">
        <v>214</v>
      </c>
      <c r="B28" s="6" t="s">
        <v>675</v>
      </c>
      <c r="C28" s="6" t="s">
        <v>214</v>
      </c>
    </row>
    <row r="29" customFormat="false" ht="15" hidden="false" customHeight="false" outlineLevel="0" collapsed="false">
      <c r="A29" s="6" t="s">
        <v>676</v>
      </c>
      <c r="B29" s="6" t="s">
        <v>677</v>
      </c>
      <c r="C29" s="6" t="s">
        <v>678</v>
      </c>
    </row>
    <row r="30" customFormat="false" ht="15" hidden="false" customHeight="false" outlineLevel="0" collapsed="false">
      <c r="A30" s="6" t="s">
        <v>679</v>
      </c>
      <c r="B30" s="6" t="s">
        <v>680</v>
      </c>
      <c r="C30" s="6" t="s">
        <v>681</v>
      </c>
    </row>
    <row r="31" customFormat="false" ht="15" hidden="false" customHeight="false" outlineLevel="0" collapsed="false">
      <c r="A31" s="6" t="s">
        <v>505</v>
      </c>
      <c r="B31" s="6" t="s">
        <v>682</v>
      </c>
      <c r="C31" s="6" t="s">
        <v>683</v>
      </c>
    </row>
    <row r="32" customFormat="false" ht="15" hidden="false" customHeight="false" outlineLevel="0" collapsed="false">
      <c r="A32" s="6" t="s">
        <v>684</v>
      </c>
      <c r="B32" s="6" t="s">
        <v>685</v>
      </c>
      <c r="C32" s="6" t="s">
        <v>686</v>
      </c>
    </row>
    <row r="33" customFormat="false" ht="15" hidden="false" customHeight="false" outlineLevel="0" collapsed="false">
      <c r="A33" s="6" t="s">
        <v>687</v>
      </c>
      <c r="B33" s="6" t="s">
        <v>688</v>
      </c>
      <c r="C33" s="6" t="s">
        <v>689</v>
      </c>
    </row>
    <row r="34" customFormat="false" ht="15" hidden="false" customHeight="false" outlineLevel="0" collapsed="false">
      <c r="A34" s="6" t="s">
        <v>690</v>
      </c>
      <c r="B34" s="6" t="s">
        <v>691</v>
      </c>
      <c r="C34" s="6" t="s">
        <v>692</v>
      </c>
    </row>
    <row r="35" customFormat="false" ht="15" hidden="false" customHeight="false" outlineLevel="0" collapsed="false">
      <c r="A35" s="6" t="s">
        <v>693</v>
      </c>
      <c r="B35" s="6" t="s">
        <v>694</v>
      </c>
      <c r="C35" s="6" t="s">
        <v>695</v>
      </c>
    </row>
    <row r="36" customFormat="false" ht="15" hidden="false" customHeight="false" outlineLevel="0" collapsed="false">
      <c r="A36" s="6" t="s">
        <v>696</v>
      </c>
      <c r="B36" s="6" t="s">
        <v>697</v>
      </c>
      <c r="C36" s="6" t="s">
        <v>698</v>
      </c>
    </row>
    <row r="37" customFormat="false" ht="15" hidden="false" customHeight="false" outlineLevel="0" collapsed="false">
      <c r="A37" s="6" t="s">
        <v>699</v>
      </c>
      <c r="B37" s="6" t="s">
        <v>700</v>
      </c>
      <c r="C37" s="6" t="s">
        <v>701</v>
      </c>
    </row>
    <row r="38" customFormat="false" ht="15" hidden="false" customHeight="false" outlineLevel="0" collapsed="false">
      <c r="A38" s="6" t="s">
        <v>702</v>
      </c>
      <c r="B38" s="6" t="s">
        <v>703</v>
      </c>
      <c r="C38" s="6" t="s">
        <v>704</v>
      </c>
    </row>
    <row r="39" customFormat="false" ht="15" hidden="false" customHeight="false" outlineLevel="0" collapsed="false">
      <c r="A39" s="6" t="s">
        <v>342</v>
      </c>
      <c r="B39" s="6" t="s">
        <v>705</v>
      </c>
      <c r="C39" s="6" t="s">
        <v>706</v>
      </c>
    </row>
    <row r="40" customFormat="false" ht="15" hidden="false" customHeight="false" outlineLevel="0" collapsed="false">
      <c r="A40" s="6" t="s">
        <v>707</v>
      </c>
      <c r="B40" s="6" t="s">
        <v>708</v>
      </c>
      <c r="C40" s="6" t="s">
        <v>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2026-10-04T18:20:07Z</dcterms:created>
  <dc:creator>openpyxl</dc:creator>
  <dc:description/>
  <dc:language>en-US</dc:language>
  <cp:lastModifiedBy/>
  <dcterms:modified xsi:type="dcterms:W3CDTF">2026-10-04T18:20:09Z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